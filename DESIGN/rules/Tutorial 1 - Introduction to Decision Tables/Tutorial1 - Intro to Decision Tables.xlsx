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0" windowWidth="19440" windowHeight="11685" activeTab="6"/>
  </bookViews>
  <sheets>
    <sheet name="Intro" sheetId="4" r:id="rId1"/>
    <sheet name="Step1" sheetId="5" r:id="rId2"/>
    <sheet name="Step2" sheetId="6" r:id="rId3"/>
    <sheet name="Step3" sheetId="2" r:id="rId4"/>
    <sheet name="Sheet1" sheetId="7" r:id="rId5"/>
    <sheet name="Sheet2" sheetId="8" r:id="rId6"/>
    <sheet name="Sheet3" sheetId="9" r:id="rId7"/>
  </sheets>
  <definedNames>
    <definedName name="_st1">Step1!$C$8</definedName>
    <definedName name="_st11">Step1!$C$90</definedName>
    <definedName name="_st2">Step2!$C$8</definedName>
    <definedName name="_st21">Step2!$C$37</definedName>
    <definedName name="_st22">Step2!$C$60</definedName>
    <definedName name="_st3">Step3!$C$8</definedName>
    <definedName name="_st31">Step3!$C$20</definedName>
    <definedName name="_st32">Step3!$C$39</definedName>
    <definedName name="_st33">Step3!$C$63</definedName>
    <definedName name="_st34">Step3!$C$105</definedName>
  </definedNames>
  <calcPr calcId="145621"/>
</workbook>
</file>

<file path=xl/calcChain.xml><?xml version="1.0" encoding="utf-8"?>
<calcChain xmlns="http://schemas.openxmlformats.org/spreadsheetml/2006/main">
  <c r="F16" i="7" l="1"/>
  <c r="F15" i="7"/>
  <c r="F11" i="7" l="1"/>
  <c r="F10" i="7" l="1"/>
  <c r="F12" i="7" l="1"/>
  <c r="F13" i="7" s="1"/>
</calcChain>
</file>

<file path=xl/comments1.xml><?xml version="1.0" encoding="utf-8"?>
<comments xmlns="http://schemas.openxmlformats.org/spreadsheetml/2006/main">
  <authors>
    <author>Stanislav Shor</author>
    <author>Elena Poyasok</author>
  </authors>
  <commentList>
    <comment ref="D25" authorId="0">
      <text>
        <r>
          <rPr>
            <sz val="8"/>
            <color indexed="81"/>
            <rFont val="Tahoma"/>
            <family val="2"/>
            <charset val="204"/>
          </rPr>
          <t>This is so-called Decision Table Header. It consists of the keyword "Rules" and table signature.</t>
        </r>
      </text>
    </comment>
    <comment ref="D26" authorId="1">
      <text>
        <r>
          <rPr>
            <sz val="9"/>
            <color indexed="81"/>
            <rFont val="Tahoma"/>
            <family val="2"/>
            <charset val="204"/>
          </rPr>
          <t xml:space="preserve">This is keyword "properties". Each row in the properties section contains a pair of a property name and a property value in consecutive cells. If you want to define several properties, do not forget to merge across all cells in column. </t>
        </r>
      </text>
    </comment>
    <comment ref="D27" authorId="0">
      <text>
        <r>
          <rPr>
            <sz val="8"/>
            <color indexed="81"/>
            <rFont val="Tahoma"/>
            <family val="2"/>
            <charset val="204"/>
          </rPr>
          <t>Condition column header. Must start with "C".</t>
        </r>
      </text>
    </comment>
    <comment ref="F27" authorId="0">
      <text>
        <r>
          <rPr>
            <sz val="8"/>
            <color indexed="81"/>
            <rFont val="Tahoma"/>
            <family val="2"/>
            <charset val="204"/>
          </rPr>
          <t xml:space="preserve">Return column header. Must start with "RET".  </t>
        </r>
      </text>
    </comment>
    <comment ref="D28" authorId="0">
      <text>
        <r>
          <rPr>
            <sz val="8"/>
            <color indexed="81"/>
            <rFont val="Tahoma"/>
            <family val="2"/>
            <charset val="204"/>
          </rPr>
          <t>Condition expression.</t>
        </r>
        <r>
          <rPr>
            <sz val="8"/>
            <color indexed="81"/>
            <rFont val="Tahoma"/>
            <family val="2"/>
          </rPr>
          <t xml:space="preserve">As you can see condition uses parameter </t>
        </r>
        <r>
          <rPr>
            <sz val="8"/>
            <color indexed="81"/>
            <rFont val="Courier New"/>
            <family val="3"/>
          </rPr>
          <t xml:space="preserve">hour </t>
        </r>
        <r>
          <rPr>
            <sz val="8"/>
            <color indexed="81"/>
            <rFont val="Tahoma"/>
            <family val="2"/>
          </rPr>
          <t>from Table Header and parameter</t>
        </r>
        <r>
          <rPr>
            <sz val="8"/>
            <color indexed="81"/>
            <rFont val="Courier New"/>
            <family val="3"/>
          </rPr>
          <t xml:space="preserve"> min </t>
        </r>
        <r>
          <rPr>
            <sz val="8"/>
            <color indexed="81"/>
            <rFont val="Tahoma"/>
            <family val="2"/>
          </rPr>
          <t>that defines column data. When condition is evaluated for each row, the cell value from this row is assigned to vaparameter</t>
        </r>
        <r>
          <rPr>
            <sz val="8"/>
            <color indexed="81"/>
            <rFont val="Courier New"/>
            <family val="3"/>
          </rPr>
          <t xml:space="preserve"> min.</t>
        </r>
      </text>
    </comment>
    <comment ref="F28" authorId="0">
      <text>
        <r>
          <rPr>
            <sz val="8"/>
            <color indexed="81"/>
            <rFont val="Tahoma"/>
            <family val="2"/>
            <charset val="204"/>
          </rPr>
          <t xml:space="preserve">This return statement is performed for each row where all conditions have been satisfied. The parameter </t>
        </r>
        <r>
          <rPr>
            <sz val="8"/>
            <color indexed="81"/>
            <rFont val="Courier New"/>
            <family val="3"/>
          </rPr>
          <t>greeting</t>
        </r>
        <r>
          <rPr>
            <sz val="8"/>
            <color indexed="81"/>
            <rFont val="Tahoma"/>
            <family val="2"/>
            <charset val="204"/>
          </rPr>
          <t xml:space="preserve"> is substituted with a cell value from the rule row.</t>
        </r>
      </text>
    </comment>
    <comment ref="F31" authorId="1">
      <text>
        <r>
          <rPr>
            <sz val="9"/>
            <color indexed="81"/>
            <rFont val="Tahoma"/>
            <family val="2"/>
            <charset val="204"/>
          </rPr>
          <t>This rule is interpreted as if the hour from 0 till 11 o'clock then greeting is "Good Morning, World!"</t>
        </r>
      </text>
    </comment>
    <comment ref="F32" authorId="1">
      <text>
        <r>
          <rPr>
            <sz val="9"/>
            <color indexed="81"/>
            <rFont val="Tahoma"/>
            <family val="2"/>
            <charset val="204"/>
          </rPr>
          <t>This rule is interpreted as if the hour from 12 till 17
 o'clock then greeting is "Good Afternoon, World!"</t>
        </r>
      </text>
    </comment>
    <comment ref="D59" authorId="1">
      <text>
        <r>
          <rPr>
            <sz val="9"/>
            <color indexed="81"/>
            <rFont val="Tahoma"/>
            <family val="2"/>
            <charset val="204"/>
          </rPr>
          <t>The condition equals to driverAge == 
ageType</t>
        </r>
      </text>
    </comment>
    <comment ref="F59" authorId="1">
      <text>
        <r>
          <rPr>
            <sz val="9"/>
            <color indexed="81"/>
            <rFont val="Tahoma"/>
            <family val="2"/>
            <charset val="204"/>
          </rPr>
          <t>Automatically, will return value, equal to parameter value</t>
        </r>
      </text>
    </comment>
    <comment ref="D60" authorId="1">
      <text>
        <r>
          <rPr>
            <sz val="9"/>
            <color indexed="81"/>
            <rFont val="Tahoma"/>
            <family val="2"/>
            <charset val="204"/>
          </rPr>
          <t>The definition equals to, for example, String ageType</t>
        </r>
      </text>
    </comment>
    <comment ref="F60" authorId="1">
      <text>
        <r>
          <rPr>
            <sz val="9"/>
            <color indexed="81"/>
            <rFont val="Tahoma"/>
            <family val="2"/>
            <charset val="204"/>
          </rPr>
          <t xml:space="preserve">Automatically, Type of parameter will be the same as expression type </t>
        </r>
      </text>
    </comment>
    <comment ref="E66" authorId="1">
      <text>
        <r>
          <rPr>
            <sz val="9"/>
            <color indexed="81"/>
            <rFont val="Tahoma"/>
            <family val="2"/>
            <charset val="204"/>
          </rPr>
          <t>Blank cell means any Marital status.</t>
        </r>
      </text>
    </comment>
    <comment ref="C71" authorId="1">
      <text>
        <r>
          <rPr>
            <sz val="9"/>
            <color indexed="81"/>
            <rFont val="Tahoma"/>
            <family val="2"/>
            <charset val="204"/>
          </rPr>
          <t>Use Rule column to name particular rule rows for explicit rule rows determination. It's necessary column if you'd like to merge some rule cells (vertically) belonging to different rule rows</t>
        </r>
      </text>
    </comment>
    <comment ref="D75" authorId="1">
      <text>
        <r>
          <rPr>
            <sz val="9"/>
            <color indexed="81"/>
            <rFont val="Tahoma"/>
            <family val="2"/>
            <charset val="204"/>
          </rPr>
          <t>Merged cells.</t>
        </r>
      </text>
    </comment>
  </commentList>
</comments>
</file>

<file path=xl/comments2.xml><?xml version="1.0" encoding="utf-8"?>
<comments xmlns="http://schemas.openxmlformats.org/spreadsheetml/2006/main">
  <authors>
    <author>Elena Poyasok</author>
  </authors>
  <commentList>
    <comment ref="D25" authorId="0">
      <text>
        <r>
          <rPr>
            <sz val="9"/>
            <color indexed="81"/>
            <rFont val="Tahoma"/>
            <family val="2"/>
            <charset val="204"/>
          </rPr>
          <t>Vertical condition column</t>
        </r>
      </text>
    </comment>
    <comment ref="E25" authorId="0">
      <text>
        <r>
          <rPr>
            <sz val="9"/>
            <color indexed="81"/>
            <rFont val="Tahoma"/>
            <family val="2"/>
            <charset val="204"/>
          </rPr>
          <t>Horizontal condition column</t>
        </r>
      </text>
    </comment>
    <comment ref="E28" authorId="0">
      <text>
        <r>
          <rPr>
            <sz val="9"/>
            <color indexed="81"/>
            <rFont val="Tahoma"/>
            <family val="2"/>
            <charset val="204"/>
          </rPr>
          <t>Horizontal condition value</t>
        </r>
      </text>
    </comment>
    <comment ref="F28" authorId="0">
      <text>
        <r>
          <rPr>
            <sz val="9"/>
            <color indexed="81"/>
            <rFont val="Tahoma"/>
            <family val="2"/>
            <charset val="204"/>
          </rPr>
          <t>Horizontal condition value</t>
        </r>
      </text>
    </comment>
    <comment ref="D29" authorId="0">
      <text>
        <r>
          <rPr>
            <sz val="9"/>
            <color indexed="81"/>
            <rFont val="Tahoma"/>
            <family val="2"/>
            <charset val="204"/>
          </rPr>
          <t>Vertical condition values</t>
        </r>
      </text>
    </comment>
    <comment ref="D69" authorId="0">
      <text>
        <r>
          <rPr>
            <sz val="9"/>
            <color indexed="81"/>
            <rFont val="Tahoma"/>
            <family val="2"/>
            <charset val="204"/>
          </rPr>
          <t xml:space="preserve">The height of the first column title cell = Number of horizontal conditions </t>
        </r>
      </text>
    </comment>
  </commentList>
</comments>
</file>

<file path=xl/comments3.xml><?xml version="1.0" encoding="utf-8"?>
<comments xmlns="http://schemas.openxmlformats.org/spreadsheetml/2006/main">
  <authors>
    <author>Elena Poyasok</author>
  </authors>
  <commentList>
    <comment ref="C23" authorId="0">
      <text>
        <r>
          <rPr>
            <sz val="9"/>
            <color indexed="81"/>
            <rFont val="Tahoma"/>
            <family val="2"/>
            <charset val="204"/>
          </rPr>
          <t>Transposed "Greeting" Decision Table.</t>
        </r>
      </text>
    </comment>
    <comment ref="E81" authorId="0">
      <text>
        <r>
          <rPr>
            <sz val="9"/>
            <color indexed="81"/>
            <rFont val="Tahoma"/>
            <family val="2"/>
            <charset val="204"/>
          </rPr>
          <t>Range Datatype</t>
        </r>
      </text>
    </comment>
    <comment ref="E108" authorId="0">
      <text>
        <r>
          <rPr>
            <sz val="9"/>
            <color indexed="81"/>
            <rFont val="Tahoma"/>
            <family val="2"/>
            <charset val="204"/>
          </rPr>
          <t xml:space="preserve">if Rules Table is not supposed to return any values, you may use </t>
        </r>
        <r>
          <rPr>
            <b/>
            <sz val="9"/>
            <color indexed="81"/>
            <rFont val="Tahoma"/>
            <family val="2"/>
            <charset val="204"/>
          </rPr>
          <t>void</t>
        </r>
        <r>
          <rPr>
            <sz val="9"/>
            <color indexed="81"/>
            <rFont val="Tahoma"/>
            <family val="2"/>
            <charset val="204"/>
          </rPr>
          <t xml:space="preserve"> datatype.</t>
        </r>
      </text>
    </comment>
  </commentList>
</comments>
</file>

<file path=xl/sharedStrings.xml><?xml version="1.0" encoding="utf-8"?>
<sst xmlns="http://schemas.openxmlformats.org/spreadsheetml/2006/main" count="437" uniqueCount="204">
  <si>
    <t>Rule</t>
  </si>
  <si>
    <t>C1</t>
  </si>
  <si>
    <t>C2</t>
  </si>
  <si>
    <t>min &lt;= hour</t>
  </si>
  <si>
    <t>hour &lt;= max</t>
  </si>
  <si>
    <t>From</t>
  </si>
  <si>
    <t>To</t>
  </si>
  <si>
    <t>Good Morning</t>
  </si>
  <si>
    <t>Good Afternoon</t>
  </si>
  <si>
    <t>Good Evening</t>
  </si>
  <si>
    <t>Good Night</t>
  </si>
  <si>
    <t>String greeting</t>
  </si>
  <si>
    <t>Greeting</t>
  </si>
  <si>
    <t>RET1</t>
  </si>
  <si>
    <t>greeting + ", World!"</t>
  </si>
  <si>
    <t>Step 2.</t>
  </si>
  <si>
    <t>Step 3.</t>
  </si>
  <si>
    <t>Tutorial1 - Introduction to Decision Tables</t>
  </si>
  <si>
    <t xml:space="preserve">            This is the first tutorial in a series of tutorials designed to familiarize you with OpenL Tablets step-by-step, taking you from simple features and concepts to more complex ones. These tutorials were designed to be somewhat interactive to make you familiar with OpenL Tablets and basic editing actions. Each Tutorial is located in a separate project named Tutorial[N] - ..., where N is tutorial number. It is highly recommended that you do these tutorials in the natural order. Each tutorial contains set of working examples (Rules). 
            This tutorial will familiarize you with Decision Tables. In addition to tutorial steps lets read cell comments. Make sure that running of Rules in WebStudio will produce the desired results, otherwise you probably missed something. Good luck and have fun!</t>
  </si>
  <si>
    <t>driverAge</t>
  </si>
  <si>
    <t>Driver Age</t>
  </si>
  <si>
    <t>Marital Status</t>
  </si>
  <si>
    <t>Young Driver</t>
  </si>
  <si>
    <t>Married</t>
  </si>
  <si>
    <t>Single</t>
  </si>
  <si>
    <t>Senior Driver</t>
  </si>
  <si>
    <t>Standard Driver</t>
  </si>
  <si>
    <t>R1</t>
  </si>
  <si>
    <t>R2</t>
  </si>
  <si>
    <t>R3</t>
  </si>
  <si>
    <t>R4</t>
  </si>
  <si>
    <t>R5</t>
  </si>
  <si>
    <t># Rule</t>
  </si>
  <si>
    <t>Step1. Decision Table and its structure</t>
  </si>
  <si>
    <r>
      <t xml:space="preserve">            This is how you create </t>
    </r>
    <r>
      <rPr>
        <u/>
        <sz val="10"/>
        <rFont val="Franklin Gothic Book"/>
        <family val="2"/>
        <charset val="204"/>
      </rPr>
      <t>Decision Table</t>
    </r>
    <r>
      <rPr>
        <sz val="10"/>
        <rFont val="Franklin Gothic Book"/>
        <family val="2"/>
        <charset val="204"/>
      </rPr>
      <t xml:space="preserve">: 
  - the 1st row is </t>
    </r>
    <r>
      <rPr>
        <u/>
        <sz val="10"/>
        <rFont val="Franklin Gothic Book"/>
        <family val="2"/>
        <charset val="204"/>
      </rPr>
      <t>table header</t>
    </r>
    <r>
      <rPr>
        <sz val="10"/>
        <rFont val="Franklin Gothic Book"/>
        <family val="2"/>
        <charset val="204"/>
      </rPr>
      <t xml:space="preserve">: keyword "Rules", return value type, table name and input parameters in quotes;
  - the 2nd row is </t>
    </r>
    <r>
      <rPr>
        <u/>
        <sz val="10"/>
        <rFont val="Franklin Gothic Book"/>
        <family val="2"/>
        <charset val="204"/>
      </rPr>
      <t>table properties</t>
    </r>
    <r>
      <rPr>
        <sz val="10"/>
        <rFont val="Franklin Gothic Book"/>
        <family val="2"/>
        <charset val="204"/>
      </rPr>
      <t xml:space="preserve"> (optional);
  - the 3rd row contains </t>
    </r>
    <r>
      <rPr>
        <u/>
        <sz val="10"/>
        <rFont val="Franklin Gothic Book"/>
        <family val="2"/>
        <charset val="204"/>
      </rPr>
      <t>condition headers</t>
    </r>
    <r>
      <rPr>
        <sz val="10"/>
        <rFont val="Franklin Gothic Book"/>
        <family val="2"/>
        <charset val="204"/>
      </rPr>
      <t xml:space="preserve"> (C1, C2, HC1, etc.), </t>
    </r>
    <r>
      <rPr>
        <u/>
        <sz val="10"/>
        <rFont val="Franklin Gothic Book"/>
        <family val="2"/>
        <charset val="204"/>
      </rPr>
      <t>action and return headers</t>
    </r>
    <r>
      <rPr>
        <sz val="10"/>
        <rFont val="Franklin Gothic Book"/>
        <family val="2"/>
        <charset val="204"/>
      </rPr>
      <t xml:space="preserve"> (A1, RET1, RET2, etc.);
  - the 4th row contains </t>
    </r>
    <r>
      <rPr>
        <u/>
        <sz val="10"/>
        <rFont val="Franklin Gothic Book"/>
        <family val="2"/>
        <charset val="204"/>
      </rPr>
      <t>condition/action/return statements</t>
    </r>
    <r>
      <rPr>
        <sz val="10"/>
        <rFont val="Franklin Gothic Book"/>
        <family val="2"/>
        <charset val="204"/>
      </rPr>
      <t>;</t>
    </r>
    <r>
      <rPr>
        <u/>
        <sz val="10"/>
        <rFont val="Franklin Gothic Book"/>
        <family val="2"/>
        <charset val="204"/>
      </rPr>
      <t xml:space="preserve">
</t>
    </r>
    <r>
      <rPr>
        <sz val="10"/>
        <rFont val="Franklin Gothic Book"/>
        <family val="2"/>
        <charset val="204"/>
      </rPr>
      <t xml:space="preserve"> - the 5th row is </t>
    </r>
    <r>
      <rPr>
        <u/>
        <sz val="10"/>
        <rFont val="Franklin Gothic Book"/>
        <family val="2"/>
        <charset val="204"/>
      </rPr>
      <t>parameter definition</t>
    </r>
    <r>
      <rPr>
        <sz val="10"/>
        <rFont val="Franklin Gothic Book"/>
        <family val="2"/>
        <charset val="204"/>
      </rPr>
      <t xml:space="preserve"> cells;
 - the 6th row is business </t>
    </r>
    <r>
      <rPr>
        <u/>
        <sz val="10"/>
        <rFont val="Franklin Gothic Book"/>
        <family val="2"/>
        <charset val="204"/>
      </rPr>
      <t>display names</t>
    </r>
    <r>
      <rPr>
        <sz val="10"/>
        <rFont val="Franklin Gothic Book"/>
        <family val="2"/>
        <charset val="204"/>
      </rPr>
      <t xml:space="preserve"> for parameters;
  - then you fill the table with </t>
    </r>
    <r>
      <rPr>
        <u/>
        <sz val="10"/>
        <rFont val="Franklin Gothic Book"/>
        <family val="2"/>
        <charset val="204"/>
      </rPr>
      <t>data</t>
    </r>
    <r>
      <rPr>
        <sz val="10"/>
        <rFont val="Franklin Gothic Book"/>
        <family val="2"/>
        <charset val="204"/>
      </rPr>
      <t xml:space="preserve"> (concrete parameter values of rules).</t>
    </r>
  </si>
  <si>
    <t>properties</t>
  </si>
  <si>
    <t>Integer min</t>
  </si>
  <si>
    <t>Integer max</t>
  </si>
  <si>
    <t>description</t>
  </si>
  <si>
    <t>The rule table determines appropriate greeting according to input hours.</t>
  </si>
  <si>
    <t>HC1</t>
  </si>
  <si>
    <t>String</t>
  </si>
  <si>
    <t>BMW</t>
  </si>
  <si>
    <t>USA</t>
  </si>
  <si>
    <t>Great Britain</t>
  </si>
  <si>
    <t xml:space="preserve">            Practice shows that usually users put very simple logic in condition and return statements. In cases such as simple equal or contains operations, you can simplify parameter and condition declarations (see examples below). OpenL engine creates required parameters automatically when user omits them.</t>
  </si>
  <si>
    <t>Premium Increase</t>
  </si>
  <si>
    <t>Step1-1. Simple Decision Table</t>
  </si>
  <si>
    <t>Step2. Lookup Table and its structure</t>
  </si>
  <si>
    <r>
      <t xml:space="preserve">           Recent experience shows that </t>
    </r>
    <r>
      <rPr>
        <b/>
        <sz val="10"/>
        <rFont val="Franklin Gothic Book"/>
        <family val="2"/>
        <charset val="204"/>
      </rPr>
      <t xml:space="preserve">in 95% of business cases </t>
    </r>
    <r>
      <rPr>
        <sz val="10"/>
        <rFont val="Franklin Gothic Book"/>
        <family val="2"/>
        <charset val="204"/>
      </rPr>
      <t xml:space="preserve">very simple logic of decision making is used.  To implement such cases just table </t>
    </r>
    <r>
      <rPr>
        <b/>
        <sz val="10"/>
        <rFont val="Franklin Gothic Book"/>
        <family val="2"/>
        <charset val="204"/>
      </rPr>
      <t>header, business titles and business data are enough =)</t>
    </r>
    <r>
      <rPr>
        <sz val="10"/>
        <rFont val="Franklin Gothic Book"/>
        <family val="2"/>
        <charset val="204"/>
      </rPr>
      <t xml:space="preserve">
           If your decision table has the following simple structure: there are conditions for each input parameter of a decision table that check equality of input and condition values, and a return column - go ahead and just use simplified decision table representation! 
            Simple decision table </t>
    </r>
    <r>
      <rPr>
        <b/>
        <sz val="10"/>
        <rFont val="Franklin Gothic Book"/>
        <family val="2"/>
        <charset val="204"/>
      </rPr>
      <t xml:space="preserve">allows skipping condition and return columns declarations </t>
    </r>
    <r>
      <rPr>
        <sz val="10"/>
        <rFont val="Franklin Gothic Book"/>
        <family val="2"/>
        <charset val="204"/>
      </rPr>
      <t>(3rd - 5th rows), and the table will consist of a header with keyword "</t>
    </r>
    <r>
      <rPr>
        <b/>
        <sz val="10"/>
        <rFont val="Franklin Gothic Book"/>
        <family val="2"/>
        <charset val="204"/>
      </rPr>
      <t>SimpleRules</t>
    </r>
    <r>
      <rPr>
        <sz val="10"/>
        <rFont val="Franklin Gothic Book"/>
        <family val="2"/>
        <charset val="204"/>
      </rPr>
      <t xml:space="preserve">", properties (optional), column titles and condition/return values. </t>
    </r>
  </si>
  <si>
    <t>Step2-1. Simple Lookup Table</t>
  </si>
  <si>
    <t>Driver Age \
                 Marital Status</t>
  </si>
  <si>
    <r>
      <t xml:space="preserve">           As in step 1-1, for the same reason, we could simplify Lookup Table skipping condition and return columns declarations. Instead of "Rules", we should use keyword "</t>
    </r>
    <r>
      <rPr>
        <b/>
        <sz val="10"/>
        <rFont val="Franklin Gothic Book"/>
        <family val="2"/>
        <charset val="204"/>
      </rPr>
      <t>SimpleLookup</t>
    </r>
    <r>
      <rPr>
        <sz val="10"/>
        <rFont val="Franklin Gothic Book"/>
        <family val="2"/>
        <charset val="204"/>
      </rPr>
      <t>".</t>
    </r>
  </si>
  <si>
    <t>Step2-2. Lookup Table with several horizontal conditions</t>
  </si>
  <si>
    <t>Lithuania</t>
  </si>
  <si>
    <t>Belarus</t>
  </si>
  <si>
    <t>Porche</t>
  </si>
  <si>
    <t>Z4 sDRIVE35i</t>
  </si>
  <si>
    <t>Z4 sDRIVE28i</t>
  </si>
  <si>
    <t xml:space="preserve">          The following is an example of Rules Table with several horizontal conditions which are also widely common in business needs. According to the rules Car Price depend on Country, Brand and Model of a car:</t>
  </si>
  <si>
    <t>911 Carrera 4S</t>
  </si>
  <si>
    <t>911 Carrera 4</t>
  </si>
  <si>
    <t>Some other examples of Decision Tables</t>
  </si>
  <si>
    <t>Step3. Examples of Decision Tables</t>
  </si>
  <si>
    <t xml:space="preserve">           Let's take a look at some other examples of usage of ranges, parameters, actions and etc. in Decision Tables.</t>
  </si>
  <si>
    <t>Step3-1. Demonstrating transposed Decision Table</t>
  </si>
  <si>
    <t xml:space="preserve">           OpenL automatically recognizes when your table is "transposed". In this case columns become rows and left-to-right / top-to-bottom  becomes top-to-bottom / left-to-right. Sometimes this orientation looks better and this is a more "traditional" business look of Decision Tables. </t>
  </si>
  <si>
    <t>Step3-2. Demonstrating usage of 2 parameters for one condition</t>
  </si>
  <si>
    <t xml:space="preserve">           You can use as many column parameters as you want for any condition or return or action. To do this you need to merge the column header and expression cells. This approach should only be used if condition can not be presented as a simple AND combination of one-parameter conditions (which is apparently not the case in this sample:) ):</t>
  </si>
  <si>
    <t xml:space="preserve"> min &lt;= hour  and  hour &lt;= max</t>
  </si>
  <si>
    <t>Step3-3. Demonstrating usage of Ranges in Decision Tables</t>
  </si>
  <si>
    <t>0 - 11</t>
  </si>
  <si>
    <t>12 - 17</t>
  </si>
  <si>
    <t>18 - 21</t>
  </si>
  <si>
    <t>22 - 23</t>
  </si>
  <si>
    <t>Hour</t>
  </si>
  <si>
    <t xml:space="preserve"> hour</t>
  </si>
  <si>
    <t>IntRange</t>
  </si>
  <si>
    <t xml:space="preserve">           Look at the following Table, we can make Greeting rule set very-very simple as familiar Excel table just using SimpleRule table format, ranges and simple return expression !!!! </t>
  </si>
  <si>
    <t>Good Morning, World!</t>
  </si>
  <si>
    <t>Good Afternoon, World!</t>
  </si>
  <si>
    <t>Good Evening, World!</t>
  </si>
  <si>
    <t>Good Night, World!</t>
  </si>
  <si>
    <t>Step3-4. Demonstrating Actions in Decision Tables</t>
  </si>
  <si>
    <t xml:space="preserve">            P.S. A table can have multiple return columns, however, only the first fired not blank value is returned.</t>
  </si>
  <si>
    <t>A1</t>
  </si>
  <si>
    <t>System.out.println ( greeting + ", World!" )</t>
  </si>
  <si>
    <t xml:space="preserve">            P.S. A table can have multiple action columns, if so, the engine executes actions for all rules whose conditions are true.</t>
  </si>
  <si>
    <t>Decision Tables. Decision Table Structure</t>
  </si>
  <si>
    <t xml:space="preserve">     Step1-1. Simple Decision Table</t>
  </si>
  <si>
    <t>Lookup Tables. Lookup Table Structure</t>
  </si>
  <si>
    <t xml:space="preserve"> Step2. Lookup Table and its structure</t>
  </si>
  <si>
    <t xml:space="preserve">     Step2-1. Simple Lookup Table</t>
  </si>
  <si>
    <t xml:space="preserve">     Step2-2. Lookup Table with several horizontal conditions</t>
  </si>
  <si>
    <t xml:space="preserve"> Step3. Examples of Decision Tables</t>
  </si>
  <si>
    <t xml:space="preserve">     Step3-1. Demonstrating transposed Decision Table</t>
  </si>
  <si>
    <t xml:space="preserve">     Step3-2. Demonstrating usage of 2 parameters for one condition</t>
  </si>
  <si>
    <t xml:space="preserve">     Step3-3. Demonstrating usage of Ranges in Decision Tables</t>
  </si>
  <si>
    <t xml:space="preserve">     Step3-4. Demonstrating Actions in Decision Tables</t>
  </si>
  <si>
    <r>
      <t xml:space="preserve">SimpleLookup DoubleValue </t>
    </r>
    <r>
      <rPr>
        <b/>
        <sz val="12"/>
        <rFont val="Franklin Gothic Book"/>
        <family val="2"/>
        <charset val="204"/>
      </rPr>
      <t>CarPrice</t>
    </r>
    <r>
      <rPr>
        <sz val="10"/>
        <color theme="0" tint="-0.499984740745262"/>
        <rFont val="Franklin Gothic Book"/>
        <family val="2"/>
        <charset val="204"/>
      </rPr>
      <t xml:space="preserve"> (String country, String carBrand, String carModel)</t>
    </r>
  </si>
  <si>
    <r>
      <t xml:space="preserve">Rules String </t>
    </r>
    <r>
      <rPr>
        <b/>
        <sz val="12"/>
        <rFont val="Franklin Gothic Book"/>
        <family val="2"/>
        <charset val="204"/>
      </rPr>
      <t>Greeting</t>
    </r>
    <r>
      <rPr>
        <sz val="10"/>
        <color theme="0" tint="-0.499984740745262"/>
        <rFont val="Franklin Gothic Book"/>
        <family val="2"/>
        <charset val="204"/>
      </rPr>
      <t xml:space="preserve"> (Integer hour)</t>
    </r>
  </si>
  <si>
    <r>
      <t xml:space="preserve">           OpenL Tables supports a lot of "sweet" / "business approach" range formats like 
                        “</t>
    </r>
    <r>
      <rPr>
        <b/>
        <sz val="10"/>
        <rFont val="Franklin Gothic Book"/>
        <family val="2"/>
        <charset val="204"/>
      </rPr>
      <t>&lt;min_number&gt; - &lt;max_number&gt;</t>
    </r>
    <r>
      <rPr>
        <sz val="10"/>
        <rFont val="Franklin Gothic Book"/>
        <family val="2"/>
        <charset val="204"/>
      </rPr>
      <t>” ;   
                       “</t>
    </r>
    <r>
      <rPr>
        <b/>
        <sz val="10"/>
        <rFont val="Franklin Gothic Book"/>
        <family val="2"/>
        <charset val="204"/>
      </rPr>
      <t>[&lt;min_number&gt;; &lt;max_number&gt;</t>
    </r>
    <r>
      <rPr>
        <sz val="10"/>
        <rFont val="Franklin Gothic Book"/>
        <family val="2"/>
        <charset val="204"/>
      </rPr>
      <t>” ;  
                       “</t>
    </r>
    <r>
      <rPr>
        <b/>
        <sz val="10"/>
        <rFont val="Franklin Gothic Book"/>
        <family val="2"/>
        <charset val="204"/>
      </rPr>
      <t>&lt;min_number&gt;+</t>
    </r>
    <r>
      <rPr>
        <sz val="10"/>
        <rFont val="Franklin Gothic Book"/>
        <family val="2"/>
        <charset val="204"/>
      </rPr>
      <t>” ;  
                       “</t>
    </r>
    <r>
      <rPr>
        <b/>
        <sz val="10"/>
        <rFont val="Franklin Gothic Book"/>
        <family val="2"/>
        <charset val="204"/>
      </rPr>
      <t>more than &lt;min_number&gt;</t>
    </r>
    <r>
      <rPr>
        <sz val="10"/>
        <rFont val="Franklin Gothic Book"/>
        <family val="2"/>
        <charset val="204"/>
      </rPr>
      <t>” 
and more ( full list with description you may find in Ref Guide ). 
           Datatypes of ranges can be IntRange, DoubleRange. 
           Simple Decision Tables support ranges as well. 
           Let's optimize "Greeting" Decision Table format using ranges:</t>
    </r>
  </si>
  <si>
    <r>
      <t xml:space="preserve">Rules String </t>
    </r>
    <r>
      <rPr>
        <b/>
        <sz val="12"/>
        <rFont val="Franklin Gothic Book"/>
        <family val="2"/>
        <charset val="204"/>
      </rPr>
      <t>Greeting1</t>
    </r>
    <r>
      <rPr>
        <sz val="10"/>
        <color theme="0" tint="-0.499984740745262"/>
        <rFont val="Franklin Gothic Book"/>
        <family val="2"/>
        <charset val="204"/>
      </rPr>
      <t xml:space="preserve"> (Integer hour)</t>
    </r>
  </si>
  <si>
    <r>
      <t xml:space="preserve">Rules String </t>
    </r>
    <r>
      <rPr>
        <b/>
        <sz val="12"/>
        <rFont val="Franklin Gothic Book"/>
        <family val="2"/>
        <charset val="204"/>
      </rPr>
      <t>Greeting2</t>
    </r>
    <r>
      <rPr>
        <sz val="10"/>
        <color theme="0" tint="-0.499984740745262"/>
        <rFont val="Franklin Gothic Book"/>
        <family val="2"/>
        <charset val="204"/>
      </rPr>
      <t xml:space="preserve"> (Integer hour)</t>
    </r>
  </si>
  <si>
    <r>
      <t xml:space="preserve">Rules String </t>
    </r>
    <r>
      <rPr>
        <b/>
        <sz val="12"/>
        <rFont val="Franklin Gothic Book"/>
        <family val="2"/>
        <charset val="204"/>
      </rPr>
      <t>Greeting3</t>
    </r>
    <r>
      <rPr>
        <sz val="10"/>
        <color theme="0" tint="-0.499984740745262"/>
        <rFont val="Franklin Gothic Book"/>
        <family val="2"/>
        <charset val="204"/>
      </rPr>
      <t xml:space="preserve"> (Integer hour)</t>
    </r>
  </si>
  <si>
    <r>
      <t xml:space="preserve">SimpleRules String </t>
    </r>
    <r>
      <rPr>
        <b/>
        <sz val="12"/>
        <rFont val="Franklin Gothic Book"/>
        <family val="2"/>
        <charset val="204"/>
      </rPr>
      <t>Greeting4</t>
    </r>
    <r>
      <rPr>
        <sz val="10"/>
        <color theme="0" tint="-0.499984740745262"/>
        <rFont val="Franklin Gothic Book"/>
        <family val="2"/>
        <charset val="204"/>
      </rPr>
      <t xml:space="preserve"> (Integer hour)</t>
    </r>
  </si>
  <si>
    <t xml:space="preserve">            P.S.You may notice that sets of tables Greeting[N] or DriverPremium[N] produce the same result, the logic part of rules stays the same. </t>
  </si>
  <si>
    <t>driverMaritalStatus</t>
  </si>
  <si>
    <r>
      <t xml:space="preserve">Rules DoubleValue </t>
    </r>
    <r>
      <rPr>
        <b/>
        <sz val="12"/>
        <rFont val="Franklin Gothic Book"/>
        <family val="2"/>
        <charset val="204"/>
      </rPr>
      <t>DriverPremium1</t>
    </r>
    <r>
      <rPr>
        <sz val="10"/>
        <color theme="0" tint="-0.499984740745262"/>
        <rFont val="Franklin Gothic Book"/>
        <family val="2"/>
        <charset val="204"/>
      </rPr>
      <t xml:space="preserve"> (String driverAge, String driverMaritalStatus)</t>
    </r>
  </si>
  <si>
    <r>
      <t xml:space="preserve">Rules DoubleValue </t>
    </r>
    <r>
      <rPr>
        <b/>
        <sz val="12"/>
        <rFont val="Franklin Gothic Book"/>
        <family val="2"/>
        <charset val="204"/>
      </rPr>
      <t>DriverPremium2</t>
    </r>
    <r>
      <rPr>
        <sz val="10"/>
        <color theme="0" tint="-0.499984740745262"/>
        <rFont val="Franklin Gothic Book"/>
        <family val="2"/>
        <charset val="204"/>
      </rPr>
      <t xml:space="preserve"> (String driverAge, String driverMaritalStatus)</t>
    </r>
  </si>
  <si>
    <r>
      <t xml:space="preserve">SimpleLookup DoubleValue </t>
    </r>
    <r>
      <rPr>
        <b/>
        <sz val="12"/>
        <rFont val="Franklin Gothic Book"/>
        <family val="2"/>
        <charset val="204"/>
      </rPr>
      <t>DriverPremium5</t>
    </r>
    <r>
      <rPr>
        <sz val="10"/>
        <color theme="0" tint="-0.499984740745262"/>
        <rFont val="Franklin Gothic Book"/>
        <family val="2"/>
        <charset val="204"/>
      </rPr>
      <t xml:space="preserve"> (String driverAge, String driverdriverMaritalStatus)</t>
    </r>
  </si>
  <si>
    <r>
      <t xml:space="preserve">            A </t>
    </r>
    <r>
      <rPr>
        <b/>
        <sz val="10"/>
        <rFont val="Franklin Gothic Book"/>
        <family val="2"/>
        <charset val="204"/>
      </rPr>
      <t>Lookup table</t>
    </r>
    <r>
      <rPr>
        <sz val="10"/>
        <rFont val="Franklin Gothic Book"/>
        <family val="2"/>
        <charset val="204"/>
      </rPr>
      <t xml:space="preserve"> is a Decision table which contains both vertical and horizontal conditions and returns value on crossroads of matching condition values.
            Lookup table must have:
• at least one </t>
    </r>
    <r>
      <rPr>
        <u/>
        <sz val="10"/>
        <rFont val="Franklin Gothic Book"/>
        <family val="2"/>
        <charset val="204"/>
      </rPr>
      <t>vertical condition (C)</t>
    </r>
    <r>
      <rPr>
        <sz val="10"/>
        <rFont val="Franklin Gothic Book"/>
        <family val="2"/>
        <charset val="204"/>
      </rPr>
      <t xml:space="preserve">;
• at least one </t>
    </r>
    <r>
      <rPr>
        <u/>
        <sz val="10"/>
        <rFont val="Franklin Gothic Book"/>
        <family val="2"/>
        <charset val="204"/>
      </rPr>
      <t>horizontal condition (HC)</t>
    </r>
    <r>
      <rPr>
        <sz val="10"/>
        <rFont val="Franklin Gothic Book"/>
        <family val="2"/>
        <charset val="204"/>
      </rPr>
      <t xml:space="preserve">. Please, note that HC columns do not have Titles section (display names);
• exactly </t>
    </r>
    <r>
      <rPr>
        <u/>
        <sz val="10"/>
        <rFont val="Franklin Gothic Book"/>
        <family val="2"/>
        <charset val="204"/>
      </rPr>
      <t>one return column (RET)</t>
    </r>
    <r>
      <rPr>
        <sz val="10"/>
        <rFont val="Franklin Gothic Book"/>
        <family val="2"/>
        <charset val="204"/>
      </rPr>
      <t>.
            Let's present rules table DriverPremium in Lookup table format which is the most compact for such kind of rules:</t>
    </r>
  </si>
  <si>
    <t xml:space="preserve">           P.S. All tables DriverPremium, presented in different table formats, produce the same result.</t>
  </si>
  <si>
    <r>
      <t xml:space="preserve">Rules void </t>
    </r>
    <r>
      <rPr>
        <b/>
        <sz val="12"/>
        <rFont val="Franklin Gothic Book"/>
        <family val="2"/>
        <charset val="204"/>
      </rPr>
      <t>Greeting5</t>
    </r>
    <r>
      <rPr>
        <sz val="10"/>
        <color theme="0" tint="-0.499984740745262"/>
        <rFont val="Franklin Gothic Book"/>
        <family val="2"/>
        <charset val="204"/>
      </rPr>
      <t xml:space="preserve"> (Integer hour)</t>
    </r>
  </si>
  <si>
    <r>
      <t xml:space="preserve">            A </t>
    </r>
    <r>
      <rPr>
        <b/>
        <sz val="10"/>
        <rFont val="Franklin Gothic Book"/>
        <family val="2"/>
        <charset val="204"/>
      </rPr>
      <t>decision table</t>
    </r>
    <r>
      <rPr>
        <sz val="10"/>
        <rFont val="Franklin Gothic Book"/>
        <family val="2"/>
        <charset val="204"/>
      </rPr>
      <t xml:space="preserve"> is a set of rules describing decision situations where the state of a number of conditions determines the execution of a set of actions. It is the basic table type used in OpenL Tablets decision making. 
            </t>
    </r>
    <r>
      <rPr>
        <u/>
        <sz val="10"/>
        <rFont val="Franklin Gothic Book"/>
        <family val="2"/>
        <charset val="204"/>
      </rPr>
      <t xml:space="preserve">Rules inside decision tables are processed from top to bottom one by one </t>
    </r>
    <r>
      <rPr>
        <sz val="10"/>
        <rFont val="Franklin Gothic Book"/>
        <family val="2"/>
        <charset val="204"/>
      </rPr>
      <t xml:space="preserve">
           </t>
    </r>
    <r>
      <rPr>
        <b/>
        <sz val="10"/>
        <rFont val="Franklin Gothic Book"/>
        <family val="2"/>
        <charset val="204"/>
      </rPr>
      <t>A rule is executed only when all its conditions are true</t>
    </r>
    <r>
      <rPr>
        <sz val="10"/>
        <rFont val="Franklin Gothic Book"/>
        <family val="2"/>
        <charset val="204"/>
      </rPr>
      <t>. Absence of a parameter in a condition cell is interpreted as a true value. Blank action/return value cells are ignored. Decision table</t>
    </r>
    <r>
      <rPr>
        <u/>
        <sz val="10"/>
        <rFont val="Franklin Gothic Book"/>
        <family val="2"/>
        <charset val="204"/>
      </rPr>
      <t xml:space="preserve"> returns the first not blank value </t>
    </r>
    <r>
      <rPr>
        <sz val="10"/>
        <rFont val="Franklin Gothic Book"/>
        <family val="2"/>
        <charset val="204"/>
      </rPr>
      <t>of the rule row rules whose conditions are true. 
The following is an example of Decision table determining  appropriate Greeting according to current hours:</t>
    </r>
  </si>
  <si>
    <r>
      <t xml:space="preserve">SimpleRules DoubleValue </t>
    </r>
    <r>
      <rPr>
        <b/>
        <sz val="12"/>
        <rFont val="Franklin Gothic Book"/>
        <family val="2"/>
        <charset val="204"/>
      </rPr>
      <t>DriverPremium3</t>
    </r>
    <r>
      <rPr>
        <sz val="10"/>
        <color theme="0" tint="-0.499984740745262"/>
        <rFont val="Franklin Gothic Book"/>
        <family val="2"/>
        <charset val="204"/>
      </rPr>
      <t xml:space="preserve"> (String driverAge, String driverMaritalStatus)</t>
    </r>
  </si>
  <si>
    <r>
      <t xml:space="preserve">Rules DoubleValue </t>
    </r>
    <r>
      <rPr>
        <b/>
        <sz val="12"/>
        <rFont val="Franklin Gothic Book"/>
        <family val="2"/>
        <charset val="204"/>
      </rPr>
      <t>DriverPremium4</t>
    </r>
    <r>
      <rPr>
        <sz val="10"/>
        <color theme="0" tint="-0.499984740745262"/>
        <rFont val="Franklin Gothic Book"/>
        <family val="2"/>
        <charset val="204"/>
      </rPr>
      <t xml:space="preserve"> (String driverAge, String driverMaritalStatus)</t>
    </r>
  </si>
  <si>
    <t>Country</t>
  </si>
  <si>
    <t>= (Short) 12</t>
  </si>
  <si>
    <t>= (Short) 0</t>
  </si>
  <si>
    <t>min &lt;= hour and hour &lt;= max</t>
  </si>
  <si>
    <t>step</t>
  </si>
  <si>
    <t>value</t>
  </si>
  <si>
    <t>=1-0.9</t>
  </si>
  <si>
    <t>'=1-0.9</t>
  </si>
  <si>
    <t>=102.35</t>
  </si>
  <si>
    <t>s11</t>
  </si>
  <si>
    <t>s22</t>
  </si>
  <si>
    <t>s33</t>
  </si>
  <si>
    <t>s44</t>
  </si>
  <si>
    <t>'=1042.35</t>
  </si>
  <si>
    <t>=1042.35</t>
  </si>
  <si>
    <t>'=$s22*$s11</t>
  </si>
  <si>
    <t>=$s22*$s11</t>
  </si>
  <si>
    <t>'=round($s33,2)</t>
  </si>
  <si>
    <t>=round($s33,2)</t>
  </si>
  <si>
    <t>excel</t>
  </si>
  <si>
    <t>PFG case (with bug)</t>
  </si>
  <si>
    <t>Test TestRoundSubstract TestRoundSubstractTest</t>
  </si>
  <si>
    <t>Spreadsheet SpreadsheetResult TestRoundSubstract(Integer a)</t>
  </si>
  <si>
    <t>a</t>
  </si>
  <si>
    <t>_res_.$value$s44</t>
  </si>
  <si>
    <t>=1002.35</t>
  </si>
  <si>
    <t>similar case 1 but no bug</t>
  </si>
  <si>
    <t>similar case 2 but no bug</t>
  </si>
  <si>
    <t>Blue Owl case (with bug)</t>
  </si>
  <si>
    <t>TotalPremium</t>
  </si>
  <si>
    <t>= 10 * 1.06 * 0.95 * 1.5</t>
  </si>
  <si>
    <t>= 10 * (1.06 * 0.95) * 1.5</t>
  </si>
  <si>
    <t>TotalPremiumNoRound</t>
  </si>
  <si>
    <t>'=round($TotalPremiumNoRound,2)</t>
  </si>
  <si>
    <t>_res_.$value$TotalPremium</t>
  </si>
  <si>
    <t>= round($TotalPremiumNoRound,2)</t>
  </si>
  <si>
    <r>
      <rPr>
        <sz val="10"/>
        <color rgb="FFFF0000"/>
        <rFont val="Arial"/>
        <family val="2"/>
        <charset val="204"/>
      </rPr>
      <t>'= 10 * (1.06 * 0.95) * 1.5</t>
    </r>
    <r>
      <rPr>
        <sz val="10"/>
        <rFont val="Arial"/>
        <family val="2"/>
        <charset val="204"/>
      </rPr>
      <t xml:space="preserve">
BUT similar case (see column "similar case 1 but no bug")
 </t>
    </r>
    <r>
      <rPr>
        <sz val="10"/>
        <color rgb="FF00B050"/>
        <rFont val="Arial"/>
        <family val="2"/>
        <charset val="204"/>
      </rPr>
      <t xml:space="preserve">'= 10 * 1.06 * 0.95 * 1.5 </t>
    </r>
    <r>
      <rPr>
        <sz val="10"/>
        <rFont val="Arial"/>
        <family val="2"/>
        <charset val="204"/>
      </rPr>
      <t xml:space="preserve">
without parentheses works correctly</t>
    </r>
  </si>
  <si>
    <t>text</t>
  </si>
  <si>
    <t>id</t>
  </si>
  <si>
    <t>aType</t>
  </si>
  <si>
    <t>answers</t>
  </si>
  <si>
    <t>String[]</t>
  </si>
  <si>
    <t>Datatype Questionnaire</t>
  </si>
  <si>
    <t>A Type</t>
  </si>
  <si>
    <t>Answers</t>
  </si>
  <si>
    <t>fjdk</t>
  </si>
  <si>
    <t>fhldh</t>
  </si>
  <si>
    <t>klfd</t>
  </si>
  <si>
    <t>gdf</t>
  </si>
  <si>
    <t>fgd</t>
  </si>
  <si>
    <t>df</t>
  </si>
  <si>
    <t>fhd</t>
  </si>
  <si>
    <t>fhdh</t>
  </si>
  <si>
    <t>fd</t>
  </si>
  <si>
    <t>gd</t>
  </si>
  <si>
    <t>Product</t>
  </si>
  <si>
    <t>Product Type</t>
  </si>
  <si>
    <t>All</t>
  </si>
  <si>
    <t>productType</t>
  </si>
  <si>
    <t>Result</t>
  </si>
  <si>
    <t>Home</t>
  </si>
  <si>
    <t>Auto</t>
  </si>
  <si>
    <t xml:space="preserve">SmartRules Collect Questionnaire[] QuestionInfo () </t>
  </si>
  <si>
    <t>= QuestionInfo () [select first having productType == product]</t>
  </si>
  <si>
    <r>
      <rPr>
        <sz val="10"/>
        <color theme="0" tint="-0.499984740745262"/>
        <rFont val="Franklin Gothic Book"/>
        <family val="2"/>
        <charset val="204"/>
      </rPr>
      <t>SmartRules Questionnaire</t>
    </r>
    <r>
      <rPr>
        <b/>
        <sz val="10"/>
        <color theme="1"/>
        <rFont val="Franklin Gothic Book"/>
        <family val="2"/>
        <charset val="204"/>
      </rPr>
      <t xml:space="preserve"> DetermineQuestionListByProduct</t>
    </r>
    <r>
      <rPr>
        <sz val="10"/>
        <color theme="1"/>
        <rFont val="Franklin Gothic Book"/>
        <family val="2"/>
        <charset val="204"/>
      </rPr>
      <t xml:space="preserve"> </t>
    </r>
    <r>
      <rPr>
        <sz val="10"/>
        <color theme="0" tint="-0.499984740745262"/>
        <rFont val="Franklin Gothic Book"/>
        <family val="2"/>
        <charset val="204"/>
      </rPr>
      <t>( String product)</t>
    </r>
  </si>
  <si>
    <r>
      <t xml:space="preserve">SmartRules Double </t>
    </r>
    <r>
      <rPr>
        <b/>
        <sz val="12"/>
        <rFont val="Franklin Gothic Book"/>
        <family val="2"/>
        <charset val="204"/>
      </rPr>
      <t>Operations</t>
    </r>
    <r>
      <rPr>
        <sz val="10"/>
        <color theme="0" tint="-0.499984740745262"/>
        <rFont val="Franklin Gothic Book"/>
        <family val="2"/>
        <charset val="204"/>
      </rPr>
      <t xml:space="preserve"> (String operationType, Double a, Double b)</t>
    </r>
  </si>
  <si>
    <t>Operation</t>
  </si>
  <si>
    <t>SUBSTRUCT</t>
  </si>
  <si>
    <t>ADD</t>
  </si>
  <si>
    <t>DIVIDE</t>
  </si>
  <si>
    <t>MULTIPY</t>
  </si>
  <si>
    <t>POW</t>
  </si>
  <si>
    <t>= a - b</t>
  </si>
  <si>
    <t>= a + b</t>
  </si>
  <si>
    <t>= a / b</t>
  </si>
  <si>
    <t>= a * b</t>
  </si>
  <si>
    <t>= a ** b</t>
  </si>
  <si>
    <r>
      <t xml:space="preserve">Test Operations </t>
    </r>
    <r>
      <rPr>
        <b/>
        <sz val="12"/>
        <rFont val="Franklin Gothic Book"/>
        <family val="2"/>
        <charset val="204"/>
      </rPr>
      <t>OperationsTest</t>
    </r>
  </si>
  <si>
    <t>A</t>
  </si>
  <si>
    <t>B</t>
  </si>
  <si>
    <t>operationType</t>
  </si>
  <si>
    <t>b</t>
  </si>
  <si>
    <t>_res_</t>
  </si>
  <si>
    <r>
      <t xml:space="preserve">SmartRules DoubleValue </t>
    </r>
    <r>
      <rPr>
        <b/>
        <sz val="12"/>
        <rFont val="Franklin Gothic Book"/>
        <family val="2"/>
        <charset val="204"/>
      </rPr>
      <t>Operations2</t>
    </r>
    <r>
      <rPr>
        <sz val="10"/>
        <color theme="0" tint="-0.499984740745262"/>
        <rFont val="Franklin Gothic Book"/>
        <family val="2"/>
        <charset val="204"/>
      </rPr>
      <t xml:space="preserve"> (String operationType, DoubleValue a, DoubleValue b)</t>
    </r>
  </si>
  <si>
    <r>
      <t xml:space="preserve">Test Operations2 </t>
    </r>
    <r>
      <rPr>
        <b/>
        <sz val="12"/>
        <rFont val="Franklin Gothic Book"/>
        <family val="2"/>
        <charset val="204"/>
      </rPr>
      <t>Operations2Test</t>
    </r>
  </si>
  <si>
    <r>
      <t xml:space="preserve">SmartRules Double </t>
    </r>
    <r>
      <rPr>
        <b/>
        <sz val="12"/>
        <rFont val="Franklin Gothic Book"/>
        <family val="2"/>
        <charset val="204"/>
      </rPr>
      <t>Operations3</t>
    </r>
    <r>
      <rPr>
        <sz val="10"/>
        <color theme="0" tint="-0.499984740745262"/>
        <rFont val="Franklin Gothic Book"/>
        <family val="2"/>
        <charset val="204"/>
      </rPr>
      <t xml:space="preserve"> (String operationType, Integer a, Integer b)</t>
    </r>
  </si>
  <si>
    <r>
      <t xml:space="preserve">Test Operations3 </t>
    </r>
    <r>
      <rPr>
        <b/>
        <sz val="12"/>
        <rFont val="Franklin Gothic Book"/>
        <family val="2"/>
        <charset val="204"/>
      </rPr>
      <t>Operations3Test</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</si>
</sst>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164" formatCode="_-[$$-409]* #,##0_ ;_-[$$-409]* \-#,##0\ ;_-[$$-409]* &quot;-&quot;_ ;_-@_ "/>
    <numFmt numFmtId="165" formatCode="\ &quot;$&quot;#,##0_);[Red]\(&quot;$&quot;#,##0\)"/>
    <numFmt numFmtId="166" formatCode="#,##0.0"/>
    <numFmt numFmtId="170" formatCode="0.0"/>
  </numFmts>
  <fonts count="25" x14ac:knownFonts="1">
    <font>
      <sz val="10"/>
      <name val="Arial"/>
    </font>
    <font>
      <sz val="8"/>
      <color indexed="81"/>
      <name val="Tahoma"/>
      <family val="2"/>
      <charset val="204"/>
    </font>
    <font>
      <b/>
      <sz val="16"/>
      <name val="Franklin Gothic Book"/>
      <family val="2"/>
      <charset val="204"/>
    </font>
    <font>
      <sz val="10"/>
      <name val="Franklin Gothic Book"/>
      <family val="2"/>
      <charset val="204"/>
    </font>
    <font>
      <sz val="10"/>
      <name val="Arial"/>
      <family val="2"/>
      <charset val="204"/>
    </font>
    <font>
      <b/>
      <sz val="12"/>
      <name val="Franklin Gothic Book"/>
      <family val="2"/>
      <charset val="204"/>
    </font>
    <font>
      <sz val="12"/>
      <name val="Franklin Gothic Book"/>
      <family val="2"/>
      <charset val="204"/>
    </font>
    <font>
      <b/>
      <sz val="14"/>
      <name val="Franklin Gothic Book"/>
      <family val="2"/>
      <charset val="204"/>
    </font>
    <font>
      <b/>
      <sz val="10"/>
      <name val="Franklin Gothic Book"/>
      <family val="2"/>
      <charset val="204"/>
    </font>
    <font>
      <u/>
      <sz val="10"/>
      <name val="Franklin Gothic Book"/>
      <family val="2"/>
      <charset val="204"/>
    </font>
    <font>
      <sz val="11"/>
      <name val="Franklin Gothic Book"/>
      <family val="2"/>
      <charset val="204"/>
    </font>
    <font>
      <u/>
      <sz val="12"/>
      <color indexed="12"/>
      <name val="Arial"/>
      <family val="2"/>
      <charset val="204"/>
    </font>
    <font>
      <sz val="9"/>
      <color indexed="81"/>
      <name val="Tahoma"/>
      <family val="2"/>
      <charset val="204"/>
    </font>
    <font>
      <b/>
      <sz val="9"/>
      <color indexed="81"/>
      <name val="Tahoma"/>
      <family val="2"/>
      <charset val="204"/>
    </font>
    <font>
      <sz val="10"/>
      <color theme="0" tint="-0.499984740745262"/>
      <name val="Franklin Gothic Book"/>
      <family val="2"/>
      <charset val="204"/>
    </font>
    <font>
      <sz val="8"/>
      <color indexed="81"/>
      <name val="Courier New"/>
      <family val="3"/>
    </font>
    <font>
      <sz val="8"/>
      <color indexed="81"/>
      <name val="Tahoma"/>
      <family val="2"/>
    </font>
    <font>
      <u/>
      <sz val="10"/>
      <name val="Arial"/>
      <family val="2"/>
      <charset val="204"/>
    </font>
    <font>
      <sz val="10"/>
      <name val="Arial"/>
      <family val="2"/>
      <charset val="204"/>
    </font>
    <font>
      <sz val="10"/>
      <name val="Arial"/>
      <family val="2"/>
      <charset val="204"/>
    </font>
    <font>
      <b/>
      <sz val="10"/>
      <name val="Arial"/>
      <family val="2"/>
      <charset val="204"/>
    </font>
    <font>
      <sz val="10"/>
      <color rgb="FFFF0000"/>
      <name val="Arial"/>
      <family val="2"/>
      <charset val="204"/>
    </font>
    <font>
      <sz val="10"/>
      <color rgb="FF00B050"/>
      <name val="Arial"/>
      <family val="2"/>
      <charset val="204"/>
    </font>
    <font>
      <sz val="10"/>
      <color theme="1"/>
      <name val="Franklin Gothic Book"/>
      <family val="2"/>
      <charset val="204"/>
    </font>
    <font>
      <b/>
      <sz val="10"/>
      <color theme="1"/>
      <name val="Franklin Gothic Book"/>
      <family val="2"/>
      <charset val="204"/>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EFCCE"/>
        <bgColor indexed="64"/>
      </patternFill>
    </fill>
    <fill>
      <patternFill patternType="solid">
        <fgColor rgb="FFF0DB5E"/>
        <bgColor indexed="64"/>
      </patternFill>
    </fill>
    <fill>
      <patternFill patternType="solid">
        <fgColor rgb="FFFDFAB9"/>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s>
  <borders count="39">
    <border>
      <left/>
      <right/>
      <top/>
      <bottom/>
      <diagonal/>
    </border>
    <border>
      <left/>
      <right/>
      <top style="medium">
        <color indexed="64"/>
      </top>
      <bottom/>
      <diagonal/>
    </border>
    <border>
      <left/>
      <right/>
      <top/>
      <bottom style="medium">
        <color indexed="64"/>
      </bottom>
      <diagonal/>
    </border>
    <border>
      <left/>
      <right/>
      <top style="thin">
        <color indexed="64"/>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auto="1"/>
      </top>
      <bottom style="thin">
        <color indexed="64"/>
      </bottom>
      <diagonal/>
    </border>
    <border>
      <left/>
      <right style="hair">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right style="hair">
        <color auto="1"/>
      </right>
      <top style="hair">
        <color auto="1"/>
      </top>
      <bottom/>
      <diagonal/>
    </border>
    <border>
      <left style="hair">
        <color indexed="64"/>
      </left>
      <right/>
      <top style="hair">
        <color indexed="64"/>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top/>
      <bottom style="thick">
        <color rgb="FFFFC000"/>
      </bottom>
      <diagonal/>
    </border>
    <border>
      <left/>
      <right/>
      <top style="thick">
        <color rgb="FFFFC91D"/>
      </top>
      <bottom/>
      <diagonal/>
    </border>
    <border>
      <left/>
      <right/>
      <top style="hair">
        <color auto="1"/>
      </top>
      <bottom/>
      <diagonal/>
    </border>
    <border>
      <left style="hair">
        <color auto="1"/>
      </left>
      <right/>
      <top style="thick">
        <color rgb="FFFFC91D"/>
      </top>
      <bottom style="hair">
        <color auto="1"/>
      </bottom>
      <diagonal/>
    </border>
    <border>
      <left/>
      <right style="hair">
        <color auto="1"/>
      </right>
      <top style="thick">
        <color rgb="FFFFC91D"/>
      </top>
      <bottom style="hair">
        <color auto="1"/>
      </bottom>
      <diagonal/>
    </border>
    <border>
      <left/>
      <right style="hair">
        <color auto="1"/>
      </right>
      <top style="hair">
        <color auto="1"/>
      </top>
      <bottom style="thick">
        <color rgb="FFFFC91D"/>
      </bottom>
      <diagonal/>
    </border>
    <border>
      <left style="hair">
        <color auto="1"/>
      </left>
      <right/>
      <top style="hair">
        <color auto="1"/>
      </top>
      <bottom style="thick">
        <color rgb="FFFFC91D"/>
      </bottom>
      <diagonal/>
    </border>
    <border>
      <left/>
      <right/>
      <top/>
      <bottom style="thick">
        <color rgb="FFFFC91D"/>
      </bottom>
      <diagonal/>
    </border>
    <border>
      <left style="hair">
        <color auto="1"/>
      </left>
      <right/>
      <top/>
      <bottom style="hair">
        <color auto="1"/>
      </bottom>
      <diagonal/>
    </border>
    <border>
      <left style="hair">
        <color auto="1"/>
      </left>
      <right style="hair">
        <color auto="1"/>
      </right>
      <top style="hair">
        <color auto="1"/>
      </top>
      <bottom style="thick">
        <color rgb="FFFFC91D"/>
      </bottom>
      <diagonal/>
    </border>
    <border>
      <left style="hair">
        <color auto="1"/>
      </left>
      <right style="hair">
        <color auto="1"/>
      </right>
      <top/>
      <bottom style="thick">
        <color rgb="FFFFC91D"/>
      </bottom>
      <diagonal/>
    </border>
    <border>
      <left style="hair">
        <color auto="1"/>
      </left>
      <right/>
      <top/>
      <bottom style="thick">
        <color rgb="FFFFC91D"/>
      </bottom>
      <diagonal/>
    </border>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theme="0" tint="-0.24994659260841701"/>
      </bottom>
      <diagonal/>
    </border>
    <border>
      <left/>
      <right/>
      <top style="thick">
        <color rgb="FFFFC91D"/>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thin">
        <color indexed="64"/>
      </bottom>
      <diagonal/>
    </border>
  </borders>
  <cellStyleXfs count="3">
    <xf numFmtId="0" fontId="0" fillId="0" borderId="0"/>
    <xf numFmtId="0" fontId="18" fillId="0" borderId="0"/>
    <xf numFmtId="0" fontId="19" fillId="0" borderId="0"/>
  </cellStyleXfs>
  <cellXfs count="149">
    <xf numFmtId="0" fontId="0" fillId="0" borderId="0" xfId="0"/>
    <xf numFmtId="0" fontId="0" fillId="0" borderId="0" xfId="2" applyFont="1"/>
    <xf numFmtId="0" fontId="3" fillId="2" borderId="0" xfId="2" applyFont="1" applyFill="1" applyBorder="1" applyAlignment="1">
      <alignment horizontal="center" vertical="center" wrapText="1"/>
    </xf>
    <xf numFmtId="0" fontId="3" fillId="0" borderId="0" xfId="2" applyFont="1"/>
    <xf numFmtId="0" fontId="3" fillId="2" borderId="0" xfId="2" applyFont="1" applyFill="1" applyBorder="1" applyAlignment="1">
      <alignment horizontal="center" vertical="center" wrapText="1"/>
    </xf>
    <xf numFmtId="0" fontId="3" fillId="2" borderId="0" xfId="2" applyFont="1" applyFill="1" applyBorder="1" applyAlignment="1">
      <alignment horizontal="center" vertical="center" wrapText="1"/>
    </xf>
    <xf numFmtId="0" fontId="3" fillId="0" borderId="0" xfId="2" applyFont="1"/>
    <xf numFmtId="0" fontId="3" fillId="2" borderId="0" xfId="2" applyFont="1" applyFill="1" applyBorder="1" applyAlignment="1">
      <alignment horizontal="center" vertical="center" wrapText="1"/>
    </xf>
    <xf numFmtId="0" fontId="0" fillId="0" borderId="0" xfId="2" applyFont="1"/>
    <xf numFmtId="0" fontId="3" fillId="2" borderId="0" xfId="2" applyFont="1" applyFill="1" applyBorder="1" applyAlignment="1">
      <alignment horizontal="center" vertical="center" wrapText="1"/>
    </xf>
    <xf numFmtId="0" fontId="4" fillId="0" borderId="0" xfId="2" applyFont="1"/>
    <xf numFmtId="0" fontId="3" fillId="0" borderId="0" xfId="2" applyFont="1"/>
    <xf numFmtId="0" fontId="3" fillId="2" borderId="0" xfId="2" applyFont="1" applyFill="1" applyBorder="1" applyAlignment="1">
      <alignment horizontal="center" vertical="center" wrapText="1"/>
    </xf>
    <xf numFmtId="0" fontId="14" fillId="3" borderId="0" xfId="2" applyFont="1" applyFill="1" applyBorder="1" applyAlignment="1">
      <alignment horizontal="center" vertical="center"/>
    </xf>
    <xf numFmtId="0" fontId="3" fillId="3" borderId="0" xfId="2" applyFont="1" applyFill="1" applyBorder="1" applyAlignment="1">
      <alignment horizontal="center" vertical="center" wrapText="1"/>
    </xf>
    <xf numFmtId="0" fontId="8" fillId="4" borderId="0" xfId="2" applyFont="1" applyFill="1" applyBorder="1" applyAlignment="1">
      <alignment horizontal="center" vertical="center" wrapText="1"/>
    </xf>
    <xf numFmtId="3" fontId="3" fillId="3" borderId="3" xfId="2" quotePrefix="1" applyNumberFormat="1" applyFont="1" applyFill="1" applyBorder="1" applyAlignment="1">
      <alignment horizontal="center" vertical="center"/>
    </xf>
    <xf numFmtId="3" fontId="3" fillId="3" borderId="0" xfId="2" quotePrefix="1" applyNumberFormat="1" applyFont="1" applyFill="1" applyBorder="1" applyAlignment="1">
      <alignment horizontal="center" vertical="center"/>
    </xf>
    <xf numFmtId="0" fontId="3" fillId="5" borderId="0" xfId="2" quotePrefix="1" applyNumberFormat="1" applyFont="1" applyFill="1" applyBorder="1" applyAlignment="1">
      <alignment horizontal="center" vertical="center"/>
    </xf>
    <xf numFmtId="3" fontId="3" fillId="3" borderId="4" xfId="2" applyNumberFormat="1" applyFont="1" applyFill="1" applyBorder="1" applyAlignment="1">
      <alignment horizontal="center" vertical="center"/>
    </xf>
    <xf numFmtId="6" fontId="3" fillId="5" borderId="0" xfId="2" quotePrefix="1" applyNumberFormat="1" applyFont="1" applyFill="1" applyBorder="1" applyAlignment="1">
      <alignment horizontal="center" vertical="center"/>
    </xf>
    <xf numFmtId="3" fontId="3" fillId="3" borderId="8" xfId="2" applyNumberFormat="1" applyFont="1" applyFill="1" applyBorder="1" applyAlignment="1">
      <alignment horizontal="center" vertical="center"/>
    </xf>
    <xf numFmtId="6" fontId="3" fillId="3" borderId="9" xfId="2" applyNumberFormat="1" applyFont="1" applyFill="1" applyBorder="1" applyAlignment="1">
      <alignment horizontal="center" vertical="center"/>
    </xf>
    <xf numFmtId="0" fontId="3" fillId="3" borderId="6" xfId="2" applyFont="1" applyFill="1" applyBorder="1" applyAlignment="1">
      <alignment horizontal="center" vertical="center"/>
    </xf>
    <xf numFmtId="6" fontId="3" fillId="3" borderId="10" xfId="2" applyNumberFormat="1" applyFont="1" applyFill="1" applyBorder="1" applyAlignment="1">
      <alignment horizontal="center" vertical="center"/>
    </xf>
    <xf numFmtId="0" fontId="3" fillId="3" borderId="5" xfId="2" applyFont="1" applyFill="1" applyBorder="1" applyAlignment="1">
      <alignment horizontal="center" vertical="center"/>
    </xf>
    <xf numFmtId="6" fontId="3" fillId="5" borderId="7" xfId="2" quotePrefix="1" applyNumberFormat="1" applyFont="1" applyFill="1" applyBorder="1" applyAlignment="1">
      <alignment horizontal="center" vertical="center"/>
    </xf>
    <xf numFmtId="3" fontId="3" fillId="3" borderId="11" xfId="2" applyNumberFormat="1" applyFont="1" applyFill="1" applyBorder="1" applyAlignment="1">
      <alignment horizontal="center" vertical="center"/>
    </xf>
    <xf numFmtId="3" fontId="3" fillId="3" borderId="12" xfId="2" applyNumberFormat="1" applyFont="1" applyFill="1" applyBorder="1" applyAlignment="1">
      <alignment horizontal="center" vertical="center"/>
    </xf>
    <xf numFmtId="0" fontId="8" fillId="4" borderId="0" xfId="2" applyFont="1" applyFill="1" applyBorder="1" applyAlignment="1">
      <alignment horizontal="left" vertical="center" wrapText="1"/>
    </xf>
    <xf numFmtId="6" fontId="3" fillId="5" borderId="10" xfId="2" quotePrefix="1" applyNumberFormat="1" applyFont="1" applyFill="1" applyBorder="1" applyAlignment="1">
      <alignment horizontal="center" vertical="center"/>
    </xf>
    <xf numFmtId="0" fontId="8" fillId="4" borderId="0" xfId="2" applyFont="1" applyFill="1" applyBorder="1" applyAlignment="1">
      <alignment horizontal="center" vertical="center" wrapText="1"/>
    </xf>
    <xf numFmtId="6" fontId="3" fillId="5" borderId="13" xfId="2" quotePrefix="1" applyNumberFormat="1" applyFont="1" applyFill="1" applyBorder="1" applyAlignment="1">
      <alignment horizontal="center" vertical="center"/>
    </xf>
    <xf numFmtId="6" fontId="3" fillId="5" borderId="14" xfId="2" quotePrefix="1" applyNumberFormat="1" applyFont="1" applyFill="1" applyBorder="1" applyAlignment="1">
      <alignment horizontal="center" vertical="center"/>
    </xf>
    <xf numFmtId="0" fontId="11" fillId="2" borderId="0" xfId="0" applyFont="1" applyFill="1" applyAlignment="1" applyProtection="1"/>
    <xf numFmtId="0" fontId="14" fillId="3" borderId="4" xfId="2" applyFont="1" applyFill="1" applyBorder="1" applyAlignment="1">
      <alignment horizontal="center" vertical="center"/>
    </xf>
    <xf numFmtId="3" fontId="3" fillId="3" borderId="15" xfId="2" quotePrefix="1" applyNumberFormat="1" applyFont="1" applyFill="1" applyBorder="1" applyAlignment="1">
      <alignment horizontal="center" vertical="center"/>
    </xf>
    <xf numFmtId="3" fontId="3" fillId="3" borderId="16" xfId="2" quotePrefix="1" applyNumberFormat="1" applyFont="1" applyFill="1" applyBorder="1" applyAlignment="1">
      <alignment horizontal="center" vertical="center"/>
    </xf>
    <xf numFmtId="3" fontId="3" fillId="3" borderId="17" xfId="2" quotePrefix="1" applyNumberFormat="1" applyFont="1" applyFill="1" applyBorder="1" applyAlignment="1">
      <alignment horizontal="center" vertical="center"/>
    </xf>
    <xf numFmtId="0" fontId="14" fillId="3" borderId="0" xfId="2" applyFont="1" applyFill="1" applyBorder="1" applyAlignment="1">
      <alignment horizontal="center" vertical="center"/>
    </xf>
    <xf numFmtId="3" fontId="3" fillId="3" borderId="4" xfId="2" quotePrefix="1" applyNumberFormat="1" applyFont="1" applyFill="1" applyBorder="1" applyAlignment="1">
      <alignment horizontal="center" vertical="center"/>
    </xf>
    <xf numFmtId="0" fontId="17" fillId="0" borderId="0" xfId="2" applyFont="1"/>
    <xf numFmtId="0" fontId="3" fillId="2" borderId="0" xfId="2" applyFont="1" applyFill="1" applyBorder="1" applyAlignment="1">
      <alignment horizontal="left" vertical="center"/>
    </xf>
    <xf numFmtId="0" fontId="3" fillId="0" borderId="0" xfId="2" applyFont="1" applyBorder="1"/>
    <xf numFmtId="164" fontId="3" fillId="5" borderId="0" xfId="2" quotePrefix="1" applyNumberFormat="1" applyFont="1" applyFill="1" applyBorder="1" applyAlignment="1">
      <alignment horizontal="center" vertical="center"/>
    </xf>
    <xf numFmtId="0" fontId="8" fillId="7" borderId="0" xfId="2" applyFont="1" applyFill="1" applyBorder="1" applyAlignment="1">
      <alignment horizontal="center" vertical="center"/>
    </xf>
    <xf numFmtId="0" fontId="3" fillId="5" borderId="19" xfId="2" quotePrefix="1" applyNumberFormat="1" applyFont="1" applyFill="1" applyBorder="1" applyAlignment="1">
      <alignment horizontal="center" vertical="center"/>
    </xf>
    <xf numFmtId="0" fontId="3" fillId="2" borderId="19" xfId="2" applyFont="1" applyFill="1" applyBorder="1" applyAlignment="1">
      <alignment horizontal="center" vertical="center" wrapText="1"/>
    </xf>
    <xf numFmtId="6" fontId="3" fillId="5" borderId="19" xfId="2" quotePrefix="1" applyNumberFormat="1" applyFont="1" applyFill="1" applyBorder="1" applyAlignment="1">
      <alignment horizontal="center" vertical="center"/>
    </xf>
    <xf numFmtId="165" fontId="3" fillId="5" borderId="20" xfId="2" quotePrefix="1" applyNumberFormat="1" applyFont="1" applyFill="1" applyBorder="1" applyAlignment="1">
      <alignment horizontal="center" vertical="center"/>
    </xf>
    <xf numFmtId="6" fontId="3" fillId="5" borderId="21" xfId="2" quotePrefix="1" applyNumberFormat="1" applyFont="1" applyFill="1" applyBorder="1" applyAlignment="1">
      <alignment horizontal="center" vertical="center"/>
    </xf>
    <xf numFmtId="165" fontId="3" fillId="5" borderId="14" xfId="2" quotePrefix="1" applyNumberFormat="1" applyFont="1" applyFill="1" applyBorder="1" applyAlignment="1">
      <alignment horizontal="center" vertical="center"/>
    </xf>
    <xf numFmtId="0" fontId="3" fillId="7" borderId="0" xfId="1" applyFont="1" applyFill="1" applyBorder="1" applyAlignment="1">
      <alignment horizontal="center" vertical="center"/>
    </xf>
    <xf numFmtId="6" fontId="3" fillId="5" borderId="22" xfId="2" quotePrefix="1" applyNumberFormat="1" applyFont="1" applyFill="1" applyBorder="1" applyAlignment="1">
      <alignment horizontal="center" vertical="center"/>
    </xf>
    <xf numFmtId="165" fontId="3" fillId="5" borderId="23" xfId="2" quotePrefix="1" applyNumberFormat="1" applyFont="1" applyFill="1" applyBorder="1" applyAlignment="1">
      <alignment horizontal="center" vertical="center"/>
    </xf>
    <xf numFmtId="165" fontId="3" fillId="5" borderId="24" xfId="2" quotePrefix="1" applyNumberFormat="1" applyFont="1" applyFill="1" applyBorder="1" applyAlignment="1">
      <alignment horizontal="center" vertical="center"/>
    </xf>
    <xf numFmtId="6" fontId="3" fillId="5" borderId="26" xfId="2" quotePrefix="1" applyNumberFormat="1" applyFont="1" applyFill="1" applyBorder="1" applyAlignment="1">
      <alignment horizontal="center" vertical="center"/>
    </xf>
    <xf numFmtId="165" fontId="3" fillId="5" borderId="27" xfId="2" quotePrefix="1" applyNumberFormat="1" applyFont="1" applyFill="1" applyBorder="1" applyAlignment="1">
      <alignment horizontal="center" vertical="center"/>
    </xf>
    <xf numFmtId="0" fontId="3" fillId="7" borderId="25" xfId="1" applyFont="1" applyFill="1" applyBorder="1" applyAlignment="1">
      <alignment horizontal="center" vertical="center"/>
    </xf>
    <xf numFmtId="0" fontId="8" fillId="7" borderId="0" xfId="2" applyFont="1" applyFill="1" applyBorder="1" applyAlignment="1">
      <alignment horizontal="center" vertical="center" wrapText="1"/>
    </xf>
    <xf numFmtId="0" fontId="8" fillId="7" borderId="25" xfId="2" applyFont="1" applyFill="1" applyBorder="1" applyAlignment="1">
      <alignment horizontal="center" vertical="center" wrapText="1"/>
    </xf>
    <xf numFmtId="164" fontId="3" fillId="5" borderId="15" xfId="2" quotePrefix="1" applyNumberFormat="1" applyFont="1" applyFill="1" applyBorder="1" applyAlignment="1">
      <alignment horizontal="center" vertical="center"/>
    </xf>
    <xf numFmtId="164" fontId="3" fillId="5" borderId="28" xfId="2" quotePrefix="1" applyNumberFormat="1" applyFont="1" applyFill="1" applyBorder="1" applyAlignment="1">
      <alignment horizontal="center" vertical="center"/>
    </xf>
    <xf numFmtId="164" fontId="3" fillId="5" borderId="29" xfId="2" quotePrefix="1" applyNumberFormat="1" applyFont="1" applyFill="1" applyBorder="1" applyAlignment="1">
      <alignment horizontal="center" vertical="center"/>
    </xf>
    <xf numFmtId="164" fontId="3" fillId="5" borderId="25" xfId="2" quotePrefix="1" applyNumberFormat="1" applyFont="1" applyFill="1" applyBorder="1" applyAlignment="1">
      <alignment horizontal="center" vertical="center"/>
    </xf>
    <xf numFmtId="0" fontId="3" fillId="0" borderId="30" xfId="2" applyFont="1" applyBorder="1"/>
    <xf numFmtId="0" fontId="3" fillId="2" borderId="1" xfId="2" applyFont="1" applyFill="1" applyBorder="1" applyAlignment="1">
      <alignment horizontal="center" vertical="center" wrapText="1"/>
    </xf>
    <xf numFmtId="0" fontId="3" fillId="2" borderId="30" xfId="2" applyFont="1" applyFill="1" applyBorder="1" applyAlignment="1">
      <alignment horizontal="center" vertical="center" wrapText="1"/>
    </xf>
    <xf numFmtId="0" fontId="8" fillId="5" borderId="19" xfId="2" applyFont="1" applyFill="1" applyBorder="1" applyAlignment="1">
      <alignment horizontal="center" vertical="center"/>
    </xf>
    <xf numFmtId="0" fontId="0" fillId="0" borderId="19" xfId="2" applyFont="1" applyBorder="1"/>
    <xf numFmtId="0" fontId="20" fillId="0" borderId="0" xfId="0" applyFont="1"/>
    <xf numFmtId="0" fontId="14" fillId="3" borderId="0" xfId="2" applyFont="1" applyFill="1" applyBorder="1" applyAlignment="1">
      <alignment vertical="center"/>
    </xf>
    <xf numFmtId="0" fontId="0" fillId="0" borderId="0" xfId="0" quotePrefix="1"/>
    <xf numFmtId="0" fontId="4" fillId="0" borderId="0" xfId="0" applyFont="1"/>
    <xf numFmtId="0" fontId="4" fillId="0" borderId="0" xfId="0" applyFont="1" applyAlignment="1">
      <alignment horizontal="center"/>
    </xf>
    <xf numFmtId="0" fontId="4" fillId="0" borderId="0" xfId="0" quotePrefix="1" applyFont="1"/>
    <xf numFmtId="0" fontId="0" fillId="9" borderId="0" xfId="0" quotePrefix="1" applyFill="1"/>
    <xf numFmtId="0" fontId="0" fillId="10" borderId="0" xfId="0" quotePrefix="1" applyFill="1"/>
    <xf numFmtId="0" fontId="4" fillId="0" borderId="0" xfId="0" quotePrefix="1" applyFont="1" applyAlignment="1">
      <alignment wrapText="1"/>
    </xf>
    <xf numFmtId="0" fontId="4" fillId="10" borderId="0" xfId="0" quotePrefix="1" applyFont="1" applyFill="1" applyAlignment="1">
      <alignment wrapText="1"/>
    </xf>
    <xf numFmtId="0" fontId="14" fillId="3" borderId="0" xfId="2" applyFont="1" applyFill="1" applyBorder="1" applyAlignment="1">
      <alignment horizontal="center" vertical="center"/>
    </xf>
    <xf numFmtId="0" fontId="8" fillId="4" borderId="0" xfId="2" applyFont="1" applyFill="1" applyBorder="1" applyAlignment="1">
      <alignment horizontal="center" vertical="center" wrapText="1"/>
    </xf>
    <xf numFmtId="0" fontId="4" fillId="0" borderId="0" xfId="0" applyFont="1" applyAlignment="1"/>
    <xf numFmtId="0" fontId="24" fillId="11" borderId="32" xfId="0" applyFont="1" applyFill="1" applyBorder="1" applyAlignment="1">
      <alignment horizontal="center" vertical="center"/>
    </xf>
    <xf numFmtId="0" fontId="23" fillId="0" borderId="32" xfId="0" applyFont="1" applyFill="1" applyBorder="1" applyAlignment="1">
      <alignment horizontal="left" vertical="top"/>
    </xf>
    <xf numFmtId="0" fontId="2" fillId="0" borderId="25" xfId="2" applyFont="1" applyFill="1" applyBorder="1" applyAlignment="1">
      <alignment horizontal="left" vertical="center"/>
    </xf>
    <xf numFmtId="0" fontId="0" fillId="3" borderId="0" xfId="0" applyFill="1" applyBorder="1" applyAlignment="1" applyProtection="1">
      <alignment horizontal="left" vertical="center" wrapText="1"/>
    </xf>
    <xf numFmtId="0" fontId="0" fillId="3" borderId="4" xfId="0" applyFill="1" applyBorder="1" applyAlignment="1" applyProtection="1">
      <alignment horizontal="left" vertical="center" wrapText="1"/>
    </xf>
    <xf numFmtId="0" fontId="6" fillId="6" borderId="1" xfId="2" applyFont="1" applyFill="1" applyBorder="1" applyAlignment="1">
      <alignment horizontal="left" vertical="center" wrapText="1"/>
    </xf>
    <xf numFmtId="0" fontId="5" fillId="6" borderId="1" xfId="2" applyFont="1" applyFill="1" applyBorder="1" applyAlignment="1">
      <alignment horizontal="left" vertical="center" wrapText="1"/>
    </xf>
    <xf numFmtId="0" fontId="5" fillId="6" borderId="0" xfId="2" applyFont="1" applyFill="1" applyBorder="1" applyAlignment="1">
      <alignment horizontal="left" vertical="center" wrapText="1"/>
    </xf>
    <xf numFmtId="0" fontId="5" fillId="6" borderId="2" xfId="2" applyFont="1" applyFill="1" applyBorder="1" applyAlignment="1">
      <alignment horizontal="left" vertical="center" wrapText="1"/>
    </xf>
    <xf numFmtId="0" fontId="0" fillId="3" borderId="3" xfId="0" applyFill="1" applyBorder="1" applyAlignment="1" applyProtection="1">
      <alignment horizontal="left" vertical="center" wrapText="1"/>
    </xf>
    <xf numFmtId="0" fontId="7" fillId="0" borderId="18" xfId="2" applyFont="1" applyFill="1" applyBorder="1" applyAlignment="1">
      <alignment horizontal="left" vertical="center"/>
    </xf>
    <xf numFmtId="0" fontId="14" fillId="3" borderId="3" xfId="2" applyFont="1" applyFill="1" applyBorder="1" applyAlignment="1">
      <alignment horizontal="center" vertical="center"/>
    </xf>
    <xf numFmtId="0" fontId="6" fillId="3" borderId="1" xfId="2" applyFont="1" applyFill="1" applyBorder="1" applyAlignment="1">
      <alignment horizontal="left" vertical="center"/>
    </xf>
    <xf numFmtId="0" fontId="6" fillId="3" borderId="2" xfId="2" applyFont="1" applyFill="1" applyBorder="1" applyAlignment="1">
      <alignment horizontal="left" vertical="center"/>
    </xf>
    <xf numFmtId="0" fontId="3" fillId="3" borderId="5" xfId="2" applyFont="1" applyFill="1" applyBorder="1" applyAlignment="1">
      <alignment horizontal="center" vertical="center"/>
    </xf>
    <xf numFmtId="0" fontId="3" fillId="3" borderId="6" xfId="2" applyFont="1" applyFill="1" applyBorder="1" applyAlignment="1">
      <alignment horizontal="center" vertical="center"/>
    </xf>
    <xf numFmtId="0" fontId="3" fillId="6" borderId="3" xfId="2" applyFont="1" applyFill="1" applyBorder="1" applyAlignment="1">
      <alignment horizontal="left" vertical="center" wrapText="1"/>
    </xf>
    <xf numFmtId="0" fontId="3" fillId="6" borderId="0" xfId="2" applyFont="1" applyFill="1" applyBorder="1" applyAlignment="1">
      <alignment horizontal="left" vertical="center" wrapText="1"/>
    </xf>
    <xf numFmtId="0" fontId="3" fillId="6" borderId="4" xfId="2" applyFont="1" applyFill="1" applyBorder="1" applyAlignment="1">
      <alignment horizontal="left" vertical="center" wrapText="1"/>
    </xf>
    <xf numFmtId="0" fontId="10" fillId="3" borderId="31" xfId="2" applyFont="1" applyFill="1" applyBorder="1" applyAlignment="1">
      <alignment horizontal="left" vertical="center"/>
    </xf>
    <xf numFmtId="0" fontId="14" fillId="3" borderId="0" xfId="2" applyFont="1" applyFill="1" applyBorder="1" applyAlignment="1">
      <alignment horizontal="center" vertical="center"/>
    </xf>
    <xf numFmtId="0" fontId="7" fillId="0" borderId="30" xfId="2" applyFont="1" applyFill="1" applyBorder="1" applyAlignment="1">
      <alignment horizontal="left" vertical="center"/>
    </xf>
    <xf numFmtId="0" fontId="8" fillId="4" borderId="0" xfId="2" applyFont="1" applyFill="1" applyBorder="1" applyAlignment="1">
      <alignment horizontal="center" vertical="center" wrapText="1"/>
    </xf>
    <xf numFmtId="165" fontId="3" fillId="5" borderId="13" xfId="2" quotePrefix="1" applyNumberFormat="1" applyFont="1" applyFill="1" applyBorder="1" applyAlignment="1">
      <alignment horizontal="center" vertical="center"/>
    </xf>
    <xf numFmtId="165" fontId="3" fillId="5" borderId="14" xfId="2" quotePrefix="1" applyNumberFormat="1" applyFont="1" applyFill="1" applyBorder="1" applyAlignment="1">
      <alignment horizontal="center" vertical="center"/>
    </xf>
    <xf numFmtId="165" fontId="3" fillId="5" borderId="23" xfId="2" quotePrefix="1" applyNumberFormat="1" applyFont="1" applyFill="1" applyBorder="1" applyAlignment="1">
      <alignment horizontal="center" vertical="center"/>
    </xf>
    <xf numFmtId="165" fontId="3" fillId="5" borderId="24" xfId="2" quotePrefix="1" applyNumberFormat="1" applyFont="1" applyFill="1" applyBorder="1" applyAlignment="1">
      <alignment horizontal="center" vertical="center"/>
    </xf>
    <xf numFmtId="0" fontId="3" fillId="7" borderId="0" xfId="2" applyFont="1" applyFill="1" applyBorder="1" applyAlignment="1">
      <alignment horizontal="center" vertical="center"/>
    </xf>
    <xf numFmtId="0" fontId="10" fillId="3" borderId="1" xfId="2" applyFont="1" applyFill="1" applyBorder="1" applyAlignment="1">
      <alignment horizontal="left" vertical="center"/>
    </xf>
    <xf numFmtId="0" fontId="3" fillId="8" borderId="3" xfId="2" applyFont="1" applyFill="1" applyBorder="1" applyAlignment="1">
      <alignment horizontal="left" vertical="center" wrapText="1"/>
    </xf>
    <xf numFmtId="0" fontId="3" fillId="8" borderId="4" xfId="2" applyFont="1" applyFill="1" applyBorder="1" applyAlignment="1">
      <alignment horizontal="left" vertical="center" wrapText="1"/>
    </xf>
    <xf numFmtId="0" fontId="4" fillId="0" borderId="0" xfId="0" applyFont="1" applyAlignment="1">
      <alignment horizontal="center"/>
    </xf>
    <xf numFmtId="0" fontId="20" fillId="0" borderId="0" xfId="0" applyFont="1" applyAlignment="1">
      <alignment horizontal="center"/>
    </xf>
    <xf numFmtId="0" fontId="23" fillId="0" borderId="32" xfId="0" applyFont="1" applyBorder="1" applyAlignment="1">
      <alignment horizontal="center" vertical="center"/>
    </xf>
    <xf numFmtId="0" fontId="23" fillId="0" borderId="33" xfId="0" quotePrefix="1" applyFont="1" applyFill="1" applyBorder="1" applyAlignment="1">
      <alignment horizontal="left" vertical="top" wrapText="1"/>
    </xf>
    <xf numFmtId="0" fontId="23" fillId="0" borderId="34" xfId="0" quotePrefix="1" applyFont="1" applyFill="1" applyBorder="1" applyAlignment="1">
      <alignment horizontal="left" vertical="top" wrapText="1"/>
    </xf>
    <xf numFmtId="3" fontId="3" fillId="3" borderId="3" xfId="2" quotePrefix="1" applyNumberFormat="1" applyFont="1" applyFill="1" applyBorder="1" applyAlignment="1">
      <alignment horizontal="left" vertical="center"/>
    </xf>
    <xf numFmtId="3" fontId="3" fillId="3" borderId="0" xfId="2" quotePrefix="1" applyNumberFormat="1" applyFont="1" applyFill="1" applyBorder="1" applyAlignment="1">
      <alignment horizontal="left" vertical="center"/>
    </xf>
    <xf numFmtId="3" fontId="3" fillId="3" borderId="30" xfId="2" quotePrefix="1" applyNumberFormat="1" applyFont="1" applyFill="1" applyBorder="1" applyAlignment="1">
      <alignment horizontal="left" vertical="center"/>
    </xf>
    <xf numFmtId="3" fontId="3" fillId="3" borderId="4" xfId="2" applyNumberFormat="1" applyFont="1" applyFill="1" applyBorder="1" applyAlignment="1">
      <alignment horizontal="left" vertical="center"/>
    </xf>
    <xf numFmtId="6" fontId="3" fillId="5" borderId="19" xfId="2" quotePrefix="1" applyNumberFormat="1" applyFont="1" applyFill="1" applyBorder="1" applyAlignment="1">
      <alignment horizontal="left" vertical="center"/>
    </xf>
    <xf numFmtId="6" fontId="3" fillId="5" borderId="0" xfId="2" quotePrefix="1" applyNumberFormat="1" applyFont="1" applyFill="1" applyBorder="1" applyAlignment="1">
      <alignment horizontal="left" vertical="center"/>
    </xf>
    <xf numFmtId="6" fontId="3" fillId="5" borderId="30" xfId="2" quotePrefix="1" applyNumberFormat="1" applyFont="1" applyFill="1" applyBorder="1" applyAlignment="1">
      <alignment horizontal="left" vertical="center"/>
    </xf>
    <xf numFmtId="165" fontId="3" fillId="5" borderId="30" xfId="2" quotePrefix="1" applyNumberFormat="1" applyFont="1" applyFill="1" applyBorder="1" applyAlignment="1">
      <alignment horizontal="left" vertical="center"/>
    </xf>
    <xf numFmtId="0" fontId="14" fillId="3" borderId="0" xfId="2" applyFont="1" applyFill="1" applyBorder="1" applyAlignment="1">
      <alignment horizontal="center" vertical="center" wrapText="1"/>
    </xf>
    <xf numFmtId="166" fontId="3" fillId="3" borderId="3" xfId="2" quotePrefix="1" applyNumberFormat="1" applyFont="1" applyFill="1" applyBorder="1" applyAlignment="1">
      <alignment horizontal="left" vertical="center"/>
    </xf>
    <xf numFmtId="170" fontId="3" fillId="5" borderId="19" xfId="2" quotePrefix="1" applyNumberFormat="1" applyFont="1" applyFill="1" applyBorder="1" applyAlignment="1">
      <alignment horizontal="left" vertical="center"/>
    </xf>
    <xf numFmtId="166" fontId="3" fillId="3" borderId="30" xfId="2" quotePrefix="1" applyNumberFormat="1" applyFont="1" applyFill="1" applyBorder="1" applyAlignment="1">
      <alignment horizontal="left" vertical="center"/>
    </xf>
    <xf numFmtId="2" fontId="3" fillId="5" borderId="0" xfId="2" quotePrefix="1" applyNumberFormat="1" applyFont="1" applyFill="1" applyBorder="1" applyAlignment="1">
      <alignment horizontal="left" vertical="center"/>
    </xf>
    <xf numFmtId="170" fontId="3" fillId="5" borderId="0" xfId="2" quotePrefix="1" applyNumberFormat="1" applyFont="1" applyFill="1" applyBorder="1" applyAlignment="1">
      <alignment horizontal="left" vertical="center"/>
    </xf>
    <xf numFmtId="3" fontId="3" fillId="3" borderId="4" xfId="2" quotePrefix="1" applyNumberFormat="1" applyFont="1" applyFill="1" applyBorder="1" applyAlignment="1">
      <alignment horizontal="left" vertical="center"/>
    </xf>
    <xf numFmtId="6" fontId="3" fillId="5" borderId="4" xfId="2" quotePrefix="1" applyNumberFormat="1" applyFont="1" applyFill="1" applyBorder="1" applyAlignment="1">
      <alignment horizontal="center" vertical="center"/>
    </xf>
    <xf numFmtId="170" fontId="3" fillId="5" borderId="3" xfId="2" quotePrefix="1" applyNumberFormat="1" applyFont="1" applyFill="1" applyBorder="1" applyAlignment="1">
      <alignment horizontal="left" vertical="center"/>
    </xf>
    <xf numFmtId="3" fontId="3" fillId="3" borderId="35" xfId="2" quotePrefix="1" applyNumberFormat="1" applyFont="1" applyFill="1" applyBorder="1" applyAlignment="1">
      <alignment horizontal="left" vertical="center"/>
    </xf>
    <xf numFmtId="166" fontId="3" fillId="3" borderId="35" xfId="2" quotePrefix="1" applyNumberFormat="1" applyFont="1" applyFill="1" applyBorder="1" applyAlignment="1">
      <alignment horizontal="left" vertical="center"/>
    </xf>
    <xf numFmtId="170" fontId="3" fillId="5" borderId="36" xfId="2" quotePrefix="1" applyNumberFormat="1" applyFont="1" applyFill="1" applyBorder="1" applyAlignment="1">
      <alignment horizontal="left" vertical="center"/>
    </xf>
    <xf numFmtId="3" fontId="3" fillId="3" borderId="37" xfId="2" quotePrefix="1" applyNumberFormat="1" applyFont="1" applyFill="1" applyBorder="1" applyAlignment="1">
      <alignment horizontal="left" vertical="center"/>
    </xf>
    <xf numFmtId="166" fontId="3" fillId="3" borderId="37" xfId="2" quotePrefix="1" applyNumberFormat="1" applyFont="1" applyFill="1" applyBorder="1" applyAlignment="1">
      <alignment horizontal="left" vertical="center"/>
    </xf>
    <xf numFmtId="170" fontId="3" fillId="5" borderId="37" xfId="2" quotePrefix="1" applyNumberFormat="1" applyFont="1" applyFill="1" applyBorder="1" applyAlignment="1">
      <alignment horizontal="left" vertical="center"/>
    </xf>
    <xf numFmtId="3" fontId="3" fillId="3" borderId="38" xfId="2" quotePrefix="1" applyNumberFormat="1" applyFont="1" applyFill="1" applyBorder="1" applyAlignment="1">
      <alignment horizontal="left" vertical="center"/>
    </xf>
    <xf numFmtId="6" fontId="3" fillId="5" borderId="38" xfId="2" quotePrefix="1" applyNumberFormat="1" applyFont="1" applyFill="1" applyBorder="1" applyAlignment="1">
      <alignment horizontal="center" vertical="center"/>
    </xf>
    <xf numFmtId="170" fontId="3" fillId="5" borderId="35" xfId="2" quotePrefix="1" applyNumberFormat="1" applyFont="1" applyFill="1" applyBorder="1" applyAlignment="1">
      <alignment horizontal="left" vertical="center"/>
    </xf>
    <xf numFmtId="2" fontId="3" fillId="5" borderId="37" xfId="2" quotePrefix="1" applyNumberFormat="1" applyFont="1" applyFill="1" applyBorder="1" applyAlignment="1">
      <alignment horizontal="left" vertical="center"/>
    </xf>
    <xf numFmtId="0" fontId="14" fillId="3" borderId="0" xfId="2" applyFont="1" applyFill="1" applyBorder="1" applyAlignment="1">
      <alignment horizontal="left" vertical="center" wrapText="1"/>
    </xf>
    <xf numFmtId="0" fontId="14" fillId="3" borderId="0" xfId="2" applyFont="1" applyFill="1" applyBorder="1" applyAlignment="1">
      <alignment horizontal="left" vertical="center"/>
    </xf>
    <xf numFmtId="0" fontId="8" fillId="7" borderId="0" xfId="2" applyFont="1" applyFill="1" applyBorder="1" applyAlignment="1">
      <alignment horizontal="left" vertical="center"/>
    </xf>
  </cellXfs>
  <cellStyles count="3">
    <cellStyle name="Hyperlink" xfId="2" builtinId="8"/>
    <cellStyle name="Normal" xfId="0" builtinId="0"/>
    <cellStyle name="Обычный 5" xfId="1"/>
  </cellStyles>
  <dxfs count="0"/>
  <tableStyles count="0" defaultTableStyle="TableStyleMedium9" defaultPivotStyle="PivotStyleLight16"/>
  <colors>
    <mruColors>
      <color rgb="FFFFC91D"/>
      <color rgb="FFFEFCCE"/>
      <color rgb="FFFDFAB9"/>
      <color rgb="FFF0DB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76200</xdr:colOff>
      <xdr:row>0</xdr:row>
      <xdr:rowOff>57150</xdr:rowOff>
    </xdr:from>
    <xdr:to>
      <xdr:col>11</xdr:col>
      <xdr:colOff>504190</xdr:colOff>
      <xdr:row>2</xdr:row>
      <xdr:rowOff>134895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8950" y="57150"/>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723900</xdr:colOff>
      <xdr:row>113</xdr:row>
      <xdr:rowOff>95250</xdr:rowOff>
    </xdr:from>
    <xdr:to>
      <xdr:col>4</xdr:col>
      <xdr:colOff>257175</xdr:colOff>
      <xdr:row>115</xdr:row>
      <xdr:rowOff>76200</xdr:rowOff>
    </xdr:to>
    <xdr:sp macro="" textlink="">
      <xdr:nvSpPr>
        <xdr:cNvPr id="3" name="AutoShape 1"/>
        <xdr:cNvSpPr>
          <a:spLocks noChangeArrowheads="1"/>
        </xdr:cNvSpPr>
      </xdr:nvSpPr>
      <xdr:spPr bwMode="auto">
        <a:xfrm>
          <a:off x="2552700" y="19488150"/>
          <a:ext cx="542925" cy="352425"/>
        </a:xfrm>
        <a:prstGeom prst="rightArrow">
          <a:avLst>
            <a:gd name="adj1" fmla="val 50000"/>
            <a:gd name="adj2" fmla="val 41912"/>
          </a:avLst>
        </a:prstGeom>
        <a:solidFill>
          <a:srgbClr val="00B0F0"/>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723900</xdr:colOff>
      <xdr:row>77</xdr:row>
      <xdr:rowOff>95250</xdr:rowOff>
    </xdr:from>
    <xdr:to>
      <xdr:col>3</xdr:col>
      <xdr:colOff>1285875</xdr:colOff>
      <xdr:row>79</xdr:row>
      <xdr:rowOff>76200</xdr:rowOff>
    </xdr:to>
    <xdr:sp macro="" textlink="">
      <xdr:nvSpPr>
        <xdr:cNvPr id="2" name="AutoShape 1"/>
        <xdr:cNvSpPr>
          <a:spLocks noChangeArrowheads="1"/>
        </xdr:cNvSpPr>
      </xdr:nvSpPr>
      <xdr:spPr bwMode="auto">
        <a:xfrm>
          <a:off x="2552700" y="10296525"/>
          <a:ext cx="561975" cy="352425"/>
        </a:xfrm>
        <a:prstGeom prst="rightArrow">
          <a:avLst>
            <a:gd name="adj1" fmla="val 50000"/>
            <a:gd name="adj2" fmla="val 41912"/>
          </a:avLst>
        </a:prstGeom>
        <a:solidFill>
          <a:srgbClr val="3366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3:K40"/>
  <sheetViews>
    <sheetView workbookViewId="0"/>
  </sheetViews>
  <sheetFormatPr defaultRowHeight="13.5" x14ac:dyDescent="0.25"/>
  <cols>
    <col min="1" max="9" width="9.140625" style="3" collapsed="1"/>
    <col min="10" max="10" width="19.140625" style="3" customWidth="1" collapsed="1"/>
    <col min="11" max="16384" width="9.140625" style="3" collapsed="1"/>
  </cols>
  <sheetData>
    <row r="3" spans="2:11" ht="21.75" thickBot="1" x14ac:dyDescent="0.3">
      <c r="B3" s="85" t="s">
        <v>17</v>
      </c>
      <c r="C3" s="85"/>
      <c r="D3" s="85"/>
      <c r="E3" s="85"/>
      <c r="F3" s="85"/>
      <c r="G3" s="85"/>
      <c r="H3" s="85"/>
      <c r="I3" s="85"/>
    </row>
    <row r="4" spans="2:11" ht="14.25" thickTop="1" x14ac:dyDescent="0.25">
      <c r="B4" s="43"/>
      <c r="C4" s="43"/>
      <c r="D4" s="43"/>
      <c r="E4" s="43"/>
      <c r="G4" s="43"/>
    </row>
    <row r="6" spans="2:11" x14ac:dyDescent="0.25">
      <c r="B6" s="2"/>
      <c r="C6" s="2"/>
      <c r="D6" s="2"/>
      <c r="E6" s="2"/>
      <c r="F6" s="2"/>
      <c r="G6" s="2"/>
      <c r="H6" s="2"/>
      <c r="I6" s="2"/>
      <c r="J6" s="2"/>
      <c r="K6" s="2"/>
    </row>
    <row r="7" spans="2:11" ht="14.25" thickBot="1" x14ac:dyDescent="0.3">
      <c r="B7" s="2"/>
      <c r="C7" s="2"/>
      <c r="D7" s="2"/>
      <c r="E7" s="2"/>
      <c r="F7" s="2"/>
      <c r="G7" s="2"/>
      <c r="H7" s="2"/>
      <c r="I7" s="2"/>
      <c r="J7" s="2"/>
      <c r="K7" s="2"/>
    </row>
    <row r="8" spans="2:11" ht="12.75" customHeight="1" x14ac:dyDescent="0.25">
      <c r="B8" s="4"/>
      <c r="C8" s="88" t="s">
        <v>18</v>
      </c>
      <c r="D8" s="89"/>
      <c r="E8" s="89"/>
      <c r="F8" s="89"/>
      <c r="G8" s="89"/>
      <c r="H8" s="89"/>
      <c r="I8" s="89"/>
      <c r="J8" s="89"/>
      <c r="K8" s="4"/>
    </row>
    <row r="9" spans="2:11" ht="12.75" customHeight="1" x14ac:dyDescent="0.25">
      <c r="B9" s="4"/>
      <c r="C9" s="90"/>
      <c r="D9" s="90"/>
      <c r="E9" s="90"/>
      <c r="F9" s="90"/>
      <c r="G9" s="90"/>
      <c r="H9" s="90"/>
      <c r="I9" s="90"/>
      <c r="J9" s="90"/>
      <c r="K9" s="4"/>
    </row>
    <row r="10" spans="2:11" ht="13.5" customHeight="1" x14ac:dyDescent="0.25">
      <c r="B10" s="4"/>
      <c r="C10" s="90"/>
      <c r="D10" s="90"/>
      <c r="E10" s="90"/>
      <c r="F10" s="90"/>
      <c r="G10" s="90"/>
      <c r="H10" s="90"/>
      <c r="I10" s="90"/>
      <c r="J10" s="90"/>
      <c r="K10" s="4"/>
    </row>
    <row r="11" spans="2:11" ht="12.75" customHeight="1" x14ac:dyDescent="0.25">
      <c r="B11" s="4"/>
      <c r="C11" s="90"/>
      <c r="D11" s="90"/>
      <c r="E11" s="90"/>
      <c r="F11" s="90"/>
      <c r="G11" s="90"/>
      <c r="H11" s="90"/>
      <c r="I11" s="90"/>
      <c r="J11" s="90"/>
      <c r="K11" s="4"/>
    </row>
    <row r="12" spans="2:11" ht="12.75" customHeight="1" x14ac:dyDescent="0.25">
      <c r="B12" s="4"/>
      <c r="C12" s="90"/>
      <c r="D12" s="90"/>
      <c r="E12" s="90"/>
      <c r="F12" s="90"/>
      <c r="G12" s="90"/>
      <c r="H12" s="90"/>
      <c r="I12" s="90"/>
      <c r="J12" s="90"/>
      <c r="K12" s="4"/>
    </row>
    <row r="13" spans="2:11" ht="12.75" customHeight="1" x14ac:dyDescent="0.25">
      <c r="B13" s="4"/>
      <c r="C13" s="90"/>
      <c r="D13" s="90"/>
      <c r="E13" s="90"/>
      <c r="F13" s="90"/>
      <c r="G13" s="90"/>
      <c r="H13" s="90"/>
      <c r="I13" s="90"/>
      <c r="J13" s="90"/>
      <c r="K13" s="4"/>
    </row>
    <row r="14" spans="2:11" ht="12.75" customHeight="1" x14ac:dyDescent="0.25">
      <c r="B14" s="5"/>
      <c r="C14" s="90"/>
      <c r="D14" s="90"/>
      <c r="E14" s="90"/>
      <c r="F14" s="90"/>
      <c r="G14" s="90"/>
      <c r="H14" s="90"/>
      <c r="I14" s="90"/>
      <c r="J14" s="90"/>
      <c r="K14" s="5"/>
    </row>
    <row r="15" spans="2:11" ht="12.75" customHeight="1" x14ac:dyDescent="0.25">
      <c r="B15" s="4"/>
      <c r="C15" s="90"/>
      <c r="D15" s="90"/>
      <c r="E15" s="90"/>
      <c r="F15" s="90"/>
      <c r="G15" s="90"/>
      <c r="H15" s="90"/>
      <c r="I15" s="90"/>
      <c r="J15" s="90"/>
      <c r="K15" s="4"/>
    </row>
    <row r="16" spans="2:11" ht="12.75" customHeight="1" x14ac:dyDescent="0.25">
      <c r="B16" s="4"/>
      <c r="C16" s="90"/>
      <c r="D16" s="90"/>
      <c r="E16" s="90"/>
      <c r="F16" s="90"/>
      <c r="G16" s="90"/>
      <c r="H16" s="90"/>
      <c r="I16" s="90"/>
      <c r="J16" s="90"/>
      <c r="K16" s="4"/>
    </row>
    <row r="17" spans="2:11" ht="12.75" customHeight="1" x14ac:dyDescent="0.25">
      <c r="B17" s="4"/>
      <c r="C17" s="90"/>
      <c r="D17" s="90"/>
      <c r="E17" s="90"/>
      <c r="F17" s="90"/>
      <c r="G17" s="90"/>
      <c r="H17" s="90"/>
      <c r="I17" s="90"/>
      <c r="J17" s="90"/>
      <c r="K17" s="4"/>
    </row>
    <row r="18" spans="2:11" s="11" customFormat="1" ht="12.75" customHeight="1" x14ac:dyDescent="0.25">
      <c r="B18" s="12"/>
      <c r="C18" s="90"/>
      <c r="D18" s="90"/>
      <c r="E18" s="90"/>
      <c r="F18" s="90"/>
      <c r="G18" s="90"/>
      <c r="H18" s="90"/>
      <c r="I18" s="90"/>
      <c r="J18" s="90"/>
      <c r="K18" s="12"/>
    </row>
    <row r="19" spans="2:11" ht="12.75" customHeight="1" x14ac:dyDescent="0.25">
      <c r="B19" s="4"/>
      <c r="C19" s="90"/>
      <c r="D19" s="90"/>
      <c r="E19" s="90"/>
      <c r="F19" s="90"/>
      <c r="G19" s="90"/>
      <c r="H19" s="90"/>
      <c r="I19" s="90"/>
      <c r="J19" s="90"/>
      <c r="K19" s="4"/>
    </row>
    <row r="20" spans="2:11" ht="12.75" customHeight="1" x14ac:dyDescent="0.25">
      <c r="B20" s="4"/>
      <c r="C20" s="90"/>
      <c r="D20" s="90"/>
      <c r="E20" s="90"/>
      <c r="F20" s="90"/>
      <c r="G20" s="90"/>
      <c r="H20" s="90"/>
      <c r="I20" s="90"/>
      <c r="J20" s="90"/>
      <c r="K20" s="4"/>
    </row>
    <row r="21" spans="2:11" ht="12.75" customHeight="1" x14ac:dyDescent="0.25">
      <c r="B21" s="4"/>
      <c r="C21" s="90"/>
      <c r="D21" s="90"/>
      <c r="E21" s="90"/>
      <c r="F21" s="90"/>
      <c r="G21" s="90"/>
      <c r="H21" s="90"/>
      <c r="I21" s="90"/>
      <c r="J21" s="90"/>
      <c r="K21" s="4"/>
    </row>
    <row r="22" spans="2:11" ht="12.75" customHeight="1" thickBot="1" x14ac:dyDescent="0.3">
      <c r="B22" s="4"/>
      <c r="C22" s="91"/>
      <c r="D22" s="91"/>
      <c r="E22" s="91"/>
      <c r="F22" s="91"/>
      <c r="G22" s="91"/>
      <c r="H22" s="91"/>
      <c r="I22" s="91"/>
      <c r="J22" s="91"/>
      <c r="K22" s="4"/>
    </row>
    <row r="23" spans="2:11" ht="12.75" customHeight="1" x14ac:dyDescent="0.25">
      <c r="B23" s="4"/>
      <c r="C23" s="4"/>
      <c r="D23" s="4"/>
      <c r="E23" s="4"/>
      <c r="F23" s="4"/>
      <c r="G23" s="4"/>
      <c r="H23" s="4"/>
      <c r="I23" s="4"/>
      <c r="J23" s="4"/>
      <c r="K23" s="4"/>
    </row>
    <row r="24" spans="2:11" ht="13.5" customHeight="1" x14ac:dyDescent="0.25">
      <c r="B24" s="4"/>
      <c r="C24" s="4"/>
      <c r="D24" s="4"/>
      <c r="E24" s="4"/>
      <c r="F24" s="4"/>
      <c r="G24" s="4"/>
      <c r="H24" s="4"/>
      <c r="I24" s="4"/>
      <c r="J24" s="4"/>
      <c r="K24" s="4"/>
    </row>
    <row r="25" spans="2:11" ht="13.5" customHeight="1" x14ac:dyDescent="0.25">
      <c r="B25" s="4"/>
      <c r="C25" s="4"/>
      <c r="D25" s="4"/>
      <c r="E25" s="4"/>
      <c r="F25" s="4"/>
      <c r="G25" s="4"/>
      <c r="H25" s="4"/>
      <c r="I25" s="4"/>
      <c r="J25" s="4"/>
      <c r="K25" s="4"/>
    </row>
    <row r="26" spans="2:11" ht="13.5" customHeight="1" x14ac:dyDescent="0.25">
      <c r="B26" s="4"/>
      <c r="C26" s="4"/>
      <c r="D26" s="4"/>
      <c r="E26" s="4"/>
      <c r="F26" s="4"/>
      <c r="G26" s="4"/>
      <c r="H26" s="4"/>
      <c r="I26" s="4"/>
      <c r="J26" s="4"/>
      <c r="K26" s="4"/>
    </row>
    <row r="27" spans="2:11" ht="13.5" customHeight="1" x14ac:dyDescent="0.25">
      <c r="B27" s="4"/>
      <c r="C27" s="4"/>
      <c r="D27" s="4"/>
      <c r="E27" s="4"/>
      <c r="F27" s="4"/>
      <c r="G27" s="4"/>
      <c r="H27" s="4"/>
      <c r="I27" s="4"/>
      <c r="J27" s="4"/>
      <c r="K27" s="4"/>
    </row>
    <row r="28" spans="2:11" ht="17.25" customHeight="1" x14ac:dyDescent="0.25">
      <c r="B28" s="4"/>
      <c r="C28" s="92" t="s">
        <v>33</v>
      </c>
      <c r="D28" s="92"/>
      <c r="E28" s="92"/>
      <c r="F28" s="92"/>
      <c r="G28" s="92"/>
      <c r="H28" s="92"/>
      <c r="I28" s="92"/>
      <c r="J28" s="92"/>
      <c r="K28" s="4"/>
    </row>
    <row r="29" spans="2:11" s="11" customFormat="1" ht="17.25" customHeight="1" x14ac:dyDescent="0.25">
      <c r="B29" s="12"/>
      <c r="C29" s="86" t="s">
        <v>89</v>
      </c>
      <c r="D29" s="86"/>
      <c r="E29" s="86"/>
      <c r="F29" s="86"/>
      <c r="G29" s="86"/>
      <c r="H29" s="86"/>
      <c r="I29" s="86"/>
      <c r="J29" s="86"/>
      <c r="K29" s="12"/>
    </row>
    <row r="30" spans="2:11" ht="17.25" customHeight="1" x14ac:dyDescent="0.25">
      <c r="B30" s="4"/>
      <c r="C30" s="86" t="s">
        <v>91</v>
      </c>
      <c r="D30" s="86"/>
      <c r="E30" s="86"/>
      <c r="F30" s="86"/>
      <c r="G30" s="86"/>
      <c r="H30" s="86"/>
      <c r="I30" s="86"/>
      <c r="J30" s="86"/>
      <c r="K30" s="4"/>
    </row>
    <row r="31" spans="2:11" ht="17.25" customHeight="1" x14ac:dyDescent="0.25">
      <c r="B31" s="4"/>
      <c r="C31" s="86" t="s">
        <v>92</v>
      </c>
      <c r="D31" s="86"/>
      <c r="E31" s="86"/>
      <c r="F31" s="86"/>
      <c r="G31" s="86"/>
      <c r="H31" s="86"/>
      <c r="I31" s="86"/>
      <c r="J31" s="86"/>
      <c r="K31" s="4"/>
    </row>
    <row r="32" spans="2:11" ht="17.25" customHeight="1" x14ac:dyDescent="0.25">
      <c r="B32" s="4"/>
      <c r="C32" s="86" t="s">
        <v>93</v>
      </c>
      <c r="D32" s="86"/>
      <c r="E32" s="86"/>
      <c r="F32" s="86"/>
      <c r="G32" s="86"/>
      <c r="H32" s="86"/>
      <c r="I32" s="86"/>
      <c r="J32" s="86"/>
      <c r="K32" s="4"/>
    </row>
    <row r="33" spans="2:11" s="11" customFormat="1" ht="17.25" customHeight="1" x14ac:dyDescent="0.25">
      <c r="B33" s="12"/>
      <c r="C33" s="86" t="s">
        <v>94</v>
      </c>
      <c r="D33" s="86"/>
      <c r="E33" s="86"/>
      <c r="F33" s="86"/>
      <c r="G33" s="86"/>
      <c r="H33" s="86"/>
      <c r="I33" s="86"/>
      <c r="J33" s="86"/>
      <c r="K33" s="12"/>
    </row>
    <row r="34" spans="2:11" s="11" customFormat="1" ht="17.25" customHeight="1" x14ac:dyDescent="0.25">
      <c r="B34" s="12"/>
      <c r="C34" s="86" t="s">
        <v>95</v>
      </c>
      <c r="D34" s="86"/>
      <c r="E34" s="86"/>
      <c r="F34" s="86"/>
      <c r="G34" s="86"/>
      <c r="H34" s="86"/>
      <c r="I34" s="86"/>
      <c r="J34" s="86"/>
      <c r="K34" s="12"/>
    </row>
    <row r="35" spans="2:11" s="11" customFormat="1" ht="17.25" customHeight="1" x14ac:dyDescent="0.25">
      <c r="B35" s="12"/>
      <c r="C35" s="86" t="s">
        <v>96</v>
      </c>
      <c r="D35" s="86"/>
      <c r="E35" s="86"/>
      <c r="F35" s="86"/>
      <c r="G35" s="86"/>
      <c r="H35" s="86"/>
      <c r="I35" s="86"/>
      <c r="J35" s="86"/>
      <c r="K35" s="12"/>
    </row>
    <row r="36" spans="2:11" x14ac:dyDescent="0.25">
      <c r="B36" s="4"/>
      <c r="C36" s="86" t="s">
        <v>97</v>
      </c>
      <c r="D36" s="86"/>
      <c r="E36" s="86"/>
      <c r="F36" s="86"/>
      <c r="G36" s="86"/>
      <c r="H36" s="86"/>
      <c r="I36" s="86"/>
      <c r="J36" s="86"/>
      <c r="K36" s="4"/>
    </row>
    <row r="37" spans="2:11" x14ac:dyDescent="0.25">
      <c r="B37" s="4"/>
      <c r="C37" s="87" t="s">
        <v>98</v>
      </c>
      <c r="D37" s="87"/>
      <c r="E37" s="87"/>
      <c r="F37" s="87"/>
      <c r="G37" s="87"/>
      <c r="H37" s="87"/>
      <c r="I37" s="87"/>
      <c r="J37" s="87"/>
      <c r="K37" s="4"/>
    </row>
    <row r="38" spans="2:11" s="11" customFormat="1" x14ac:dyDescent="0.25">
      <c r="B38" s="12"/>
      <c r="C38" s="12"/>
      <c r="D38" s="12"/>
      <c r="E38" s="12"/>
      <c r="F38" s="12"/>
      <c r="G38" s="12"/>
      <c r="H38" s="12"/>
      <c r="I38" s="12"/>
      <c r="J38" s="12"/>
      <c r="K38" s="12"/>
    </row>
    <row r="39" spans="2:11" s="11" customFormat="1" x14ac:dyDescent="0.25">
      <c r="B39" s="12"/>
      <c r="C39" s="12"/>
      <c r="D39" s="12"/>
      <c r="E39" s="12"/>
      <c r="F39" s="12"/>
      <c r="G39" s="12"/>
      <c r="H39" s="12"/>
      <c r="I39" s="12"/>
      <c r="J39" s="12"/>
      <c r="K39" s="12"/>
    </row>
    <row r="40" spans="2:11" s="11" customFormat="1" x14ac:dyDescent="0.25">
      <c r="B40" s="12"/>
      <c r="C40" s="12"/>
      <c r="D40" s="12"/>
      <c r="E40" s="12"/>
      <c r="F40" s="12"/>
      <c r="G40" s="12"/>
      <c r="H40" s="12"/>
      <c r="I40" s="12"/>
      <c r="J40" s="12"/>
      <c r="K40" s="12"/>
    </row>
  </sheetData>
  <mergeCells count="12">
    <mergeCell ref="B3:I3"/>
    <mergeCell ref="C35:J35"/>
    <mergeCell ref="C36:J36"/>
    <mergeCell ref="C37:J37"/>
    <mergeCell ref="C8:J22"/>
    <mergeCell ref="C31:J31"/>
    <mergeCell ref="C32:J32"/>
    <mergeCell ref="C34:J34"/>
    <mergeCell ref="C28:J28"/>
    <mergeCell ref="C30:J30"/>
    <mergeCell ref="C29:J29"/>
    <mergeCell ref="C33:J33"/>
  </mergeCells>
  <phoneticPr fontId="0" type="noConversion"/>
  <hyperlinks>
    <hyperlink ref="C28:J28" location="_st1" display="Step1. Decision Table and its structure"/>
    <hyperlink ref="C30:J30" location="_st2" display=" Step2. Lookup Table and its structure"/>
    <hyperlink ref="C31:J31" location="_st21" display="     Step2-1. Simple Lookup Table"/>
    <hyperlink ref="C32:J32" location="_st22" display="     Step2-2. Lookup Table with several horizontal conditions"/>
    <hyperlink ref="C29:J29" location="_st11" display="     Step1-1. Simple Decision Table"/>
    <hyperlink ref="C33:J33" location="_st3" display=" Step3. Examples of Decision Tables"/>
    <hyperlink ref="C34:J34" location="_st31" display="     Step3-1. Demonstrating transposed Decision Table"/>
    <hyperlink ref="C35:J35" location="_st32" display="     Step3-2. Demonstrating usage of 2 parameters for one condition"/>
    <hyperlink ref="C36:J36" location="_st33" display="     Step3-3. Demonstrating usage of Ranges in Decision Tables"/>
    <hyperlink ref="C37:J37" location="_st34" display="     Step3-4. Demonstrating Actions in Decision Tables"/>
  </hyperlink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117"/>
  <sheetViews>
    <sheetView topLeftCell="A94" workbookViewId="0">
      <selection activeCell="B103" sqref="B103:G113"/>
    </sheetView>
  </sheetViews>
  <sheetFormatPr defaultRowHeight="12.75" x14ac:dyDescent="0.2"/>
  <cols>
    <col min="1" max="1" width="10.5703125" style="1" customWidth="1" collapsed="1"/>
    <col min="2" max="2" width="8.140625" style="1" customWidth="1" collapsed="1"/>
    <col min="3" max="3" width="9.140625" style="1" collapsed="1"/>
    <col min="4" max="4" width="19" style="1" customWidth="1" collapsed="1"/>
    <col min="5" max="5" width="19.85546875" style="1" customWidth="1" collapsed="1"/>
    <col min="6" max="6" width="42.42578125" style="1" customWidth="1" collapsed="1"/>
    <col min="7" max="16384" width="9.140625" style="1" collapsed="1"/>
  </cols>
  <sheetData>
    <row r="1" spans="2:7" s="3" customFormat="1" ht="13.5" x14ac:dyDescent="0.25"/>
    <row r="2" spans="2:7" s="3" customFormat="1" ht="13.5" x14ac:dyDescent="0.25"/>
    <row r="3" spans="2:7" s="3" customFormat="1" ht="20.25" thickBot="1" x14ac:dyDescent="0.3">
      <c r="B3" s="93" t="s">
        <v>88</v>
      </c>
      <c r="C3" s="93"/>
      <c r="D3" s="93"/>
      <c r="E3" s="93"/>
      <c r="F3" s="93"/>
    </row>
    <row r="4" spans="2:7" s="3" customFormat="1" ht="14.25" thickTop="1" x14ac:dyDescent="0.25">
      <c r="B4" s="6"/>
      <c r="C4" s="43"/>
      <c r="D4" s="43"/>
      <c r="E4" s="6"/>
      <c r="F4" s="6"/>
    </row>
    <row r="5" spans="2:7" s="3" customFormat="1" ht="13.5" x14ac:dyDescent="0.25"/>
    <row r="6" spans="2:7" s="3" customFormat="1" ht="13.5" x14ac:dyDescent="0.25">
      <c r="B6" s="7"/>
      <c r="C6" s="7"/>
      <c r="D6" s="7"/>
      <c r="E6" s="7"/>
      <c r="F6" s="7"/>
      <c r="G6" s="7"/>
    </row>
    <row r="7" spans="2:7" s="3" customFormat="1" ht="14.25" thickBot="1" x14ac:dyDescent="0.3">
      <c r="B7" s="7"/>
      <c r="C7" s="7"/>
      <c r="D7" s="7"/>
      <c r="E7" s="7"/>
      <c r="F7" s="7"/>
      <c r="G7" s="7"/>
    </row>
    <row r="8" spans="2:7" s="3" customFormat="1" ht="13.5" x14ac:dyDescent="0.25">
      <c r="B8" s="7"/>
      <c r="C8" s="95" t="s">
        <v>33</v>
      </c>
      <c r="D8" s="95"/>
      <c r="E8" s="95"/>
      <c r="F8" s="95"/>
      <c r="G8" s="7"/>
    </row>
    <row r="9" spans="2:7" s="3" customFormat="1" ht="14.25" thickBot="1" x14ac:dyDescent="0.3">
      <c r="B9" s="7"/>
      <c r="C9" s="96"/>
      <c r="D9" s="96"/>
      <c r="E9" s="96"/>
      <c r="F9" s="96"/>
      <c r="G9" s="7"/>
    </row>
    <row r="10" spans="2:7" s="3" customFormat="1" ht="13.5" x14ac:dyDescent="0.25">
      <c r="B10" s="7"/>
      <c r="C10" s="7"/>
      <c r="D10" s="66"/>
      <c r="E10" s="7"/>
      <c r="F10" s="7"/>
      <c r="G10" s="7"/>
    </row>
    <row r="11" spans="2:7" s="3" customFormat="1" ht="13.5" x14ac:dyDescent="0.25">
      <c r="B11" s="7"/>
      <c r="C11" s="7"/>
      <c r="D11" s="7"/>
      <c r="E11" s="7"/>
      <c r="F11" s="7"/>
      <c r="G11" s="7"/>
    </row>
    <row r="12" spans="2:7" s="3" customFormat="1" ht="13.5" x14ac:dyDescent="0.25">
      <c r="B12" s="7"/>
      <c r="C12" s="99" t="s">
        <v>114</v>
      </c>
      <c r="D12" s="99"/>
      <c r="E12" s="99"/>
      <c r="F12" s="99"/>
      <c r="G12" s="7"/>
    </row>
    <row r="13" spans="2:7" s="3" customFormat="1" ht="13.5" x14ac:dyDescent="0.25">
      <c r="B13" s="7"/>
      <c r="C13" s="100"/>
      <c r="D13" s="100"/>
      <c r="E13" s="100"/>
      <c r="F13" s="100"/>
      <c r="G13" s="7"/>
    </row>
    <row r="14" spans="2:7" s="3" customFormat="1" ht="13.5" x14ac:dyDescent="0.25">
      <c r="B14" s="7"/>
      <c r="C14" s="100"/>
      <c r="D14" s="100"/>
      <c r="E14" s="100"/>
      <c r="F14" s="100"/>
      <c r="G14" s="7"/>
    </row>
    <row r="15" spans="2:7" s="11" customFormat="1" ht="13.5" x14ac:dyDescent="0.25">
      <c r="B15" s="9"/>
      <c r="C15" s="100"/>
      <c r="D15" s="100"/>
      <c r="E15" s="100"/>
      <c r="F15" s="100"/>
      <c r="G15" s="9"/>
    </row>
    <row r="16" spans="2:7" s="11" customFormat="1" ht="13.5" x14ac:dyDescent="0.25">
      <c r="B16" s="9"/>
      <c r="C16" s="100"/>
      <c r="D16" s="100"/>
      <c r="E16" s="100"/>
      <c r="F16" s="100"/>
      <c r="G16" s="9"/>
    </row>
    <row r="17" spans="2:7" s="11" customFormat="1" ht="13.5" x14ac:dyDescent="0.25">
      <c r="B17" s="9"/>
      <c r="C17" s="100"/>
      <c r="D17" s="100"/>
      <c r="E17" s="100"/>
      <c r="F17" s="100"/>
      <c r="G17" s="9"/>
    </row>
    <row r="18" spans="2:7" s="11" customFormat="1" ht="13.5" x14ac:dyDescent="0.25">
      <c r="B18" s="12"/>
      <c r="C18" s="100"/>
      <c r="D18" s="100"/>
      <c r="E18" s="100"/>
      <c r="F18" s="100"/>
      <c r="G18" s="12"/>
    </row>
    <row r="19" spans="2:7" s="11" customFormat="1" ht="13.5" x14ac:dyDescent="0.25">
      <c r="B19" s="12"/>
      <c r="C19" s="100"/>
      <c r="D19" s="100"/>
      <c r="E19" s="100"/>
      <c r="F19" s="100"/>
      <c r="G19" s="12"/>
    </row>
    <row r="20" spans="2:7" s="11" customFormat="1" ht="13.5" x14ac:dyDescent="0.25">
      <c r="B20" s="12"/>
      <c r="C20" s="100"/>
      <c r="D20" s="100"/>
      <c r="E20" s="100"/>
      <c r="F20" s="100"/>
      <c r="G20" s="12"/>
    </row>
    <row r="21" spans="2:7" s="11" customFormat="1" ht="13.5" x14ac:dyDescent="0.25">
      <c r="B21" s="9"/>
      <c r="C21" s="100"/>
      <c r="D21" s="100"/>
      <c r="E21" s="100"/>
      <c r="F21" s="100"/>
      <c r="G21" s="9"/>
    </row>
    <row r="22" spans="2:7" s="3" customFormat="1" ht="98.25" customHeight="1" x14ac:dyDescent="0.25">
      <c r="B22" s="7"/>
      <c r="C22" s="101"/>
      <c r="D22" s="101"/>
      <c r="E22" s="101"/>
      <c r="F22" s="101"/>
      <c r="G22" s="7"/>
    </row>
    <row r="23" spans="2:7" s="3" customFormat="1" ht="13.5" x14ac:dyDescent="0.25">
      <c r="B23" s="7"/>
      <c r="C23" s="7"/>
      <c r="D23" s="7"/>
      <c r="E23" s="7"/>
      <c r="F23" s="7"/>
      <c r="G23" s="7"/>
    </row>
    <row r="24" spans="2:7" s="8" customFormat="1" ht="13.5" x14ac:dyDescent="0.2">
      <c r="B24" s="12"/>
      <c r="C24" s="12"/>
      <c r="D24" s="12"/>
      <c r="E24" s="12"/>
      <c r="F24" s="12"/>
      <c r="G24" s="12"/>
    </row>
    <row r="25" spans="2:7" s="8" customFormat="1" ht="16.5" x14ac:dyDescent="0.2">
      <c r="B25" s="12"/>
      <c r="C25" s="12"/>
      <c r="D25" s="94" t="s">
        <v>100</v>
      </c>
      <c r="E25" s="94"/>
      <c r="F25" s="94"/>
      <c r="G25" s="12"/>
    </row>
    <row r="26" spans="2:7" s="8" customFormat="1" ht="27" x14ac:dyDescent="0.2">
      <c r="B26" s="12"/>
      <c r="C26" s="12"/>
      <c r="D26" s="13" t="s">
        <v>35</v>
      </c>
      <c r="E26" s="13" t="s">
        <v>38</v>
      </c>
      <c r="F26" s="14" t="s">
        <v>39</v>
      </c>
      <c r="G26" s="12"/>
    </row>
    <row r="27" spans="2:7" s="8" customFormat="1" ht="13.5" x14ac:dyDescent="0.2">
      <c r="B27" s="12"/>
      <c r="C27" s="12"/>
      <c r="D27" s="103" t="s">
        <v>1</v>
      </c>
      <c r="E27" s="103"/>
      <c r="F27" s="13" t="s">
        <v>13</v>
      </c>
      <c r="G27" s="12"/>
    </row>
    <row r="28" spans="2:7" s="8" customFormat="1" ht="13.5" x14ac:dyDescent="0.2">
      <c r="B28" s="12"/>
      <c r="C28" s="12"/>
      <c r="D28" s="71" t="s">
        <v>120</v>
      </c>
      <c r="E28" s="71"/>
      <c r="F28" s="13" t="s">
        <v>14</v>
      </c>
      <c r="G28" s="12"/>
    </row>
    <row r="29" spans="2:7" s="8" customFormat="1" ht="13.5" x14ac:dyDescent="0.2">
      <c r="B29" s="12"/>
      <c r="C29" s="12"/>
      <c r="D29" s="13" t="s">
        <v>36</v>
      </c>
      <c r="E29" s="13" t="s">
        <v>37</v>
      </c>
      <c r="F29" s="13" t="s">
        <v>11</v>
      </c>
      <c r="G29" s="12"/>
    </row>
    <row r="30" spans="2:7" s="8" customFormat="1" ht="14.25" thickBot="1" x14ac:dyDescent="0.25">
      <c r="B30" s="12"/>
      <c r="C30" s="12"/>
      <c r="D30" s="15" t="s">
        <v>5</v>
      </c>
      <c r="E30" s="15" t="s">
        <v>6</v>
      </c>
      <c r="F30" s="45" t="s">
        <v>12</v>
      </c>
      <c r="G30" s="12"/>
    </row>
    <row r="31" spans="2:7" s="8" customFormat="1" ht="14.25" thickTop="1" x14ac:dyDescent="0.2">
      <c r="B31" s="12"/>
      <c r="C31" s="12"/>
      <c r="D31" s="16">
        <v>0</v>
      </c>
      <c r="E31" s="16">
        <v>11</v>
      </c>
      <c r="F31" s="46" t="s">
        <v>7</v>
      </c>
      <c r="G31" s="12"/>
    </row>
    <row r="32" spans="2:7" s="8" customFormat="1" ht="13.5" x14ac:dyDescent="0.2">
      <c r="B32" s="12"/>
      <c r="C32" s="12"/>
      <c r="D32" s="17">
        <v>12</v>
      </c>
      <c r="E32" s="17">
        <v>17</v>
      </c>
      <c r="F32" s="18" t="s">
        <v>8</v>
      </c>
      <c r="G32" s="12"/>
    </row>
    <row r="33" spans="2:14" s="8" customFormat="1" ht="13.5" x14ac:dyDescent="0.2">
      <c r="B33" s="12"/>
      <c r="C33" s="12"/>
      <c r="D33" s="17">
        <v>18</v>
      </c>
      <c r="E33" s="17">
        <v>21</v>
      </c>
      <c r="F33" s="18" t="s">
        <v>9</v>
      </c>
      <c r="G33" s="12"/>
    </row>
    <row r="34" spans="2:14" s="8" customFormat="1" ht="14.25" thickBot="1" x14ac:dyDescent="0.25">
      <c r="B34" s="12"/>
      <c r="C34" s="12"/>
      <c r="D34" s="19">
        <v>22</v>
      </c>
      <c r="E34" s="19">
        <v>23</v>
      </c>
      <c r="F34" s="44" t="s">
        <v>10</v>
      </c>
      <c r="G34" s="12"/>
    </row>
    <row r="35" spans="2:14" s="11" customFormat="1" ht="14.25" thickTop="1" x14ac:dyDescent="0.25">
      <c r="B35" s="12"/>
      <c r="C35" s="12"/>
      <c r="D35" s="12"/>
      <c r="E35" s="12"/>
      <c r="F35" s="47"/>
      <c r="G35" s="12"/>
    </row>
    <row r="36" spans="2:14" s="3" customFormat="1" ht="13.5" x14ac:dyDescent="0.25">
      <c r="B36" s="7"/>
      <c r="C36" s="7"/>
      <c r="D36" s="7"/>
      <c r="E36" s="7"/>
      <c r="F36" s="7"/>
      <c r="G36" s="7"/>
    </row>
    <row r="37" spans="2:14" s="3" customFormat="1" ht="13.5" x14ac:dyDescent="0.25">
      <c r="B37" s="7"/>
      <c r="C37" s="99" t="s">
        <v>34</v>
      </c>
      <c r="D37" s="99"/>
      <c r="E37" s="99"/>
      <c r="F37" s="99"/>
      <c r="G37" s="7"/>
    </row>
    <row r="38" spans="2:14" s="11" customFormat="1" ht="13.5" x14ac:dyDescent="0.25">
      <c r="B38" s="9"/>
      <c r="C38" s="100"/>
      <c r="D38" s="100"/>
      <c r="E38" s="100"/>
      <c r="F38" s="100"/>
      <c r="G38" s="9"/>
    </row>
    <row r="39" spans="2:14" s="11" customFormat="1" ht="13.5" x14ac:dyDescent="0.25">
      <c r="B39" s="9"/>
      <c r="C39" s="100"/>
      <c r="D39" s="100"/>
      <c r="E39" s="100"/>
      <c r="F39" s="100"/>
      <c r="G39" s="9"/>
    </row>
    <row r="40" spans="2:14" s="11" customFormat="1" ht="13.5" x14ac:dyDescent="0.25">
      <c r="B40" s="9"/>
      <c r="C40" s="100"/>
      <c r="D40" s="100"/>
      <c r="E40" s="100"/>
      <c r="F40" s="100"/>
      <c r="G40" s="9"/>
    </row>
    <row r="41" spans="2:14" s="11" customFormat="1" ht="13.5" x14ac:dyDescent="0.25">
      <c r="B41" s="9"/>
      <c r="C41" s="100"/>
      <c r="D41" s="100"/>
      <c r="E41" s="100"/>
      <c r="F41" s="100"/>
      <c r="G41" s="9"/>
    </row>
    <row r="42" spans="2:14" s="11" customFormat="1" ht="13.5" x14ac:dyDescent="0.25">
      <c r="B42" s="9"/>
      <c r="C42" s="100"/>
      <c r="D42" s="100"/>
      <c r="E42" s="100"/>
      <c r="F42" s="100"/>
      <c r="G42" s="9"/>
    </row>
    <row r="43" spans="2:14" s="11" customFormat="1" ht="13.5" x14ac:dyDescent="0.25">
      <c r="B43" s="9"/>
      <c r="C43" s="100"/>
      <c r="D43" s="100"/>
      <c r="E43" s="100"/>
      <c r="F43" s="100"/>
      <c r="G43" s="9"/>
    </row>
    <row r="44" spans="2:14" s="11" customFormat="1" ht="13.5" x14ac:dyDescent="0.25">
      <c r="B44" s="9"/>
      <c r="C44" s="100"/>
      <c r="D44" s="100"/>
      <c r="E44" s="100"/>
      <c r="F44" s="100"/>
      <c r="G44" s="9"/>
    </row>
    <row r="45" spans="2:14" s="11" customFormat="1" ht="13.5" x14ac:dyDescent="0.25">
      <c r="B45" s="9"/>
      <c r="C45" s="100"/>
      <c r="D45" s="100"/>
      <c r="E45" s="100"/>
      <c r="F45" s="100"/>
      <c r="G45" s="9"/>
    </row>
    <row r="46" spans="2:14" s="3" customFormat="1" ht="13.5" x14ac:dyDescent="0.25">
      <c r="B46" s="7"/>
      <c r="C46" s="100"/>
      <c r="D46" s="100"/>
      <c r="E46" s="100"/>
      <c r="F46" s="100"/>
      <c r="G46" s="7"/>
    </row>
    <row r="47" spans="2:14" s="3" customFormat="1" ht="13.5" x14ac:dyDescent="0.25">
      <c r="B47" s="7"/>
      <c r="C47" s="101"/>
      <c r="D47" s="101"/>
      <c r="E47" s="101"/>
      <c r="F47" s="101"/>
      <c r="G47" s="7"/>
      <c r="L47" s="11"/>
      <c r="M47" s="11"/>
      <c r="N47" s="11"/>
    </row>
    <row r="48" spans="2:14" s="3" customFormat="1" ht="13.5" x14ac:dyDescent="0.25">
      <c r="B48" s="7"/>
      <c r="C48" s="7"/>
      <c r="D48" s="7"/>
      <c r="E48" s="7"/>
      <c r="F48" s="7"/>
      <c r="G48" s="7"/>
      <c r="L48" s="11"/>
      <c r="M48" s="11"/>
      <c r="N48" s="11"/>
    </row>
    <row r="49" spans="2:13" s="11" customFormat="1" ht="13.5" x14ac:dyDescent="0.25">
      <c r="B49" s="9"/>
      <c r="C49" s="9"/>
      <c r="D49" s="9"/>
      <c r="E49" s="9"/>
      <c r="F49" s="9"/>
      <c r="G49" s="9"/>
    </row>
    <row r="50" spans="2:13" s="11" customFormat="1" ht="13.5" x14ac:dyDescent="0.25">
      <c r="B50" s="9"/>
      <c r="C50" s="99" t="s">
        <v>45</v>
      </c>
      <c r="D50" s="99"/>
      <c r="E50" s="99"/>
      <c r="F50" s="99"/>
      <c r="G50" s="9"/>
    </row>
    <row r="51" spans="2:13" s="11" customFormat="1" ht="13.5" x14ac:dyDescent="0.25">
      <c r="B51" s="9"/>
      <c r="C51" s="100"/>
      <c r="D51" s="100"/>
      <c r="E51" s="100"/>
      <c r="F51" s="100"/>
      <c r="G51" s="9"/>
    </row>
    <row r="52" spans="2:13" s="11" customFormat="1" ht="13.5" x14ac:dyDescent="0.25">
      <c r="B52" s="9"/>
      <c r="C52" s="100"/>
      <c r="D52" s="100"/>
      <c r="E52" s="100"/>
      <c r="F52" s="100"/>
      <c r="G52" s="9"/>
    </row>
    <row r="53" spans="2:13" s="11" customFormat="1" ht="13.5" x14ac:dyDescent="0.25">
      <c r="B53" s="9"/>
      <c r="C53" s="100"/>
      <c r="D53" s="100"/>
      <c r="E53" s="100"/>
      <c r="F53" s="100"/>
      <c r="G53" s="9"/>
    </row>
    <row r="54" spans="2:13" s="11" customFormat="1" ht="13.5" x14ac:dyDescent="0.25">
      <c r="B54" s="9"/>
      <c r="C54" s="101"/>
      <c r="D54" s="101"/>
      <c r="E54" s="101"/>
      <c r="F54" s="101"/>
      <c r="G54" s="9"/>
    </row>
    <row r="55" spans="2:13" s="11" customFormat="1" ht="13.5" x14ac:dyDescent="0.25">
      <c r="B55" s="9"/>
      <c r="C55" s="9"/>
      <c r="D55" s="9"/>
      <c r="E55" s="9"/>
      <c r="F55" s="9"/>
      <c r="G55" s="9"/>
    </row>
    <row r="56" spans="2:13" s="11" customFormat="1" ht="13.5" x14ac:dyDescent="0.25">
      <c r="B56" s="9"/>
      <c r="C56" s="9"/>
      <c r="D56" s="9"/>
      <c r="E56" s="9"/>
      <c r="F56" s="9"/>
      <c r="G56" s="9"/>
    </row>
    <row r="57" spans="2:13" ht="16.5" x14ac:dyDescent="0.2">
      <c r="B57" s="12"/>
      <c r="C57" s="12"/>
      <c r="D57" s="94" t="s">
        <v>108</v>
      </c>
      <c r="E57" s="94"/>
      <c r="F57" s="94"/>
      <c r="G57" s="12"/>
    </row>
    <row r="58" spans="2:13" ht="13.5" x14ac:dyDescent="0.2">
      <c r="B58" s="12"/>
      <c r="C58" s="12"/>
      <c r="D58" s="13" t="s">
        <v>1</v>
      </c>
      <c r="E58" s="13" t="s">
        <v>2</v>
      </c>
      <c r="F58" s="13" t="s">
        <v>13</v>
      </c>
      <c r="G58" s="12"/>
    </row>
    <row r="59" spans="2:13" ht="13.5" x14ac:dyDescent="0.2">
      <c r="B59" s="12"/>
      <c r="C59" s="12"/>
      <c r="D59" s="39" t="s">
        <v>19</v>
      </c>
      <c r="E59" s="13" t="s">
        <v>107</v>
      </c>
      <c r="F59" s="13"/>
      <c r="G59" s="12"/>
    </row>
    <row r="60" spans="2:13" ht="13.5" x14ac:dyDescent="0.2">
      <c r="B60" s="12"/>
      <c r="C60" s="12"/>
      <c r="D60" s="13" t="s">
        <v>41</v>
      </c>
      <c r="E60" s="13" t="s">
        <v>41</v>
      </c>
      <c r="F60" s="13"/>
      <c r="G60" s="12"/>
    </row>
    <row r="61" spans="2:13" ht="14.25" thickBot="1" x14ac:dyDescent="0.25">
      <c r="B61" s="12"/>
      <c r="C61" s="12"/>
      <c r="D61" s="15" t="s">
        <v>20</v>
      </c>
      <c r="E61" s="15" t="s">
        <v>21</v>
      </c>
      <c r="F61" s="45" t="s">
        <v>46</v>
      </c>
      <c r="G61" s="12"/>
    </row>
    <row r="62" spans="2:13" ht="14.25" thickTop="1" x14ac:dyDescent="0.2">
      <c r="B62" s="12"/>
      <c r="C62" s="12"/>
      <c r="D62" s="16" t="s">
        <v>22</v>
      </c>
      <c r="E62" s="16" t="s">
        <v>23</v>
      </c>
      <c r="F62" s="48">
        <v>700</v>
      </c>
      <c r="G62" s="12"/>
    </row>
    <row r="63" spans="2:13" ht="13.5" x14ac:dyDescent="0.2">
      <c r="B63" s="12"/>
      <c r="C63" s="12"/>
      <c r="D63" s="17" t="s">
        <v>22</v>
      </c>
      <c r="E63" s="17" t="s">
        <v>24</v>
      </c>
      <c r="F63" s="20">
        <v>720</v>
      </c>
      <c r="G63" s="12"/>
    </row>
    <row r="64" spans="2:13" ht="13.5" x14ac:dyDescent="0.2">
      <c r="B64" s="12"/>
      <c r="C64" s="12"/>
      <c r="D64" s="17" t="s">
        <v>25</v>
      </c>
      <c r="E64" s="17" t="s">
        <v>23</v>
      </c>
      <c r="F64" s="20">
        <v>300</v>
      </c>
      <c r="G64" s="12"/>
      <c r="M64" s="10"/>
    </row>
    <row r="65" spans="2:13" ht="13.5" x14ac:dyDescent="0.2">
      <c r="B65" s="12"/>
      <c r="C65" s="12"/>
      <c r="D65" s="17" t="s">
        <v>25</v>
      </c>
      <c r="E65" s="17" t="s">
        <v>24</v>
      </c>
      <c r="F65" s="20">
        <v>350</v>
      </c>
      <c r="G65" s="12"/>
      <c r="M65" s="10"/>
    </row>
    <row r="66" spans="2:13" ht="14.25" thickBot="1" x14ac:dyDescent="0.25">
      <c r="B66" s="12"/>
      <c r="C66" s="12"/>
      <c r="D66" s="21" t="s">
        <v>26</v>
      </c>
      <c r="E66" s="21"/>
      <c r="F66" s="49">
        <v>500</v>
      </c>
      <c r="G66" s="12"/>
      <c r="M66" s="8"/>
    </row>
    <row r="67" spans="2:13" s="11" customFormat="1" ht="14.25" thickTop="1" x14ac:dyDescent="0.25">
      <c r="B67" s="12"/>
      <c r="C67" s="12"/>
      <c r="D67" s="12"/>
      <c r="E67" s="12"/>
      <c r="F67" s="47"/>
      <c r="G67" s="12"/>
    </row>
    <row r="68" spans="2:13" s="11" customFormat="1" ht="13.5" x14ac:dyDescent="0.25">
      <c r="B68" s="12"/>
      <c r="C68" s="12"/>
      <c r="D68" s="12"/>
      <c r="E68" s="12"/>
      <c r="F68" s="12"/>
      <c r="G68" s="12"/>
    </row>
    <row r="69" spans="2:13" s="11" customFormat="1" ht="13.5" x14ac:dyDescent="0.25">
      <c r="B69" s="12"/>
      <c r="C69" s="12"/>
      <c r="D69" s="12"/>
      <c r="E69" s="12"/>
      <c r="F69" s="12"/>
      <c r="G69" s="12"/>
    </row>
    <row r="70" spans="2:13" ht="16.5" x14ac:dyDescent="0.2">
      <c r="B70" s="12"/>
      <c r="C70" s="94" t="s">
        <v>109</v>
      </c>
      <c r="D70" s="94"/>
      <c r="E70" s="94"/>
      <c r="F70" s="94"/>
      <c r="G70" s="12"/>
    </row>
    <row r="71" spans="2:13" ht="13.5" x14ac:dyDescent="0.2">
      <c r="B71" s="12"/>
      <c r="C71" s="13" t="s">
        <v>0</v>
      </c>
      <c r="D71" s="13" t="s">
        <v>1</v>
      </c>
      <c r="E71" s="13" t="s">
        <v>2</v>
      </c>
      <c r="F71" s="13" t="s">
        <v>13</v>
      </c>
      <c r="G71" s="12"/>
    </row>
    <row r="72" spans="2:13" ht="13.5" x14ac:dyDescent="0.2">
      <c r="B72" s="12"/>
      <c r="C72" s="13"/>
      <c r="D72" s="13" t="s">
        <v>19</v>
      </c>
      <c r="E72" s="13" t="s">
        <v>107</v>
      </c>
      <c r="F72" s="13"/>
      <c r="G72" s="12"/>
    </row>
    <row r="73" spans="2:13" ht="13.5" x14ac:dyDescent="0.2">
      <c r="B73" s="12"/>
      <c r="C73" s="13"/>
      <c r="D73" s="13" t="s">
        <v>41</v>
      </c>
      <c r="E73" s="13" t="s">
        <v>41</v>
      </c>
      <c r="F73" s="13"/>
      <c r="G73" s="12"/>
      <c r="L73" s="10"/>
    </row>
    <row r="74" spans="2:13" ht="14.25" thickBot="1" x14ac:dyDescent="0.25">
      <c r="B74" s="12"/>
      <c r="C74" s="15" t="s">
        <v>32</v>
      </c>
      <c r="D74" s="15" t="s">
        <v>20</v>
      </c>
      <c r="E74" s="15" t="s">
        <v>21</v>
      </c>
      <c r="F74" s="45" t="s">
        <v>46</v>
      </c>
      <c r="G74" s="12"/>
      <c r="L74" s="8"/>
    </row>
    <row r="75" spans="2:13" ht="14.25" thickTop="1" x14ac:dyDescent="0.2">
      <c r="B75" s="12"/>
      <c r="C75" s="22" t="s">
        <v>27</v>
      </c>
      <c r="D75" s="98" t="s">
        <v>22</v>
      </c>
      <c r="E75" s="23" t="s">
        <v>23</v>
      </c>
      <c r="F75" s="50">
        <v>700</v>
      </c>
      <c r="G75" s="12"/>
      <c r="L75" s="8"/>
    </row>
    <row r="76" spans="2:13" ht="13.5" x14ac:dyDescent="0.2">
      <c r="B76" s="12"/>
      <c r="C76" s="24" t="s">
        <v>28</v>
      </c>
      <c r="D76" s="97"/>
      <c r="E76" s="25" t="s">
        <v>24</v>
      </c>
      <c r="F76" s="26">
        <v>720</v>
      </c>
      <c r="G76" s="12"/>
      <c r="L76" s="8"/>
    </row>
    <row r="77" spans="2:13" ht="13.5" x14ac:dyDescent="0.2">
      <c r="B77" s="12"/>
      <c r="C77" s="24" t="s">
        <v>29</v>
      </c>
      <c r="D77" s="97" t="s">
        <v>25</v>
      </c>
      <c r="E77" s="25" t="s">
        <v>23</v>
      </c>
      <c r="F77" s="26">
        <v>300</v>
      </c>
      <c r="G77" s="12"/>
      <c r="L77" s="8"/>
    </row>
    <row r="78" spans="2:13" ht="13.5" x14ac:dyDescent="0.2">
      <c r="B78" s="12"/>
      <c r="C78" s="24" t="s">
        <v>30</v>
      </c>
      <c r="D78" s="97"/>
      <c r="E78" s="25" t="s">
        <v>24</v>
      </c>
      <c r="F78" s="26">
        <v>350</v>
      </c>
      <c r="G78" s="12"/>
      <c r="L78" s="8"/>
    </row>
    <row r="79" spans="2:13" ht="14.25" thickBot="1" x14ac:dyDescent="0.25">
      <c r="B79" s="12"/>
      <c r="C79" s="27" t="s">
        <v>31</v>
      </c>
      <c r="D79" s="28" t="s">
        <v>26</v>
      </c>
      <c r="E79" s="28"/>
      <c r="F79" s="51">
        <v>500</v>
      </c>
      <c r="G79" s="12"/>
    </row>
    <row r="80" spans="2:13" s="11" customFormat="1" ht="14.25" thickTop="1" x14ac:dyDescent="0.25">
      <c r="B80" s="12"/>
      <c r="C80" s="12"/>
      <c r="D80" s="12"/>
      <c r="E80" s="12"/>
      <c r="F80" s="47"/>
      <c r="G80" s="12"/>
    </row>
    <row r="81" spans="1:7" s="11" customFormat="1" ht="13.5" x14ac:dyDescent="0.25">
      <c r="B81" s="12"/>
      <c r="C81" s="12"/>
      <c r="D81" s="12"/>
      <c r="E81" s="12"/>
      <c r="F81" s="12"/>
      <c r="G81" s="12"/>
    </row>
    <row r="82" spans="1:7" s="11" customFormat="1" ht="13.5" x14ac:dyDescent="0.25">
      <c r="B82" s="9"/>
      <c r="C82" s="9"/>
      <c r="D82" s="9"/>
      <c r="E82" s="9"/>
      <c r="F82" s="9"/>
      <c r="G82" s="9"/>
    </row>
    <row r="83" spans="1:7" s="11" customFormat="1" ht="13.5" x14ac:dyDescent="0.25">
      <c r="B83" s="9"/>
      <c r="C83" s="99" t="s">
        <v>84</v>
      </c>
      <c r="D83" s="99"/>
      <c r="E83" s="99"/>
      <c r="F83" s="99"/>
      <c r="G83" s="9"/>
    </row>
    <row r="84" spans="1:7" s="11" customFormat="1" ht="13.5" x14ac:dyDescent="0.25">
      <c r="B84" s="9"/>
      <c r="C84" s="101"/>
      <c r="D84" s="101"/>
      <c r="E84" s="101"/>
      <c r="F84" s="101"/>
      <c r="G84" s="9"/>
    </row>
    <row r="85" spans="1:7" s="11" customFormat="1" ht="13.5" x14ac:dyDescent="0.25">
      <c r="B85" s="9"/>
      <c r="C85" s="9"/>
      <c r="D85" s="9"/>
      <c r="E85" s="9"/>
      <c r="F85" s="9"/>
      <c r="G85" s="9"/>
    </row>
    <row r="86" spans="1:7" s="11" customFormat="1" ht="13.5" x14ac:dyDescent="0.25">
      <c r="B86" s="12"/>
      <c r="C86" s="12"/>
      <c r="D86" s="12"/>
      <c r="E86" s="12"/>
      <c r="F86" s="12"/>
      <c r="G86" s="12"/>
    </row>
    <row r="87" spans="1:7" s="11" customFormat="1" ht="13.5" x14ac:dyDescent="0.25">
      <c r="B87" s="12"/>
      <c r="C87" s="12"/>
      <c r="D87" s="12"/>
      <c r="E87" s="12"/>
      <c r="F87" s="12"/>
      <c r="G87" s="12"/>
    </row>
    <row r="88" spans="1:7" s="11" customFormat="1" ht="13.5" x14ac:dyDescent="0.25">
      <c r="B88" s="12"/>
      <c r="C88" s="12"/>
      <c r="D88" s="12"/>
      <c r="E88" s="12"/>
      <c r="F88" s="12"/>
      <c r="G88" s="12"/>
    </row>
    <row r="89" spans="1:7" s="11" customFormat="1" ht="14.25" thickBot="1" x14ac:dyDescent="0.3">
      <c r="B89" s="9"/>
      <c r="C89" s="9"/>
      <c r="D89" s="9"/>
      <c r="E89" s="9"/>
      <c r="F89" s="9"/>
      <c r="G89" s="9"/>
    </row>
    <row r="90" spans="1:7" ht="16.5" thickBot="1" x14ac:dyDescent="0.25">
      <c r="A90" s="8"/>
      <c r="B90" s="12"/>
      <c r="C90" s="102" t="s">
        <v>47</v>
      </c>
      <c r="D90" s="102"/>
      <c r="E90" s="102"/>
      <c r="F90" s="102"/>
      <c r="G90" s="12"/>
    </row>
    <row r="91" spans="1:7" s="11" customFormat="1" ht="13.5" x14ac:dyDescent="0.25">
      <c r="B91" s="12"/>
      <c r="C91" s="67"/>
      <c r="D91" s="67"/>
      <c r="E91" s="67"/>
      <c r="F91" s="67"/>
      <c r="G91" s="12"/>
    </row>
    <row r="92" spans="1:7" s="11" customFormat="1" ht="13.5" x14ac:dyDescent="0.25">
      <c r="B92" s="12"/>
      <c r="C92" s="12"/>
      <c r="D92" s="12"/>
      <c r="E92" s="12"/>
      <c r="F92" s="12"/>
      <c r="G92" s="12"/>
    </row>
    <row r="93" spans="1:7" s="11" customFormat="1" ht="13.5" x14ac:dyDescent="0.25">
      <c r="B93" s="12"/>
      <c r="C93" s="99" t="s">
        <v>49</v>
      </c>
      <c r="D93" s="99"/>
      <c r="E93" s="99"/>
      <c r="F93" s="99"/>
      <c r="G93" s="12"/>
    </row>
    <row r="94" spans="1:7" s="11" customFormat="1" ht="13.5" x14ac:dyDescent="0.25">
      <c r="B94" s="12"/>
      <c r="C94" s="100"/>
      <c r="D94" s="100"/>
      <c r="E94" s="100"/>
      <c r="F94" s="100"/>
      <c r="G94" s="12"/>
    </row>
    <row r="95" spans="1:7" s="11" customFormat="1" ht="13.5" x14ac:dyDescent="0.25">
      <c r="B95" s="12"/>
      <c r="C95" s="100"/>
      <c r="D95" s="100"/>
      <c r="E95" s="100"/>
      <c r="F95" s="100"/>
      <c r="G95" s="12"/>
    </row>
    <row r="96" spans="1:7" s="11" customFormat="1" ht="13.5" x14ac:dyDescent="0.25">
      <c r="B96" s="12"/>
      <c r="C96" s="100"/>
      <c r="D96" s="100"/>
      <c r="E96" s="100"/>
      <c r="F96" s="100"/>
      <c r="G96" s="12"/>
    </row>
    <row r="97" spans="2:7" s="11" customFormat="1" ht="13.5" x14ac:dyDescent="0.25">
      <c r="B97" s="12"/>
      <c r="C97" s="100"/>
      <c r="D97" s="100"/>
      <c r="E97" s="100"/>
      <c r="F97" s="100"/>
      <c r="G97" s="12"/>
    </row>
    <row r="98" spans="2:7" s="11" customFormat="1" ht="13.5" x14ac:dyDescent="0.25">
      <c r="B98" s="12"/>
      <c r="C98" s="100"/>
      <c r="D98" s="100"/>
      <c r="E98" s="100"/>
      <c r="F98" s="100"/>
      <c r="G98" s="12"/>
    </row>
    <row r="99" spans="2:7" s="11" customFormat="1" ht="13.5" x14ac:dyDescent="0.25">
      <c r="B99" s="12"/>
      <c r="C99" s="100"/>
      <c r="D99" s="100"/>
      <c r="E99" s="100"/>
      <c r="F99" s="100"/>
      <c r="G99" s="12"/>
    </row>
    <row r="100" spans="2:7" s="11" customFormat="1" ht="13.5" x14ac:dyDescent="0.25">
      <c r="B100" s="12"/>
      <c r="C100" s="100"/>
      <c r="D100" s="100"/>
      <c r="E100" s="100"/>
      <c r="F100" s="100"/>
      <c r="G100" s="12"/>
    </row>
    <row r="101" spans="2:7" s="11" customFormat="1" ht="13.5" x14ac:dyDescent="0.25">
      <c r="B101" s="12"/>
      <c r="C101" s="100"/>
      <c r="D101" s="100"/>
      <c r="E101" s="100"/>
      <c r="F101" s="100"/>
      <c r="G101" s="12"/>
    </row>
    <row r="102" spans="2:7" s="11" customFormat="1" ht="13.5" x14ac:dyDescent="0.25">
      <c r="B102" s="12"/>
      <c r="C102" s="101"/>
      <c r="D102" s="101"/>
      <c r="E102" s="101"/>
      <c r="F102" s="101"/>
      <c r="G102" s="12"/>
    </row>
    <row r="103" spans="2:7" s="11" customFormat="1" ht="13.5" x14ac:dyDescent="0.25">
      <c r="B103" s="12"/>
      <c r="C103" s="12"/>
      <c r="D103" s="12"/>
      <c r="E103" s="12"/>
      <c r="F103" s="12"/>
      <c r="G103" s="12"/>
    </row>
    <row r="104" spans="2:7" s="11" customFormat="1" ht="13.5" x14ac:dyDescent="0.25">
      <c r="B104" s="12"/>
      <c r="C104" s="12"/>
      <c r="D104" s="12"/>
      <c r="E104" s="12"/>
      <c r="F104" s="12"/>
      <c r="G104" s="12"/>
    </row>
    <row r="105" spans="2:7" s="11" customFormat="1" ht="16.5" x14ac:dyDescent="0.25">
      <c r="B105" s="12"/>
      <c r="C105" s="12"/>
      <c r="D105" s="94" t="s">
        <v>115</v>
      </c>
      <c r="E105" s="94"/>
      <c r="F105" s="94"/>
      <c r="G105" s="12"/>
    </row>
    <row r="106" spans="2:7" s="11" customFormat="1" ht="14.25" thickBot="1" x14ac:dyDescent="0.3">
      <c r="B106" s="12"/>
      <c r="C106" s="12"/>
      <c r="D106" s="15" t="s">
        <v>20</v>
      </c>
      <c r="E106" s="15" t="s">
        <v>21</v>
      </c>
      <c r="F106" s="45" t="s">
        <v>46</v>
      </c>
      <c r="G106" s="12"/>
    </row>
    <row r="107" spans="2:7" s="11" customFormat="1" ht="14.25" thickTop="1" x14ac:dyDescent="0.25">
      <c r="B107" s="12"/>
      <c r="C107" s="12"/>
      <c r="D107" s="16" t="s">
        <v>22</v>
      </c>
      <c r="E107" s="16" t="s">
        <v>23</v>
      </c>
      <c r="F107" s="48">
        <v>700</v>
      </c>
      <c r="G107" s="12"/>
    </row>
    <row r="108" spans="2:7" s="11" customFormat="1" ht="13.5" x14ac:dyDescent="0.25">
      <c r="B108" s="12"/>
      <c r="C108" s="12"/>
      <c r="D108" s="17" t="s">
        <v>22</v>
      </c>
      <c r="E108" s="17" t="s">
        <v>24</v>
      </c>
      <c r="F108" s="20">
        <v>720</v>
      </c>
      <c r="G108" s="12"/>
    </row>
    <row r="109" spans="2:7" s="11" customFormat="1" ht="13.5" x14ac:dyDescent="0.25">
      <c r="B109" s="12"/>
      <c r="C109" s="12"/>
      <c r="D109" s="17" t="s">
        <v>25</v>
      </c>
      <c r="E109" s="17" t="s">
        <v>23</v>
      </c>
      <c r="F109" s="20">
        <v>300</v>
      </c>
      <c r="G109" s="12"/>
    </row>
    <row r="110" spans="2:7" s="11" customFormat="1" ht="13.5" x14ac:dyDescent="0.25">
      <c r="B110" s="12"/>
      <c r="C110" s="12"/>
      <c r="D110" s="17" t="s">
        <v>25</v>
      </c>
      <c r="E110" s="17" t="s">
        <v>24</v>
      </c>
      <c r="F110" s="20">
        <v>350</v>
      </c>
      <c r="G110" s="12"/>
    </row>
    <row r="111" spans="2:7" s="11" customFormat="1" ht="14.25" thickBot="1" x14ac:dyDescent="0.3">
      <c r="B111" s="12"/>
      <c r="C111" s="12"/>
      <c r="D111" s="21" t="s">
        <v>26</v>
      </c>
      <c r="E111" s="21"/>
      <c r="F111" s="49">
        <v>500</v>
      </c>
      <c r="G111" s="12"/>
    </row>
    <row r="112" spans="2:7" s="11" customFormat="1" ht="14.25" thickTop="1" x14ac:dyDescent="0.25">
      <c r="B112" s="12"/>
      <c r="C112" s="12"/>
      <c r="D112" s="12"/>
      <c r="E112" s="12"/>
      <c r="F112" s="47"/>
      <c r="G112" s="12"/>
    </row>
    <row r="113" spans="2:7" s="11" customFormat="1" ht="13.5" x14ac:dyDescent="0.25">
      <c r="B113" s="12"/>
      <c r="C113" s="12"/>
      <c r="D113" s="12"/>
      <c r="E113" s="12"/>
      <c r="F113" s="12"/>
      <c r="G113" s="12"/>
    </row>
    <row r="114" spans="2:7" s="11" customFormat="1" ht="13.5" x14ac:dyDescent="0.25">
      <c r="B114" s="12"/>
      <c r="C114" s="12"/>
      <c r="D114" s="12"/>
      <c r="E114" s="12"/>
      <c r="F114" s="12"/>
      <c r="G114" s="12"/>
    </row>
    <row r="115" spans="2:7" s="11" customFormat="1" ht="15.75" x14ac:dyDescent="0.25">
      <c r="B115" s="12"/>
      <c r="C115" s="12"/>
      <c r="D115" s="34" t="s">
        <v>15</v>
      </c>
      <c r="E115" s="12"/>
      <c r="F115" s="12"/>
      <c r="G115" s="12"/>
    </row>
    <row r="116" spans="2:7" s="11" customFormat="1" ht="13.5" x14ac:dyDescent="0.25">
      <c r="B116" s="12"/>
      <c r="C116" s="12"/>
      <c r="D116" s="12"/>
      <c r="E116" s="12"/>
      <c r="F116" s="12"/>
      <c r="G116" s="12"/>
    </row>
    <row r="117" spans="2:7" s="11" customFormat="1" ht="13.5" x14ac:dyDescent="0.25">
      <c r="B117" s="12"/>
      <c r="C117" s="12"/>
      <c r="D117" s="12"/>
      <c r="E117" s="12"/>
      <c r="F117" s="12"/>
      <c r="G117" s="12"/>
    </row>
  </sheetData>
  <mergeCells count="15">
    <mergeCell ref="B3:F3"/>
    <mergeCell ref="D57:F57"/>
    <mergeCell ref="D105:F105"/>
    <mergeCell ref="C8:F9"/>
    <mergeCell ref="C70:F70"/>
    <mergeCell ref="D77:D78"/>
    <mergeCell ref="D75:D76"/>
    <mergeCell ref="C12:F22"/>
    <mergeCell ref="C50:F54"/>
    <mergeCell ref="C93:F102"/>
    <mergeCell ref="C90:F90"/>
    <mergeCell ref="C83:F84"/>
    <mergeCell ref="C37:F47"/>
    <mergeCell ref="D25:F25"/>
    <mergeCell ref="D27:E27"/>
  </mergeCells>
  <hyperlinks>
    <hyperlink ref="D115" location="_st2" tooltip="Step2. Lookup Table and its structure" display="Step 2."/>
  </hyperlinks>
  <pageMargins left="0.75" right="0.75" top="1" bottom="1" header="0.5" footer="0.5"/>
  <pageSetup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1:K81"/>
  <sheetViews>
    <sheetView workbookViewId="0">
      <selection activeCell="D68" sqref="D68:H68"/>
    </sheetView>
  </sheetViews>
  <sheetFormatPr defaultRowHeight="12.75" x14ac:dyDescent="0.2"/>
  <cols>
    <col min="1" max="2" width="9.140625" style="8" collapsed="1"/>
    <col min="3" max="3" width="7.7109375" style="8" customWidth="1" collapsed="1"/>
    <col min="4" max="4" width="55.42578125" style="8" customWidth="1" collapsed="1"/>
    <col min="5" max="5" width="16.42578125" style="8" bestFit="1" customWidth="1" collapsed="1"/>
    <col min="6" max="6" width="12.5703125" style="8" bestFit="1" customWidth="1" collapsed="1"/>
    <col min="7" max="7" width="14.28515625" style="8" customWidth="1" collapsed="1"/>
    <col min="8" max="8" width="16.140625" style="8" customWidth="1" collapsed="1"/>
    <col min="9" max="16384" width="9.140625" style="8" collapsed="1"/>
  </cols>
  <sheetData>
    <row r="1" spans="2:9" s="11" customFormat="1" ht="13.5" x14ac:dyDescent="0.25"/>
    <row r="2" spans="2:9" s="11" customFormat="1" ht="13.5" x14ac:dyDescent="0.25"/>
    <row r="3" spans="2:9" s="11" customFormat="1" ht="20.25" thickBot="1" x14ac:dyDescent="0.3">
      <c r="B3" s="93" t="s">
        <v>90</v>
      </c>
      <c r="C3" s="93"/>
      <c r="D3" s="93"/>
      <c r="E3" s="93"/>
      <c r="F3" s="104"/>
    </row>
    <row r="4" spans="2:9" s="11" customFormat="1" ht="14.25" thickTop="1" x14ac:dyDescent="0.25">
      <c r="B4" s="65"/>
      <c r="C4" s="65"/>
      <c r="D4" s="65"/>
      <c r="E4" s="65"/>
      <c r="F4" s="65"/>
    </row>
    <row r="5" spans="2:9" s="11" customFormat="1" ht="13.5" x14ac:dyDescent="0.25"/>
    <row r="6" spans="2:9" s="11" customFormat="1" ht="13.5" x14ac:dyDescent="0.25">
      <c r="B6" s="12"/>
      <c r="C6" s="12"/>
      <c r="D6" s="12"/>
      <c r="E6" s="12"/>
      <c r="F6" s="12"/>
      <c r="G6" s="12"/>
      <c r="H6" s="12"/>
      <c r="I6" s="12"/>
    </row>
    <row r="7" spans="2:9" s="11" customFormat="1" ht="14.25" thickBot="1" x14ac:dyDescent="0.3">
      <c r="B7" s="12"/>
      <c r="C7" s="12"/>
      <c r="D7" s="12"/>
      <c r="E7" s="12"/>
      <c r="F7" s="12"/>
      <c r="G7" s="12"/>
      <c r="H7" s="12"/>
      <c r="I7" s="12"/>
    </row>
    <row r="8" spans="2:9" s="11" customFormat="1" ht="13.5" x14ac:dyDescent="0.25">
      <c r="B8" s="12"/>
      <c r="C8" s="95" t="s">
        <v>48</v>
      </c>
      <c r="D8" s="95"/>
      <c r="E8" s="95"/>
      <c r="F8" s="95"/>
      <c r="G8" s="12"/>
      <c r="H8" s="12"/>
      <c r="I8" s="12"/>
    </row>
    <row r="9" spans="2:9" s="11" customFormat="1" ht="14.25" thickBot="1" x14ac:dyDescent="0.3">
      <c r="B9" s="12"/>
      <c r="C9" s="96"/>
      <c r="D9" s="96"/>
      <c r="E9" s="96"/>
      <c r="F9" s="96"/>
      <c r="G9" s="12"/>
      <c r="H9" s="12"/>
      <c r="I9" s="12"/>
    </row>
    <row r="10" spans="2:9" s="11" customFormat="1" ht="13.5" x14ac:dyDescent="0.25">
      <c r="B10" s="12"/>
      <c r="C10" s="12"/>
      <c r="D10" s="12"/>
      <c r="E10" s="12"/>
      <c r="F10" s="12"/>
      <c r="G10" s="12"/>
      <c r="H10" s="12"/>
      <c r="I10" s="12"/>
    </row>
    <row r="11" spans="2:9" s="11" customFormat="1" ht="13.5" x14ac:dyDescent="0.25">
      <c r="B11" s="12"/>
      <c r="C11" s="12"/>
      <c r="D11" s="12"/>
      <c r="E11" s="12"/>
      <c r="F11" s="12"/>
      <c r="G11" s="12"/>
      <c r="H11" s="12"/>
      <c r="I11" s="12"/>
    </row>
    <row r="12" spans="2:9" s="11" customFormat="1" ht="13.5" x14ac:dyDescent="0.25">
      <c r="B12" s="12"/>
      <c r="C12" s="99" t="s">
        <v>111</v>
      </c>
      <c r="D12" s="99"/>
      <c r="E12" s="99"/>
      <c r="F12" s="99"/>
      <c r="G12" s="12"/>
      <c r="H12" s="12"/>
      <c r="I12" s="12"/>
    </row>
    <row r="13" spans="2:9" s="11" customFormat="1" ht="13.5" x14ac:dyDescent="0.25">
      <c r="B13" s="12"/>
      <c r="C13" s="100"/>
      <c r="D13" s="100"/>
      <c r="E13" s="100"/>
      <c r="F13" s="100"/>
      <c r="G13" s="12"/>
      <c r="H13" s="12"/>
      <c r="I13" s="12"/>
    </row>
    <row r="14" spans="2:9" s="11" customFormat="1" ht="13.5" x14ac:dyDescent="0.25">
      <c r="B14" s="12"/>
      <c r="C14" s="100"/>
      <c r="D14" s="100"/>
      <c r="E14" s="100"/>
      <c r="F14" s="100"/>
      <c r="G14" s="12"/>
      <c r="H14" s="12"/>
      <c r="I14" s="12"/>
    </row>
    <row r="15" spans="2:9" s="11" customFormat="1" ht="13.5" x14ac:dyDescent="0.25">
      <c r="B15" s="12"/>
      <c r="C15" s="100"/>
      <c r="D15" s="100"/>
      <c r="E15" s="100"/>
      <c r="F15" s="100"/>
      <c r="G15" s="12"/>
      <c r="H15" s="12"/>
      <c r="I15" s="12"/>
    </row>
    <row r="16" spans="2:9" s="11" customFormat="1" ht="13.5" x14ac:dyDescent="0.25">
      <c r="B16" s="12"/>
      <c r="C16" s="100"/>
      <c r="D16" s="100"/>
      <c r="E16" s="100"/>
      <c r="F16" s="100"/>
      <c r="G16" s="12"/>
      <c r="H16" s="12"/>
      <c r="I16" s="12"/>
    </row>
    <row r="17" spans="2:11" s="11" customFormat="1" ht="13.5" x14ac:dyDescent="0.25">
      <c r="B17" s="12"/>
      <c r="C17" s="100"/>
      <c r="D17" s="100"/>
      <c r="E17" s="100"/>
      <c r="F17" s="100"/>
      <c r="G17" s="12"/>
      <c r="H17" s="12"/>
      <c r="I17" s="12"/>
    </row>
    <row r="18" spans="2:11" s="11" customFormat="1" ht="13.5" x14ac:dyDescent="0.25">
      <c r="B18" s="12"/>
      <c r="C18" s="100"/>
      <c r="D18" s="100"/>
      <c r="E18" s="100"/>
      <c r="F18" s="100"/>
      <c r="G18" s="12"/>
      <c r="H18" s="12"/>
      <c r="I18" s="12"/>
    </row>
    <row r="19" spans="2:11" s="11" customFormat="1" ht="13.5" x14ac:dyDescent="0.25">
      <c r="B19" s="12"/>
      <c r="C19" s="100"/>
      <c r="D19" s="100"/>
      <c r="E19" s="100"/>
      <c r="F19" s="100"/>
      <c r="G19" s="12"/>
      <c r="H19" s="12"/>
      <c r="I19" s="12"/>
    </row>
    <row r="20" spans="2:11" s="11" customFormat="1" ht="13.5" x14ac:dyDescent="0.25">
      <c r="B20" s="12"/>
      <c r="C20" s="100"/>
      <c r="D20" s="100"/>
      <c r="E20" s="100"/>
      <c r="F20" s="100"/>
      <c r="G20" s="12"/>
      <c r="H20" s="12"/>
      <c r="I20" s="12"/>
    </row>
    <row r="21" spans="2:11" s="11" customFormat="1" ht="13.5" x14ac:dyDescent="0.25">
      <c r="B21" s="12"/>
      <c r="C21" s="101"/>
      <c r="D21" s="101"/>
      <c r="E21" s="101"/>
      <c r="F21" s="101"/>
      <c r="G21" s="12"/>
      <c r="H21" s="12"/>
      <c r="I21" s="12"/>
    </row>
    <row r="22" spans="2:11" s="11" customFormat="1" ht="13.5" x14ac:dyDescent="0.25">
      <c r="B22" s="12"/>
      <c r="C22" s="12"/>
      <c r="D22" s="12"/>
      <c r="E22" s="12"/>
      <c r="F22" s="12"/>
      <c r="G22" s="12"/>
      <c r="H22" s="12"/>
      <c r="I22" s="12"/>
    </row>
    <row r="23" spans="2:11" s="11" customFormat="1" ht="13.5" x14ac:dyDescent="0.25">
      <c r="B23" s="12"/>
      <c r="C23" s="12"/>
      <c r="D23" s="12"/>
      <c r="E23" s="12"/>
      <c r="F23" s="12"/>
      <c r="G23" s="12"/>
      <c r="H23" s="12"/>
      <c r="I23" s="12"/>
    </row>
    <row r="24" spans="2:11" ht="16.5" x14ac:dyDescent="0.2">
      <c r="B24" s="12"/>
      <c r="C24" s="12"/>
      <c r="D24" s="94" t="s">
        <v>116</v>
      </c>
      <c r="E24" s="94"/>
      <c r="F24" s="94"/>
      <c r="G24" s="12"/>
      <c r="H24" s="12"/>
      <c r="I24" s="12"/>
    </row>
    <row r="25" spans="2:11" ht="13.5" x14ac:dyDescent="0.2">
      <c r="B25" s="12"/>
      <c r="C25" s="12"/>
      <c r="D25" s="13" t="s">
        <v>1</v>
      </c>
      <c r="E25" s="13" t="s">
        <v>40</v>
      </c>
      <c r="F25" s="13" t="s">
        <v>13</v>
      </c>
      <c r="G25" s="12"/>
      <c r="H25" s="12"/>
      <c r="I25" s="12"/>
    </row>
    <row r="26" spans="2:11" ht="13.5" x14ac:dyDescent="0.2">
      <c r="B26" s="12"/>
      <c r="C26" s="12"/>
      <c r="D26" s="13" t="s">
        <v>19</v>
      </c>
      <c r="E26" s="13" t="s">
        <v>107</v>
      </c>
      <c r="F26" s="13"/>
      <c r="G26" s="12"/>
      <c r="H26" s="12"/>
      <c r="I26" s="12"/>
    </row>
    <row r="27" spans="2:11" ht="13.5" x14ac:dyDescent="0.2">
      <c r="B27" s="12"/>
      <c r="C27" s="12"/>
      <c r="D27" s="13" t="s">
        <v>41</v>
      </c>
      <c r="E27" s="13" t="s">
        <v>41</v>
      </c>
      <c r="F27" s="13"/>
      <c r="G27" s="12"/>
      <c r="H27" s="12"/>
      <c r="I27" s="12"/>
    </row>
    <row r="28" spans="2:11" ht="27.75" thickBot="1" x14ac:dyDescent="0.25">
      <c r="B28" s="12"/>
      <c r="C28" s="12"/>
      <c r="D28" s="29" t="s">
        <v>51</v>
      </c>
      <c r="E28" s="52" t="s">
        <v>23</v>
      </c>
      <c r="F28" s="52" t="s">
        <v>24</v>
      </c>
      <c r="G28" s="12"/>
      <c r="H28" s="12"/>
      <c r="I28" s="12"/>
    </row>
    <row r="29" spans="2:11" ht="14.25" thickTop="1" x14ac:dyDescent="0.2">
      <c r="B29" s="12"/>
      <c r="C29" s="12"/>
      <c r="D29" s="17" t="s">
        <v>22</v>
      </c>
      <c r="E29" s="53">
        <v>700</v>
      </c>
      <c r="F29" s="50">
        <v>720</v>
      </c>
      <c r="G29" s="12"/>
      <c r="H29" s="12"/>
      <c r="I29" s="12"/>
    </row>
    <row r="30" spans="2:11" ht="13.5" x14ac:dyDescent="0.2">
      <c r="B30" s="12"/>
      <c r="C30" s="12"/>
      <c r="D30" s="17" t="s">
        <v>25</v>
      </c>
      <c r="E30" s="30">
        <v>300</v>
      </c>
      <c r="F30" s="26">
        <v>350</v>
      </c>
      <c r="G30" s="12"/>
      <c r="H30" s="12"/>
      <c r="I30" s="12"/>
      <c r="K30" s="10"/>
    </row>
    <row r="31" spans="2:11" ht="14.25" thickBot="1" x14ac:dyDescent="0.25">
      <c r="B31" s="12"/>
      <c r="C31" s="12"/>
      <c r="D31" s="19" t="s">
        <v>26</v>
      </c>
      <c r="E31" s="108">
        <v>500</v>
      </c>
      <c r="F31" s="109"/>
      <c r="G31" s="12"/>
      <c r="H31" s="12"/>
      <c r="I31" s="12"/>
    </row>
    <row r="32" spans="2:11" s="11" customFormat="1" ht="14.25" thickTop="1" x14ac:dyDescent="0.25">
      <c r="B32" s="12"/>
      <c r="C32" s="12"/>
      <c r="D32" s="12"/>
      <c r="E32" s="12"/>
      <c r="F32" s="12"/>
      <c r="G32" s="12"/>
      <c r="H32" s="12"/>
      <c r="I32" s="12"/>
    </row>
    <row r="33" spans="2:9" s="11" customFormat="1" ht="13.5" x14ac:dyDescent="0.25">
      <c r="B33" s="12"/>
      <c r="C33" s="12"/>
      <c r="D33" s="12"/>
      <c r="E33" s="12"/>
      <c r="F33" s="12"/>
      <c r="G33" s="12"/>
      <c r="H33" s="12"/>
      <c r="I33" s="12"/>
    </row>
    <row r="34" spans="2:9" s="11" customFormat="1" ht="13.5" x14ac:dyDescent="0.25">
      <c r="B34" s="12"/>
      <c r="C34" s="12"/>
      <c r="D34" s="12"/>
      <c r="E34" s="12"/>
      <c r="F34" s="12"/>
      <c r="G34" s="12"/>
      <c r="H34" s="12"/>
      <c r="I34" s="12"/>
    </row>
    <row r="35" spans="2:9" s="11" customFormat="1" ht="13.5" x14ac:dyDescent="0.25">
      <c r="B35" s="12"/>
      <c r="C35" s="12"/>
      <c r="D35" s="12"/>
      <c r="E35" s="12"/>
      <c r="F35" s="12"/>
      <c r="G35" s="12"/>
      <c r="H35" s="12"/>
      <c r="I35" s="12"/>
    </row>
    <row r="36" spans="2:9" s="11" customFormat="1" ht="14.25" thickBot="1" x14ac:dyDescent="0.3">
      <c r="B36" s="12"/>
      <c r="C36" s="12"/>
      <c r="D36" s="12"/>
      <c r="E36" s="12"/>
      <c r="F36" s="12"/>
      <c r="G36" s="12"/>
      <c r="H36" s="12"/>
      <c r="I36" s="12"/>
    </row>
    <row r="37" spans="2:9" ht="16.5" thickBot="1" x14ac:dyDescent="0.25">
      <c r="B37" s="12"/>
      <c r="C37" s="102" t="s">
        <v>50</v>
      </c>
      <c r="D37" s="102"/>
      <c r="E37" s="102"/>
      <c r="F37" s="102"/>
      <c r="G37" s="12"/>
      <c r="H37" s="12"/>
      <c r="I37" s="12"/>
    </row>
    <row r="38" spans="2:9" s="11" customFormat="1" ht="13.5" x14ac:dyDescent="0.25">
      <c r="B38" s="12"/>
      <c r="C38" s="67"/>
      <c r="D38" s="67"/>
      <c r="E38" s="67"/>
      <c r="F38" s="67"/>
      <c r="G38" s="12"/>
      <c r="H38" s="12"/>
      <c r="I38" s="12"/>
    </row>
    <row r="39" spans="2:9" s="11" customFormat="1" ht="13.5" x14ac:dyDescent="0.25">
      <c r="B39" s="12"/>
      <c r="C39" s="12"/>
      <c r="D39" s="12"/>
      <c r="E39" s="12"/>
      <c r="F39" s="12"/>
      <c r="G39" s="12"/>
      <c r="H39" s="12"/>
      <c r="I39" s="12"/>
    </row>
    <row r="40" spans="2:9" s="11" customFormat="1" ht="13.5" x14ac:dyDescent="0.25">
      <c r="B40" s="12"/>
      <c r="C40" s="99" t="s">
        <v>52</v>
      </c>
      <c r="D40" s="99"/>
      <c r="E40" s="99"/>
      <c r="F40" s="99"/>
      <c r="G40" s="12"/>
      <c r="H40" s="12"/>
      <c r="I40" s="12"/>
    </row>
    <row r="41" spans="2:9" s="11" customFormat="1" ht="13.5" x14ac:dyDescent="0.25">
      <c r="B41" s="12"/>
      <c r="C41" s="100"/>
      <c r="D41" s="100"/>
      <c r="E41" s="100"/>
      <c r="F41" s="100"/>
      <c r="G41" s="12"/>
      <c r="H41" s="12"/>
      <c r="I41" s="12"/>
    </row>
    <row r="42" spans="2:9" s="11" customFormat="1" ht="13.5" x14ac:dyDescent="0.25">
      <c r="B42" s="12"/>
      <c r="C42" s="100"/>
      <c r="D42" s="100"/>
      <c r="E42" s="100"/>
      <c r="F42" s="100"/>
      <c r="G42" s="12"/>
      <c r="H42" s="12"/>
      <c r="I42" s="12"/>
    </row>
    <row r="43" spans="2:9" s="11" customFormat="1" ht="13.5" x14ac:dyDescent="0.25">
      <c r="B43" s="12"/>
      <c r="C43" s="101"/>
      <c r="D43" s="101"/>
      <c r="E43" s="101"/>
      <c r="F43" s="101"/>
      <c r="G43" s="12"/>
      <c r="H43" s="12"/>
      <c r="I43" s="12"/>
    </row>
    <row r="44" spans="2:9" s="11" customFormat="1" ht="13.5" x14ac:dyDescent="0.25">
      <c r="B44" s="12"/>
      <c r="C44" s="12"/>
      <c r="D44" s="12"/>
      <c r="E44" s="12"/>
      <c r="F44" s="12"/>
      <c r="G44" s="12"/>
      <c r="H44" s="12"/>
      <c r="I44" s="12"/>
    </row>
    <row r="45" spans="2:9" s="11" customFormat="1" ht="13.5" x14ac:dyDescent="0.25">
      <c r="B45" s="12"/>
      <c r="C45" s="12"/>
      <c r="D45" s="12"/>
      <c r="E45" s="12"/>
      <c r="F45" s="12"/>
      <c r="G45" s="12"/>
      <c r="H45" s="12"/>
      <c r="I45" s="12"/>
    </row>
    <row r="46" spans="2:9" s="11" customFormat="1" ht="16.5" x14ac:dyDescent="0.25">
      <c r="B46" s="12"/>
      <c r="C46" s="12"/>
      <c r="D46" s="94" t="s">
        <v>110</v>
      </c>
      <c r="E46" s="94"/>
      <c r="F46" s="94"/>
      <c r="G46" s="12"/>
      <c r="H46" s="12"/>
      <c r="I46" s="12"/>
    </row>
    <row r="47" spans="2:9" s="11" customFormat="1" ht="27.75" thickBot="1" x14ac:dyDescent="0.3">
      <c r="B47" s="12"/>
      <c r="C47" s="12"/>
      <c r="D47" s="29" t="s">
        <v>51</v>
      </c>
      <c r="E47" s="52" t="s">
        <v>23</v>
      </c>
      <c r="F47" s="52" t="s">
        <v>24</v>
      </c>
      <c r="G47" s="12"/>
      <c r="H47" s="12"/>
      <c r="I47" s="12"/>
    </row>
    <row r="48" spans="2:9" s="11" customFormat="1" ht="14.25" thickTop="1" x14ac:dyDescent="0.25">
      <c r="B48" s="12"/>
      <c r="C48" s="12"/>
      <c r="D48" s="17" t="s">
        <v>22</v>
      </c>
      <c r="E48" s="53">
        <v>700</v>
      </c>
      <c r="F48" s="50">
        <v>720</v>
      </c>
      <c r="G48" s="12"/>
      <c r="H48" s="12"/>
      <c r="I48" s="12"/>
    </row>
    <row r="49" spans="2:9" s="11" customFormat="1" ht="13.5" x14ac:dyDescent="0.25">
      <c r="B49" s="12"/>
      <c r="C49" s="12"/>
      <c r="D49" s="17" t="s">
        <v>25</v>
      </c>
      <c r="E49" s="30">
        <v>300</v>
      </c>
      <c r="F49" s="26">
        <v>350</v>
      </c>
      <c r="G49" s="12"/>
      <c r="H49" s="12"/>
      <c r="I49" s="12"/>
    </row>
    <row r="50" spans="2:9" s="11" customFormat="1" ht="14.25" thickBot="1" x14ac:dyDescent="0.3">
      <c r="B50" s="12"/>
      <c r="C50" s="12"/>
      <c r="D50" s="19" t="s">
        <v>26</v>
      </c>
      <c r="E50" s="106">
        <v>500</v>
      </c>
      <c r="F50" s="107"/>
      <c r="G50" s="12"/>
      <c r="H50" s="12"/>
      <c r="I50" s="12"/>
    </row>
    <row r="51" spans="2:9" s="11" customFormat="1" ht="14.25" thickTop="1" x14ac:dyDescent="0.25">
      <c r="B51" s="12"/>
      <c r="C51" s="12"/>
      <c r="D51" s="12"/>
      <c r="E51" s="47"/>
      <c r="F51" s="47"/>
      <c r="G51" s="12"/>
      <c r="H51" s="12"/>
      <c r="I51" s="12"/>
    </row>
    <row r="52" spans="2:9" s="11" customFormat="1" ht="13.5" x14ac:dyDescent="0.25">
      <c r="B52" s="12"/>
      <c r="C52" s="12"/>
      <c r="D52" s="12"/>
      <c r="E52" s="12"/>
      <c r="F52" s="12"/>
      <c r="G52" s="12"/>
      <c r="H52" s="12"/>
      <c r="I52" s="12"/>
    </row>
    <row r="53" spans="2:9" s="11" customFormat="1" ht="13.5" x14ac:dyDescent="0.25">
      <c r="B53" s="12"/>
      <c r="C53" s="99" t="s">
        <v>112</v>
      </c>
      <c r="D53" s="99"/>
      <c r="E53" s="99"/>
      <c r="F53" s="99"/>
      <c r="G53" s="12"/>
      <c r="H53" s="12"/>
      <c r="I53" s="12"/>
    </row>
    <row r="54" spans="2:9" s="11" customFormat="1" ht="13.5" customHeight="1" x14ac:dyDescent="0.25">
      <c r="B54" s="12"/>
      <c r="C54" s="101"/>
      <c r="D54" s="101"/>
      <c r="E54" s="101"/>
      <c r="F54" s="101"/>
      <c r="G54" s="12"/>
      <c r="H54" s="12"/>
      <c r="I54" s="12"/>
    </row>
    <row r="55" spans="2:9" s="11" customFormat="1" ht="13.5" x14ac:dyDescent="0.25">
      <c r="B55" s="12"/>
      <c r="C55" s="12"/>
      <c r="D55" s="12"/>
      <c r="E55" s="12"/>
      <c r="F55" s="12"/>
      <c r="G55" s="12"/>
      <c r="H55" s="12"/>
      <c r="I55" s="12"/>
    </row>
    <row r="56" spans="2:9" s="11" customFormat="1" ht="13.5" x14ac:dyDescent="0.25">
      <c r="B56" s="12"/>
      <c r="C56" s="12"/>
      <c r="D56" s="12"/>
      <c r="E56" s="12"/>
      <c r="F56" s="12"/>
      <c r="G56" s="12"/>
      <c r="H56" s="12"/>
      <c r="I56" s="12"/>
    </row>
    <row r="57" spans="2:9" s="11" customFormat="1" ht="13.5" x14ac:dyDescent="0.25">
      <c r="B57" s="12"/>
      <c r="C57" s="12"/>
      <c r="D57" s="12"/>
      <c r="E57" s="12"/>
      <c r="F57" s="12"/>
      <c r="G57" s="12"/>
      <c r="H57" s="12"/>
      <c r="I57" s="12"/>
    </row>
    <row r="58" spans="2:9" s="11" customFormat="1" ht="13.5" x14ac:dyDescent="0.25">
      <c r="B58" s="12"/>
      <c r="C58" s="12"/>
      <c r="D58" s="12"/>
      <c r="E58" s="12"/>
      <c r="F58" s="12"/>
      <c r="G58" s="12"/>
      <c r="H58" s="12"/>
      <c r="I58" s="12"/>
    </row>
    <row r="59" spans="2:9" s="11" customFormat="1" ht="14.25" thickBot="1" x14ac:dyDescent="0.3">
      <c r="B59" s="12"/>
      <c r="C59" s="12"/>
      <c r="D59" s="12"/>
      <c r="E59" s="12"/>
      <c r="F59" s="12"/>
      <c r="G59" s="12"/>
      <c r="H59" s="12"/>
      <c r="I59" s="12"/>
    </row>
    <row r="60" spans="2:9" s="11" customFormat="1" ht="16.5" thickBot="1" x14ac:dyDescent="0.3">
      <c r="B60" s="12"/>
      <c r="C60" s="102" t="s">
        <v>53</v>
      </c>
      <c r="D60" s="102"/>
      <c r="E60" s="102"/>
      <c r="F60" s="102"/>
      <c r="G60" s="12"/>
      <c r="H60" s="12"/>
      <c r="I60" s="12"/>
    </row>
    <row r="61" spans="2:9" s="11" customFormat="1" ht="13.5" x14ac:dyDescent="0.25">
      <c r="B61" s="12"/>
      <c r="C61" s="12"/>
      <c r="D61" s="12"/>
      <c r="E61" s="12"/>
      <c r="F61" s="12"/>
      <c r="G61" s="12"/>
      <c r="H61" s="12"/>
      <c r="I61" s="12"/>
    </row>
    <row r="62" spans="2:9" s="11" customFormat="1" ht="13.5" x14ac:dyDescent="0.25">
      <c r="B62" s="12"/>
      <c r="C62" s="12"/>
      <c r="D62" s="12"/>
      <c r="E62" s="12"/>
      <c r="F62" s="12"/>
      <c r="G62" s="12"/>
      <c r="H62" s="12"/>
      <c r="I62" s="12"/>
    </row>
    <row r="63" spans="2:9" s="11" customFormat="1" ht="13.5" x14ac:dyDescent="0.25">
      <c r="B63" s="12"/>
      <c r="C63" s="99" t="s">
        <v>59</v>
      </c>
      <c r="D63" s="99"/>
      <c r="E63" s="99"/>
      <c r="F63" s="99"/>
      <c r="G63" s="12"/>
      <c r="H63" s="12"/>
      <c r="I63" s="12"/>
    </row>
    <row r="64" spans="2:9" s="11" customFormat="1" ht="13.5" x14ac:dyDescent="0.25">
      <c r="B64" s="12"/>
      <c r="C64" s="100"/>
      <c r="D64" s="100"/>
      <c r="E64" s="100"/>
      <c r="F64" s="100"/>
      <c r="G64" s="12"/>
      <c r="H64" s="12"/>
      <c r="I64" s="12"/>
    </row>
    <row r="65" spans="2:9" s="11" customFormat="1" ht="13.5" x14ac:dyDescent="0.25">
      <c r="B65" s="12"/>
      <c r="C65" s="101"/>
      <c r="D65" s="101"/>
      <c r="E65" s="101"/>
      <c r="F65" s="101"/>
      <c r="G65" s="12"/>
      <c r="H65" s="12"/>
      <c r="I65" s="12"/>
    </row>
    <row r="66" spans="2:9" s="11" customFormat="1" ht="13.5" x14ac:dyDescent="0.25">
      <c r="B66" s="12"/>
      <c r="C66" s="12"/>
      <c r="D66" s="12"/>
      <c r="E66" s="12"/>
      <c r="F66" s="12"/>
      <c r="G66" s="12"/>
      <c r="H66" s="12"/>
      <c r="I66" s="12"/>
    </row>
    <row r="67" spans="2:9" s="11" customFormat="1" ht="13.5" x14ac:dyDescent="0.25">
      <c r="B67" s="12"/>
      <c r="C67" s="12"/>
      <c r="D67" s="12"/>
      <c r="E67" s="12"/>
      <c r="F67" s="12"/>
      <c r="G67" s="12"/>
      <c r="H67" s="12"/>
      <c r="I67" s="12"/>
    </row>
    <row r="68" spans="2:9" s="11" customFormat="1" ht="16.5" x14ac:dyDescent="0.25">
      <c r="B68" s="12"/>
      <c r="C68" s="12"/>
      <c r="D68" s="94" t="s">
        <v>99</v>
      </c>
      <c r="E68" s="94"/>
      <c r="F68" s="94"/>
      <c r="G68" s="94"/>
      <c r="H68" s="94"/>
      <c r="I68" s="12"/>
    </row>
    <row r="69" spans="2:9" s="11" customFormat="1" ht="13.5" x14ac:dyDescent="0.25">
      <c r="B69" s="12"/>
      <c r="C69" s="12"/>
      <c r="D69" s="105" t="s">
        <v>117</v>
      </c>
      <c r="E69" s="110" t="s">
        <v>42</v>
      </c>
      <c r="F69" s="110"/>
      <c r="G69" s="110" t="s">
        <v>56</v>
      </c>
      <c r="H69" s="110"/>
      <c r="I69" s="12"/>
    </row>
    <row r="70" spans="2:9" s="11" customFormat="1" ht="14.25" thickBot="1" x14ac:dyDescent="0.3">
      <c r="B70" s="12"/>
      <c r="C70" s="12"/>
      <c r="D70" s="105"/>
      <c r="E70" s="52" t="s">
        <v>57</v>
      </c>
      <c r="F70" s="58" t="s">
        <v>58</v>
      </c>
      <c r="G70" s="58" t="s">
        <v>60</v>
      </c>
      <c r="H70" s="52" t="s">
        <v>61</v>
      </c>
      <c r="I70" s="12"/>
    </row>
    <row r="71" spans="2:9" s="11" customFormat="1" ht="14.25" thickTop="1" x14ac:dyDescent="0.25">
      <c r="B71" s="12"/>
      <c r="C71" s="12"/>
      <c r="D71" s="17" t="s">
        <v>43</v>
      </c>
      <c r="E71" s="53">
        <v>55150</v>
      </c>
      <c r="F71" s="56">
        <v>47350</v>
      </c>
      <c r="G71" s="56">
        <v>105630</v>
      </c>
      <c r="H71" s="50">
        <v>91030</v>
      </c>
      <c r="I71" s="12"/>
    </row>
    <row r="72" spans="2:9" s="11" customFormat="1" ht="13.5" x14ac:dyDescent="0.25">
      <c r="B72" s="12"/>
      <c r="C72" s="12"/>
      <c r="D72" s="17" t="s">
        <v>44</v>
      </c>
      <c r="E72" s="30">
        <v>57150</v>
      </c>
      <c r="F72" s="26">
        <v>49350</v>
      </c>
      <c r="G72" s="26">
        <v>107630</v>
      </c>
      <c r="H72" s="26">
        <v>93220</v>
      </c>
      <c r="I72" s="12"/>
    </row>
    <row r="73" spans="2:9" s="11" customFormat="1" ht="13.5" x14ac:dyDescent="0.25">
      <c r="B73" s="12"/>
      <c r="C73" s="12"/>
      <c r="D73" s="17" t="s">
        <v>54</v>
      </c>
      <c r="E73" s="32">
        <v>64400</v>
      </c>
      <c r="F73" s="33">
        <v>57150</v>
      </c>
      <c r="G73" s="33">
        <v>125600</v>
      </c>
      <c r="H73" s="33">
        <v>110030</v>
      </c>
      <c r="I73" s="12"/>
    </row>
    <row r="74" spans="2:9" s="11" customFormat="1" ht="14.25" thickBot="1" x14ac:dyDescent="0.3">
      <c r="B74" s="12"/>
      <c r="C74" s="12"/>
      <c r="D74" s="19" t="s">
        <v>55</v>
      </c>
      <c r="E74" s="54">
        <v>90400</v>
      </c>
      <c r="F74" s="57">
        <v>83500</v>
      </c>
      <c r="G74" s="57">
        <v>145500</v>
      </c>
      <c r="H74" s="55">
        <v>130500</v>
      </c>
      <c r="I74" s="12"/>
    </row>
    <row r="75" spans="2:9" s="11" customFormat="1" ht="14.25" thickTop="1" x14ac:dyDescent="0.25">
      <c r="B75" s="12"/>
      <c r="C75" s="12"/>
      <c r="D75" s="12"/>
      <c r="E75" s="12"/>
      <c r="F75" s="12"/>
      <c r="G75" s="12"/>
      <c r="H75" s="12"/>
      <c r="I75" s="12"/>
    </row>
    <row r="76" spans="2:9" s="11" customFormat="1" ht="13.5" x14ac:dyDescent="0.25">
      <c r="B76" s="12"/>
      <c r="C76" s="12"/>
      <c r="D76" s="12"/>
      <c r="E76" s="12"/>
      <c r="F76" s="12"/>
      <c r="G76" s="12"/>
      <c r="H76" s="12"/>
      <c r="I76" s="12"/>
    </row>
    <row r="77" spans="2:9" s="11" customFormat="1" ht="13.5" x14ac:dyDescent="0.25">
      <c r="B77" s="12"/>
      <c r="C77" s="12"/>
      <c r="D77" s="12"/>
      <c r="E77" s="12"/>
      <c r="F77" s="12"/>
      <c r="G77" s="12"/>
      <c r="H77" s="12"/>
      <c r="I77" s="12"/>
    </row>
    <row r="78" spans="2:9" s="11" customFormat="1" ht="13.5" x14ac:dyDescent="0.25">
      <c r="B78" s="12"/>
      <c r="C78" s="12"/>
      <c r="D78" s="12"/>
      <c r="E78" s="12"/>
      <c r="F78" s="12"/>
      <c r="G78" s="12"/>
      <c r="H78" s="12"/>
      <c r="I78" s="12"/>
    </row>
    <row r="79" spans="2:9" s="11" customFormat="1" ht="15.75" x14ac:dyDescent="0.25">
      <c r="B79" s="12"/>
      <c r="C79" s="12"/>
      <c r="D79" s="34" t="s">
        <v>16</v>
      </c>
      <c r="E79" s="12"/>
      <c r="F79" s="12"/>
      <c r="G79" s="12"/>
      <c r="H79" s="12"/>
      <c r="I79" s="12"/>
    </row>
    <row r="80" spans="2:9" s="11" customFormat="1" ht="13.5" x14ac:dyDescent="0.25">
      <c r="B80" s="12"/>
      <c r="C80" s="12"/>
      <c r="D80" s="12"/>
      <c r="E80" s="12"/>
      <c r="F80" s="12"/>
      <c r="G80" s="12"/>
      <c r="H80" s="12"/>
      <c r="I80" s="12"/>
    </row>
    <row r="81" spans="2:9" s="11" customFormat="1" ht="13.5" x14ac:dyDescent="0.25">
      <c r="B81" s="12"/>
      <c r="C81" s="12"/>
      <c r="D81" s="12"/>
      <c r="E81" s="12"/>
      <c r="F81" s="12"/>
      <c r="G81" s="12"/>
      <c r="H81" s="12"/>
      <c r="I81" s="12"/>
    </row>
  </sheetData>
  <mergeCells count="16">
    <mergeCell ref="B3:F3"/>
    <mergeCell ref="C60:F60"/>
    <mergeCell ref="C63:F65"/>
    <mergeCell ref="D69:D70"/>
    <mergeCell ref="D68:H68"/>
    <mergeCell ref="E50:F50"/>
    <mergeCell ref="C53:F54"/>
    <mergeCell ref="C8:F9"/>
    <mergeCell ref="C12:F21"/>
    <mergeCell ref="D24:F24"/>
    <mergeCell ref="D46:F46"/>
    <mergeCell ref="C37:F37"/>
    <mergeCell ref="C40:F43"/>
    <mergeCell ref="E31:F31"/>
    <mergeCell ref="E69:F69"/>
    <mergeCell ref="G69:H69"/>
  </mergeCells>
  <hyperlinks>
    <hyperlink ref="D79" location="_st3" tooltip="Step3. Examples of Decision Tables" display="Step 3."/>
  </hyperlinks>
  <pageMargins left="0.75" right="0.75" top="1" bottom="1" header="0.5" footer="0.5"/>
  <pageSetup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127"/>
  <sheetViews>
    <sheetView topLeftCell="A10" workbookViewId="0">
      <selection activeCell="C23" sqref="C23:J26"/>
    </sheetView>
  </sheetViews>
  <sheetFormatPr defaultRowHeight="12.75" x14ac:dyDescent="0.2"/>
  <cols>
    <col min="1" max="1" width="9.85546875" customWidth="1" collapsed="1"/>
    <col min="2" max="2" width="11.42578125" customWidth="1" collapsed="1"/>
    <col min="3" max="3" width="13.85546875" customWidth="1" collapsed="1"/>
    <col min="4" max="4" width="21.85546875" customWidth="1" collapsed="1"/>
    <col min="5" max="5" width="19.42578125" customWidth="1" collapsed="1"/>
    <col min="6" max="6" width="21.28515625" customWidth="1" collapsed="1"/>
    <col min="7" max="7" width="16.140625" customWidth="1" collapsed="1"/>
    <col min="8" max="8" width="14.7109375" customWidth="1" collapsed="1"/>
    <col min="9" max="9" width="14.42578125" customWidth="1" collapsed="1"/>
    <col min="10" max="10" width="14.5703125" customWidth="1" collapsed="1"/>
  </cols>
  <sheetData>
    <row r="1" spans="1:11" x14ac:dyDescent="0.2">
      <c r="A1" s="8"/>
      <c r="B1" s="8"/>
      <c r="C1" s="8"/>
      <c r="D1" s="8"/>
      <c r="E1" s="8"/>
      <c r="F1" s="8"/>
      <c r="G1" s="8"/>
    </row>
    <row r="2" spans="1:11" x14ac:dyDescent="0.2">
      <c r="A2" s="8"/>
      <c r="B2" s="8"/>
      <c r="C2" s="8"/>
      <c r="D2" s="8"/>
      <c r="E2" s="8"/>
      <c r="F2" s="8"/>
      <c r="G2" s="8"/>
    </row>
    <row r="3" spans="1:11" ht="20.25" thickBot="1" x14ac:dyDescent="0.3">
      <c r="A3" s="8"/>
      <c r="B3" s="93" t="s">
        <v>62</v>
      </c>
      <c r="C3" s="93"/>
      <c r="D3" s="93"/>
      <c r="E3" s="93"/>
      <c r="F3" s="11"/>
      <c r="G3" s="11"/>
      <c r="H3" s="11"/>
      <c r="I3" s="11"/>
    </row>
    <row r="4" spans="1:11" ht="14.25" thickTop="1" x14ac:dyDescent="0.25">
      <c r="B4" s="11"/>
      <c r="C4" s="11"/>
      <c r="D4" s="11"/>
      <c r="E4" s="11"/>
      <c r="F4" s="11"/>
      <c r="G4" s="11"/>
      <c r="H4" s="11"/>
      <c r="I4" s="11"/>
    </row>
    <row r="5" spans="1:11" ht="13.5" x14ac:dyDescent="0.25">
      <c r="B5" s="11"/>
      <c r="C5" s="11"/>
      <c r="D5" s="11"/>
      <c r="E5" s="11"/>
      <c r="F5" s="11"/>
      <c r="G5" s="11"/>
      <c r="H5" s="11"/>
      <c r="I5" s="11"/>
    </row>
    <row r="6" spans="1:11" ht="13.5" x14ac:dyDescent="0.2">
      <c r="B6" s="12"/>
      <c r="C6" s="12"/>
      <c r="D6" s="12"/>
      <c r="E6" s="12"/>
      <c r="F6" s="12"/>
      <c r="G6" s="12"/>
      <c r="H6" s="12"/>
      <c r="I6" s="12"/>
      <c r="J6" s="12"/>
      <c r="K6" s="12"/>
    </row>
    <row r="7" spans="1:11" ht="14.25" thickBot="1" x14ac:dyDescent="0.25">
      <c r="B7" s="12"/>
      <c r="C7" s="12"/>
      <c r="D7" s="12"/>
      <c r="E7" s="12"/>
      <c r="F7" s="12"/>
      <c r="G7" s="12"/>
      <c r="H7" s="12"/>
      <c r="I7" s="12"/>
      <c r="J7" s="12"/>
      <c r="K7" s="12"/>
    </row>
    <row r="8" spans="1:11" ht="13.5" x14ac:dyDescent="0.2">
      <c r="B8" s="12"/>
      <c r="C8" s="95" t="s">
        <v>63</v>
      </c>
      <c r="D8" s="95"/>
      <c r="E8" s="95"/>
      <c r="F8" s="95"/>
      <c r="G8" s="12"/>
      <c r="H8" s="12"/>
      <c r="I8" s="12"/>
      <c r="J8" s="12"/>
      <c r="K8" s="12"/>
    </row>
    <row r="9" spans="1:11" ht="14.25" thickBot="1" x14ac:dyDescent="0.25">
      <c r="B9" s="12"/>
      <c r="C9" s="96"/>
      <c r="D9" s="96"/>
      <c r="E9" s="96"/>
      <c r="F9" s="96"/>
      <c r="G9" s="12"/>
      <c r="H9" s="12"/>
      <c r="I9" s="12"/>
      <c r="J9" s="12"/>
      <c r="K9" s="12"/>
    </row>
    <row r="10" spans="1:11" ht="13.5" x14ac:dyDescent="0.2">
      <c r="B10" s="12"/>
      <c r="C10" s="12"/>
      <c r="D10" s="12"/>
      <c r="E10" s="12"/>
      <c r="F10" s="12"/>
      <c r="G10" s="12"/>
      <c r="H10" s="12"/>
      <c r="I10" s="12"/>
      <c r="J10" s="12"/>
      <c r="K10" s="12"/>
    </row>
    <row r="11" spans="1:11" ht="13.5" x14ac:dyDescent="0.2">
      <c r="B11" s="12"/>
      <c r="C11" s="12"/>
      <c r="D11" s="12"/>
      <c r="E11" s="12"/>
      <c r="F11" s="12"/>
      <c r="G11" s="12"/>
      <c r="H11" s="12"/>
      <c r="I11" s="12"/>
      <c r="J11" s="12"/>
      <c r="K11" s="12"/>
    </row>
    <row r="12" spans="1:11" ht="13.5" x14ac:dyDescent="0.2">
      <c r="B12" s="12"/>
      <c r="C12" s="99" t="s">
        <v>64</v>
      </c>
      <c r="D12" s="99"/>
      <c r="E12" s="99"/>
      <c r="F12" s="99"/>
      <c r="G12" s="12"/>
      <c r="H12" s="12"/>
      <c r="I12" s="12"/>
      <c r="J12" s="12"/>
      <c r="K12" s="12"/>
    </row>
    <row r="13" spans="1:11" s="8" customFormat="1" ht="13.5" x14ac:dyDescent="0.2">
      <c r="B13" s="12"/>
      <c r="C13" s="100"/>
      <c r="D13" s="100"/>
      <c r="E13" s="100"/>
      <c r="F13" s="100"/>
      <c r="G13" s="12"/>
      <c r="H13" s="12"/>
      <c r="I13" s="12"/>
      <c r="J13" s="12"/>
      <c r="K13" s="12"/>
    </row>
    <row r="14" spans="1:11" ht="13.5" x14ac:dyDescent="0.2">
      <c r="B14" s="12"/>
      <c r="C14" s="101"/>
      <c r="D14" s="101"/>
      <c r="E14" s="101"/>
      <c r="F14" s="101"/>
      <c r="G14" s="12"/>
      <c r="H14" s="12"/>
      <c r="I14" s="12"/>
      <c r="J14" s="12"/>
      <c r="K14" s="12"/>
    </row>
    <row r="15" spans="1:11" ht="13.5" x14ac:dyDescent="0.2">
      <c r="B15" s="12"/>
      <c r="C15" s="12"/>
      <c r="D15" s="12"/>
      <c r="E15" s="12"/>
      <c r="F15" s="12"/>
      <c r="G15" s="12"/>
      <c r="H15" s="12"/>
      <c r="I15" s="12"/>
      <c r="J15" s="12"/>
      <c r="K15" s="12"/>
    </row>
    <row r="16" spans="1:11" s="8" customFormat="1" ht="13.5" x14ac:dyDescent="0.2">
      <c r="B16" s="12"/>
      <c r="C16" s="12"/>
      <c r="D16" s="12"/>
      <c r="E16" s="12"/>
      <c r="F16" s="12"/>
      <c r="G16" s="12"/>
      <c r="H16" s="12"/>
      <c r="I16" s="12"/>
      <c r="J16" s="12"/>
      <c r="K16" s="12"/>
    </row>
    <row r="17" spans="2:11" s="8" customFormat="1" ht="13.5" x14ac:dyDescent="0.2">
      <c r="B17" s="12"/>
      <c r="C17" s="12"/>
      <c r="D17" s="12"/>
      <c r="E17" s="12"/>
      <c r="F17" s="12"/>
      <c r="G17" s="12"/>
      <c r="H17" s="12"/>
      <c r="I17" s="12"/>
      <c r="J17" s="12"/>
      <c r="K17" s="12"/>
    </row>
    <row r="18" spans="2:11" s="8" customFormat="1" ht="13.5" x14ac:dyDescent="0.2">
      <c r="B18" s="12"/>
      <c r="C18" s="12"/>
      <c r="D18" s="12"/>
      <c r="E18" s="12"/>
      <c r="F18" s="12"/>
      <c r="G18" s="12"/>
      <c r="H18" s="12"/>
      <c r="I18" s="12"/>
      <c r="J18" s="12"/>
      <c r="K18" s="12"/>
    </row>
    <row r="19" spans="2:11" s="8" customFormat="1" ht="14.25" thickBot="1" x14ac:dyDescent="0.25">
      <c r="B19" s="12"/>
      <c r="C19" s="12"/>
      <c r="D19" s="12"/>
      <c r="E19" s="12"/>
      <c r="F19" s="12"/>
      <c r="G19" s="12"/>
      <c r="H19" s="12"/>
      <c r="I19" s="12"/>
      <c r="J19" s="12"/>
      <c r="K19" s="12"/>
    </row>
    <row r="20" spans="2:11" s="8" customFormat="1" ht="16.5" thickBot="1" x14ac:dyDescent="0.25">
      <c r="B20" s="12"/>
      <c r="C20" s="111" t="s">
        <v>65</v>
      </c>
      <c r="D20" s="111"/>
      <c r="E20" s="111"/>
      <c r="F20" s="111"/>
      <c r="G20" s="12"/>
      <c r="H20" s="12"/>
      <c r="I20" s="12"/>
      <c r="J20" s="12"/>
      <c r="K20" s="12"/>
    </row>
    <row r="21" spans="2:11" s="8" customFormat="1" ht="13.5" x14ac:dyDescent="0.2">
      <c r="B21" s="12"/>
      <c r="C21" s="66"/>
      <c r="D21" s="66"/>
      <c r="E21" s="66"/>
      <c r="F21" s="66"/>
      <c r="G21" s="12"/>
      <c r="H21" s="12"/>
      <c r="I21" s="12"/>
      <c r="J21" s="12"/>
      <c r="K21" s="12"/>
    </row>
    <row r="22" spans="2:11" ht="13.5" x14ac:dyDescent="0.2">
      <c r="B22" s="12"/>
      <c r="C22" s="12"/>
      <c r="D22" s="12"/>
      <c r="E22" s="12"/>
      <c r="F22" s="12"/>
      <c r="G22" s="12"/>
      <c r="H22" s="12"/>
      <c r="I22" s="12"/>
      <c r="J22" s="12"/>
      <c r="K22" s="12"/>
    </row>
    <row r="23" spans="2:11" ht="16.5" x14ac:dyDescent="0.2">
      <c r="B23" s="12"/>
      <c r="C23" s="94" t="s">
        <v>102</v>
      </c>
      <c r="D23" s="94"/>
      <c r="E23" s="94"/>
      <c r="F23" s="94"/>
      <c r="G23" s="94"/>
      <c r="H23" s="94"/>
      <c r="I23" s="94"/>
      <c r="J23" s="94"/>
      <c r="K23" s="12"/>
    </row>
    <row r="24" spans="2:11" ht="13.5" x14ac:dyDescent="0.2">
      <c r="B24" s="12"/>
      <c r="C24" s="13" t="s">
        <v>1</v>
      </c>
      <c r="D24" s="13" t="s">
        <v>3</v>
      </c>
      <c r="E24" s="13" t="s">
        <v>36</v>
      </c>
      <c r="F24" s="59" t="s">
        <v>5</v>
      </c>
      <c r="G24" s="36" t="s">
        <v>119</v>
      </c>
      <c r="H24" s="37">
        <v>12</v>
      </c>
      <c r="I24" s="37">
        <v>18</v>
      </c>
      <c r="J24" s="38">
        <v>22</v>
      </c>
      <c r="K24" s="12"/>
    </row>
    <row r="25" spans="2:11" ht="14.25" thickBot="1" x14ac:dyDescent="0.25">
      <c r="B25" s="12"/>
      <c r="C25" s="13" t="s">
        <v>2</v>
      </c>
      <c r="D25" s="13" t="s">
        <v>4</v>
      </c>
      <c r="E25" s="13" t="s">
        <v>37</v>
      </c>
      <c r="F25" s="60" t="s">
        <v>6</v>
      </c>
      <c r="G25" s="36">
        <v>11</v>
      </c>
      <c r="H25" s="37">
        <v>17</v>
      </c>
      <c r="I25" s="37">
        <v>21</v>
      </c>
      <c r="J25" s="38">
        <v>23</v>
      </c>
      <c r="K25" s="12"/>
    </row>
    <row r="26" spans="2:11" ht="15" thickTop="1" thickBot="1" x14ac:dyDescent="0.25">
      <c r="B26" s="12"/>
      <c r="C26" s="35" t="s">
        <v>13</v>
      </c>
      <c r="D26" s="35" t="s">
        <v>14</v>
      </c>
      <c r="E26" s="35" t="s">
        <v>11</v>
      </c>
      <c r="F26" s="68" t="s">
        <v>12</v>
      </c>
      <c r="G26" s="61" t="s">
        <v>7</v>
      </c>
      <c r="H26" s="62" t="s">
        <v>8</v>
      </c>
      <c r="I26" s="62" t="s">
        <v>9</v>
      </c>
      <c r="J26" s="63" t="s">
        <v>10</v>
      </c>
      <c r="K26" s="12"/>
    </row>
    <row r="27" spans="2:11" ht="14.25" thickTop="1" x14ac:dyDescent="0.2">
      <c r="B27" s="12"/>
      <c r="F27" s="69"/>
      <c r="G27" s="69"/>
      <c r="K27" s="12"/>
    </row>
    <row r="28" spans="2:11" s="8" customFormat="1" ht="13.5" x14ac:dyDescent="0.2">
      <c r="B28" s="12"/>
      <c r="C28" s="12"/>
      <c r="D28" s="12"/>
      <c r="E28" s="12"/>
      <c r="F28" s="67"/>
      <c r="G28" s="67"/>
      <c r="H28" s="12"/>
      <c r="I28" s="12"/>
      <c r="J28" s="12"/>
      <c r="K28" s="12"/>
    </row>
    <row r="29" spans="2:11" s="8" customFormat="1" ht="13.5" x14ac:dyDescent="0.2">
      <c r="B29" s="12"/>
      <c r="C29" s="99" t="s">
        <v>66</v>
      </c>
      <c r="D29" s="99"/>
      <c r="E29" s="99"/>
      <c r="F29" s="99"/>
      <c r="G29" s="12"/>
      <c r="H29" s="12"/>
      <c r="I29" s="12"/>
      <c r="J29" s="12"/>
      <c r="K29" s="12"/>
    </row>
    <row r="30" spans="2:11" s="8" customFormat="1" ht="13.5" x14ac:dyDescent="0.2">
      <c r="B30" s="12"/>
      <c r="C30" s="100"/>
      <c r="D30" s="100"/>
      <c r="E30" s="100"/>
      <c r="F30" s="100"/>
      <c r="G30" s="12"/>
      <c r="H30" s="12"/>
      <c r="I30" s="12"/>
      <c r="J30" s="12"/>
      <c r="K30" s="12"/>
    </row>
    <row r="31" spans="2:11" s="8" customFormat="1" ht="13.5" x14ac:dyDescent="0.2">
      <c r="B31" s="12"/>
      <c r="C31" s="100"/>
      <c r="D31" s="100"/>
      <c r="E31" s="100"/>
      <c r="F31" s="100"/>
      <c r="G31" s="12"/>
      <c r="H31" s="12"/>
      <c r="I31" s="12"/>
      <c r="J31" s="12"/>
      <c r="K31" s="12"/>
    </row>
    <row r="32" spans="2:11" s="8" customFormat="1" ht="13.5" x14ac:dyDescent="0.2">
      <c r="B32" s="12"/>
      <c r="C32" s="100"/>
      <c r="D32" s="100"/>
      <c r="E32" s="100"/>
      <c r="F32" s="100"/>
      <c r="G32" s="12"/>
      <c r="H32" s="12"/>
      <c r="I32" s="12"/>
      <c r="J32" s="12"/>
      <c r="K32" s="12"/>
    </row>
    <row r="33" spans="2:11" s="8" customFormat="1" ht="13.5" x14ac:dyDescent="0.2">
      <c r="B33" s="12"/>
      <c r="C33" s="101"/>
      <c r="D33" s="101"/>
      <c r="E33" s="101"/>
      <c r="F33" s="101"/>
      <c r="G33" s="12"/>
      <c r="H33" s="12"/>
      <c r="I33" s="12"/>
      <c r="J33" s="12"/>
      <c r="K33" s="12"/>
    </row>
    <row r="34" spans="2:11" s="8" customFormat="1" ht="13.5" x14ac:dyDescent="0.2">
      <c r="B34" s="12"/>
      <c r="C34" s="12"/>
      <c r="D34" s="12"/>
      <c r="E34" s="12"/>
      <c r="F34" s="12"/>
      <c r="G34" s="12"/>
      <c r="H34" s="12"/>
      <c r="I34" s="12"/>
      <c r="J34" s="12"/>
      <c r="K34" s="12"/>
    </row>
    <row r="35" spans="2:11" ht="13.5" x14ac:dyDescent="0.2">
      <c r="B35" s="12"/>
      <c r="C35" s="12"/>
      <c r="D35" s="12"/>
      <c r="E35" s="12"/>
      <c r="F35" s="12"/>
      <c r="G35" s="12"/>
      <c r="H35" s="12"/>
      <c r="I35" s="12"/>
      <c r="J35" s="12"/>
      <c r="K35" s="12"/>
    </row>
    <row r="36" spans="2:11" ht="13.5" x14ac:dyDescent="0.2">
      <c r="B36" s="12"/>
      <c r="C36" s="12"/>
      <c r="D36" s="12"/>
      <c r="E36" s="12"/>
      <c r="F36" s="12"/>
      <c r="G36" s="12"/>
      <c r="H36" s="12"/>
      <c r="I36" s="12"/>
      <c r="J36" s="12"/>
      <c r="K36" s="12"/>
    </row>
    <row r="37" spans="2:11" ht="13.5" x14ac:dyDescent="0.2">
      <c r="B37" s="12"/>
      <c r="C37" s="12"/>
      <c r="D37" s="12"/>
      <c r="E37" s="12"/>
      <c r="F37" s="12"/>
      <c r="G37" s="12"/>
      <c r="H37" s="12"/>
      <c r="I37" s="12"/>
      <c r="J37" s="12"/>
      <c r="K37" s="12"/>
    </row>
    <row r="38" spans="2:11" ht="14.25" thickBot="1" x14ac:dyDescent="0.25">
      <c r="B38" s="12"/>
      <c r="C38" s="12"/>
      <c r="D38" s="12"/>
      <c r="E38" s="12"/>
      <c r="F38" s="12"/>
      <c r="G38" s="12"/>
      <c r="H38" s="12"/>
      <c r="I38" s="12"/>
      <c r="J38" s="12"/>
      <c r="K38" s="12"/>
    </row>
    <row r="39" spans="2:11" s="8" customFormat="1" ht="16.5" thickBot="1" x14ac:dyDescent="0.25">
      <c r="B39" s="12"/>
      <c r="C39" s="102" t="s">
        <v>67</v>
      </c>
      <c r="D39" s="102"/>
      <c r="E39" s="102"/>
      <c r="F39" s="102"/>
      <c r="G39" s="12"/>
      <c r="H39" s="12"/>
      <c r="I39" s="12"/>
      <c r="J39" s="12"/>
      <c r="K39" s="12"/>
    </row>
    <row r="40" spans="2:11" s="8" customFormat="1" ht="13.5" x14ac:dyDescent="0.2">
      <c r="B40" s="12"/>
      <c r="C40" s="67"/>
      <c r="D40" s="67"/>
      <c r="E40" s="67"/>
      <c r="F40" s="67"/>
      <c r="G40" s="12"/>
      <c r="H40" s="12"/>
      <c r="I40" s="12"/>
      <c r="J40" s="12"/>
      <c r="K40" s="12"/>
    </row>
    <row r="41" spans="2:11" s="8" customFormat="1" ht="13.5" x14ac:dyDescent="0.2">
      <c r="B41" s="12"/>
      <c r="C41" s="12"/>
      <c r="D41" s="12"/>
      <c r="E41" s="12"/>
      <c r="F41" s="12"/>
      <c r="G41" s="12"/>
      <c r="H41" s="12"/>
      <c r="I41" s="12"/>
      <c r="J41" s="12"/>
      <c r="K41" s="12"/>
    </row>
    <row r="42" spans="2:11" s="8" customFormat="1" ht="13.5" x14ac:dyDescent="0.2">
      <c r="B42" s="12"/>
      <c r="C42" s="99" t="s">
        <v>68</v>
      </c>
      <c r="D42" s="99"/>
      <c r="E42" s="99"/>
      <c r="F42" s="99"/>
      <c r="G42" s="12"/>
      <c r="H42" s="12"/>
      <c r="I42" s="12"/>
      <c r="J42" s="12"/>
      <c r="K42" s="12"/>
    </row>
    <row r="43" spans="2:11" s="8" customFormat="1" ht="13.5" x14ac:dyDescent="0.2">
      <c r="B43" s="12"/>
      <c r="C43" s="100"/>
      <c r="D43" s="100"/>
      <c r="E43" s="100"/>
      <c r="F43" s="100"/>
      <c r="G43" s="12"/>
      <c r="H43" s="12"/>
      <c r="I43" s="12"/>
      <c r="J43" s="12"/>
      <c r="K43" s="12"/>
    </row>
    <row r="44" spans="2:11" s="8" customFormat="1" ht="13.5" x14ac:dyDescent="0.2">
      <c r="B44" s="12"/>
      <c r="C44" s="100"/>
      <c r="D44" s="100"/>
      <c r="E44" s="100"/>
      <c r="F44" s="100"/>
      <c r="G44" s="12"/>
      <c r="H44" s="12"/>
      <c r="I44" s="12"/>
      <c r="J44" s="12"/>
      <c r="K44" s="12"/>
    </row>
    <row r="45" spans="2:11" s="8" customFormat="1" ht="13.5" x14ac:dyDescent="0.2">
      <c r="B45" s="12"/>
      <c r="C45" s="100"/>
      <c r="D45" s="100"/>
      <c r="E45" s="100"/>
      <c r="F45" s="100"/>
      <c r="G45" s="12"/>
      <c r="H45" s="12"/>
      <c r="I45" s="12"/>
      <c r="J45" s="12"/>
      <c r="K45" s="12"/>
    </row>
    <row r="46" spans="2:11" s="8" customFormat="1" ht="13.5" x14ac:dyDescent="0.2">
      <c r="B46" s="12"/>
      <c r="C46" s="101"/>
      <c r="D46" s="101"/>
      <c r="E46" s="101"/>
      <c r="F46" s="101"/>
      <c r="G46" s="12"/>
      <c r="H46" s="12"/>
      <c r="I46" s="12"/>
      <c r="J46" s="12"/>
      <c r="K46" s="12"/>
    </row>
    <row r="47" spans="2:11" s="8" customFormat="1" ht="13.5" x14ac:dyDescent="0.2">
      <c r="B47" s="12"/>
      <c r="C47" s="12"/>
      <c r="D47" s="12"/>
      <c r="E47" s="12"/>
      <c r="F47" s="12"/>
      <c r="G47" s="12"/>
      <c r="H47" s="12"/>
      <c r="I47" s="12"/>
      <c r="J47" s="12"/>
      <c r="K47" s="12"/>
    </row>
    <row r="48" spans="2:11" s="8" customFormat="1" ht="13.5" x14ac:dyDescent="0.2">
      <c r="B48" s="12"/>
      <c r="C48" s="12"/>
      <c r="D48" s="12"/>
      <c r="E48" s="12"/>
      <c r="F48" s="12"/>
      <c r="G48" s="12"/>
      <c r="H48" s="12"/>
      <c r="I48" s="12"/>
      <c r="J48" s="12"/>
      <c r="K48" s="12"/>
    </row>
    <row r="49" spans="2:11" s="8" customFormat="1" ht="16.5" x14ac:dyDescent="0.2">
      <c r="B49" s="12"/>
      <c r="C49" s="12"/>
      <c r="D49" s="94" t="s">
        <v>103</v>
      </c>
      <c r="E49" s="94"/>
      <c r="F49" s="94"/>
      <c r="G49" s="12"/>
      <c r="H49" s="12"/>
      <c r="I49" s="12"/>
      <c r="J49" s="12"/>
      <c r="K49" s="12"/>
    </row>
    <row r="50" spans="2:11" s="8" customFormat="1" ht="13.5" x14ac:dyDescent="0.2">
      <c r="B50" s="12"/>
      <c r="C50" s="12"/>
      <c r="D50" s="103" t="s">
        <v>1</v>
      </c>
      <c r="E50" s="103"/>
      <c r="F50" s="13" t="s">
        <v>13</v>
      </c>
      <c r="G50" s="12"/>
      <c r="H50" s="12"/>
      <c r="I50" s="12"/>
      <c r="J50" s="12"/>
      <c r="K50" s="12"/>
    </row>
    <row r="51" spans="2:11" s="8" customFormat="1" ht="13.5" x14ac:dyDescent="0.2">
      <c r="B51" s="12"/>
      <c r="C51" s="12"/>
      <c r="D51" s="103" t="s">
        <v>69</v>
      </c>
      <c r="E51" s="103"/>
      <c r="F51" s="13" t="s">
        <v>14</v>
      </c>
      <c r="G51" s="12"/>
      <c r="H51" s="12"/>
      <c r="I51" s="12"/>
      <c r="J51" s="12"/>
      <c r="K51" s="12"/>
    </row>
    <row r="52" spans="2:11" s="8" customFormat="1" ht="13.5" x14ac:dyDescent="0.2">
      <c r="B52" s="12"/>
      <c r="C52" s="12"/>
      <c r="D52" s="13" t="s">
        <v>36</v>
      </c>
      <c r="E52" s="13" t="s">
        <v>37</v>
      </c>
      <c r="F52" s="13" t="s">
        <v>11</v>
      </c>
      <c r="G52" s="12"/>
      <c r="H52" s="12"/>
      <c r="I52" s="12"/>
      <c r="J52" s="12"/>
      <c r="K52" s="12"/>
    </row>
    <row r="53" spans="2:11" s="8" customFormat="1" ht="14.25" thickBot="1" x14ac:dyDescent="0.25">
      <c r="B53" s="12"/>
      <c r="C53" s="12"/>
      <c r="D53" s="31" t="s">
        <v>5</v>
      </c>
      <c r="E53" s="31" t="s">
        <v>6</v>
      </c>
      <c r="F53" s="45" t="s">
        <v>12</v>
      </c>
      <c r="G53" s="12"/>
      <c r="H53" s="12"/>
      <c r="I53" s="12"/>
      <c r="J53" s="12"/>
      <c r="K53" s="12"/>
    </row>
    <row r="54" spans="2:11" s="8" customFormat="1" ht="14.25" thickTop="1" x14ac:dyDescent="0.2">
      <c r="B54" s="12"/>
      <c r="C54" s="12"/>
      <c r="D54" s="16">
        <v>0</v>
      </c>
      <c r="E54" s="16">
        <v>11</v>
      </c>
      <c r="F54" s="46" t="s">
        <v>7</v>
      </c>
      <c r="G54" s="12"/>
      <c r="H54" s="12"/>
      <c r="I54" s="12"/>
      <c r="J54" s="12"/>
      <c r="K54" s="12"/>
    </row>
    <row r="55" spans="2:11" s="8" customFormat="1" ht="13.5" x14ac:dyDescent="0.2">
      <c r="B55" s="12"/>
      <c r="C55" s="12"/>
      <c r="D55" s="17">
        <v>12</v>
      </c>
      <c r="E55" s="17">
        <v>17</v>
      </c>
      <c r="F55" s="18" t="s">
        <v>8</v>
      </c>
      <c r="G55" s="12"/>
      <c r="H55" s="12"/>
      <c r="I55" s="12"/>
      <c r="J55" s="12"/>
      <c r="K55" s="12"/>
    </row>
    <row r="56" spans="2:11" s="8" customFormat="1" ht="13.5" x14ac:dyDescent="0.2">
      <c r="B56" s="12"/>
      <c r="C56" s="12"/>
      <c r="D56" s="17">
        <v>18</v>
      </c>
      <c r="E56" s="17">
        <v>21</v>
      </c>
      <c r="F56" s="18" t="s">
        <v>9</v>
      </c>
      <c r="G56" s="12"/>
      <c r="H56" s="12"/>
      <c r="I56" s="12"/>
      <c r="J56" s="12"/>
      <c r="K56" s="12"/>
    </row>
    <row r="57" spans="2:11" s="8" customFormat="1" ht="14.25" thickBot="1" x14ac:dyDescent="0.25">
      <c r="B57" s="12"/>
      <c r="C57" s="12"/>
      <c r="D57" s="19">
        <v>22</v>
      </c>
      <c r="E57" s="19">
        <v>23</v>
      </c>
      <c r="F57" s="64" t="s">
        <v>10</v>
      </c>
      <c r="G57" s="12"/>
      <c r="H57" s="12"/>
      <c r="I57" s="12"/>
      <c r="J57" s="12"/>
      <c r="K57" s="12"/>
    </row>
    <row r="58" spans="2:11" s="8" customFormat="1" ht="14.25" thickTop="1" x14ac:dyDescent="0.2">
      <c r="B58" s="12"/>
      <c r="C58" s="12"/>
      <c r="D58" s="12"/>
      <c r="E58" s="12"/>
      <c r="F58" s="12"/>
      <c r="G58" s="12"/>
      <c r="H58" s="12"/>
      <c r="I58" s="12"/>
      <c r="J58" s="12"/>
      <c r="K58" s="12"/>
    </row>
    <row r="59" spans="2:11" s="8" customFormat="1" ht="13.5" x14ac:dyDescent="0.2">
      <c r="B59" s="12"/>
      <c r="C59" s="12"/>
      <c r="D59" s="12"/>
      <c r="E59" s="12"/>
      <c r="F59" s="12"/>
      <c r="G59" s="12"/>
      <c r="H59" s="12"/>
      <c r="I59" s="12"/>
      <c r="J59" s="12"/>
      <c r="K59" s="12"/>
    </row>
    <row r="60" spans="2:11" s="8" customFormat="1" ht="13.5" x14ac:dyDescent="0.2">
      <c r="B60" s="12"/>
      <c r="C60" s="12"/>
      <c r="D60" s="12"/>
      <c r="E60" s="12"/>
      <c r="F60" s="12"/>
      <c r="G60" s="12"/>
      <c r="H60" s="12"/>
      <c r="I60" s="12"/>
      <c r="J60" s="12"/>
      <c r="K60" s="12"/>
    </row>
    <row r="61" spans="2:11" s="8" customFormat="1" ht="13.5" x14ac:dyDescent="0.2">
      <c r="B61" s="12"/>
      <c r="C61" s="12"/>
      <c r="D61" s="12"/>
      <c r="E61" s="12"/>
      <c r="F61" s="12"/>
      <c r="G61" s="12"/>
      <c r="H61" s="12"/>
      <c r="I61" s="12"/>
      <c r="J61" s="12"/>
      <c r="K61" s="12"/>
    </row>
    <row r="62" spans="2:11" s="8" customFormat="1" ht="14.25" thickBot="1" x14ac:dyDescent="0.25">
      <c r="B62" s="12"/>
      <c r="C62" s="12"/>
      <c r="D62" s="12"/>
      <c r="E62" s="12"/>
      <c r="F62" s="12"/>
      <c r="G62" s="12"/>
      <c r="H62" s="12"/>
      <c r="I62" s="12"/>
      <c r="J62" s="12"/>
      <c r="K62" s="12"/>
    </row>
    <row r="63" spans="2:11" s="8" customFormat="1" ht="16.5" thickBot="1" x14ac:dyDescent="0.25">
      <c r="B63" s="12"/>
      <c r="C63" s="102" t="s">
        <v>70</v>
      </c>
      <c r="D63" s="102"/>
      <c r="E63" s="102"/>
      <c r="F63" s="102"/>
      <c r="G63" s="12"/>
      <c r="H63" s="12"/>
      <c r="I63" s="12"/>
      <c r="J63" s="12"/>
      <c r="K63" s="12"/>
    </row>
    <row r="64" spans="2:11" s="8" customFormat="1" ht="13.5" x14ac:dyDescent="0.2">
      <c r="B64" s="12"/>
      <c r="C64" s="67"/>
      <c r="D64" s="67"/>
      <c r="E64" s="67"/>
      <c r="F64" s="67"/>
      <c r="G64" s="12"/>
      <c r="H64" s="12"/>
      <c r="I64" s="12"/>
      <c r="J64" s="12"/>
      <c r="K64" s="12"/>
    </row>
    <row r="65" spans="2:14" s="8" customFormat="1" ht="13.5" x14ac:dyDescent="0.2">
      <c r="B65" s="12"/>
      <c r="C65" s="12"/>
      <c r="D65" s="12"/>
      <c r="E65" s="12"/>
      <c r="F65" s="12"/>
      <c r="G65" s="12"/>
      <c r="H65" s="12"/>
      <c r="I65" s="12"/>
      <c r="J65" s="12"/>
      <c r="K65" s="12"/>
    </row>
    <row r="66" spans="2:14" s="8" customFormat="1" ht="13.5" x14ac:dyDescent="0.2">
      <c r="B66" s="12"/>
      <c r="C66" s="99" t="s">
        <v>101</v>
      </c>
      <c r="D66" s="99"/>
      <c r="E66" s="99"/>
      <c r="F66" s="99"/>
      <c r="G66" s="12"/>
      <c r="H66" s="12"/>
      <c r="I66" s="12"/>
      <c r="J66" s="12"/>
      <c r="K66" s="12"/>
    </row>
    <row r="67" spans="2:14" s="8" customFormat="1" ht="13.5" x14ac:dyDescent="0.2">
      <c r="B67" s="12"/>
      <c r="C67" s="100"/>
      <c r="D67" s="100"/>
      <c r="E67" s="100"/>
      <c r="F67" s="100"/>
      <c r="G67" s="12"/>
      <c r="H67" s="12"/>
      <c r="I67" s="12"/>
      <c r="J67" s="12"/>
      <c r="K67" s="12"/>
    </row>
    <row r="68" spans="2:14" s="8" customFormat="1" ht="13.5" x14ac:dyDescent="0.2">
      <c r="B68" s="12"/>
      <c r="C68" s="100"/>
      <c r="D68" s="100"/>
      <c r="E68" s="100"/>
      <c r="F68" s="100"/>
      <c r="G68" s="12"/>
      <c r="H68" s="12"/>
      <c r="I68" s="12"/>
      <c r="J68" s="12"/>
      <c r="K68" s="12"/>
    </row>
    <row r="69" spans="2:14" s="8" customFormat="1" ht="13.5" x14ac:dyDescent="0.2">
      <c r="B69" s="12"/>
      <c r="C69" s="100"/>
      <c r="D69" s="100"/>
      <c r="E69" s="100"/>
      <c r="F69" s="100"/>
      <c r="G69" s="12"/>
      <c r="H69" s="12"/>
      <c r="I69" s="12"/>
      <c r="J69" s="12"/>
      <c r="K69" s="12"/>
    </row>
    <row r="70" spans="2:14" s="8" customFormat="1" ht="13.5" x14ac:dyDescent="0.2">
      <c r="B70" s="12"/>
      <c r="C70" s="100"/>
      <c r="D70" s="100"/>
      <c r="E70" s="100"/>
      <c r="F70" s="100"/>
      <c r="G70" s="12"/>
      <c r="H70" s="12"/>
      <c r="I70" s="12"/>
      <c r="J70" s="12"/>
      <c r="K70" s="12"/>
    </row>
    <row r="71" spans="2:14" s="8" customFormat="1" ht="13.5" x14ac:dyDescent="0.2">
      <c r="B71" s="12"/>
      <c r="C71" s="100"/>
      <c r="D71" s="100"/>
      <c r="E71" s="100"/>
      <c r="F71" s="100"/>
      <c r="G71" s="12"/>
      <c r="H71" s="12"/>
      <c r="I71" s="12"/>
      <c r="J71" s="12"/>
      <c r="K71" s="12"/>
    </row>
    <row r="72" spans="2:14" s="8" customFormat="1" ht="13.5" x14ac:dyDescent="0.2">
      <c r="B72" s="12"/>
      <c r="C72" s="100"/>
      <c r="D72" s="100"/>
      <c r="E72" s="100"/>
      <c r="F72" s="100"/>
      <c r="G72" s="12"/>
      <c r="H72" s="12"/>
      <c r="I72" s="12"/>
      <c r="J72" s="12"/>
      <c r="K72" s="12"/>
    </row>
    <row r="73" spans="2:14" s="8" customFormat="1" ht="13.5" x14ac:dyDescent="0.2">
      <c r="B73" s="12"/>
      <c r="C73" s="100"/>
      <c r="D73" s="100"/>
      <c r="E73" s="100"/>
      <c r="F73" s="100"/>
      <c r="G73" s="12"/>
      <c r="H73" s="12"/>
      <c r="I73" s="12"/>
      <c r="J73" s="12"/>
      <c r="K73" s="12"/>
    </row>
    <row r="74" spans="2:14" s="8" customFormat="1" ht="13.5" x14ac:dyDescent="0.2">
      <c r="B74" s="12"/>
      <c r="C74" s="100"/>
      <c r="D74" s="100"/>
      <c r="E74" s="100"/>
      <c r="F74" s="100"/>
      <c r="G74" s="12"/>
      <c r="H74" s="12"/>
      <c r="I74" s="12"/>
      <c r="J74" s="12"/>
      <c r="K74" s="12"/>
      <c r="N74" s="41"/>
    </row>
    <row r="75" spans="2:14" s="8" customFormat="1" ht="13.5" x14ac:dyDescent="0.2">
      <c r="B75" s="12"/>
      <c r="C75" s="101"/>
      <c r="D75" s="101"/>
      <c r="E75" s="101"/>
      <c r="F75" s="101"/>
      <c r="G75" s="12"/>
      <c r="H75" s="12"/>
      <c r="I75" s="12"/>
      <c r="J75" s="12"/>
      <c r="K75" s="12"/>
    </row>
    <row r="76" spans="2:14" s="8" customFormat="1" ht="13.5" x14ac:dyDescent="0.2">
      <c r="B76" s="12"/>
      <c r="C76" s="12"/>
      <c r="D76" s="12"/>
      <c r="E76" s="12"/>
      <c r="F76" s="12"/>
      <c r="G76" s="12"/>
      <c r="H76" s="12"/>
      <c r="I76" s="12"/>
      <c r="J76" s="12"/>
      <c r="K76" s="12"/>
    </row>
    <row r="77" spans="2:14" s="8" customFormat="1" ht="13.5" x14ac:dyDescent="0.2">
      <c r="B77" s="12"/>
      <c r="C77" s="12"/>
      <c r="D77" s="12"/>
      <c r="E77" s="12"/>
      <c r="F77" s="12"/>
      <c r="G77" s="12"/>
      <c r="H77" s="12"/>
      <c r="I77" s="12"/>
      <c r="J77" s="12"/>
      <c r="K77" s="12"/>
    </row>
    <row r="78" spans="2:14" s="8" customFormat="1" ht="16.5" x14ac:dyDescent="0.2">
      <c r="B78" s="12"/>
      <c r="C78" s="12"/>
      <c r="D78" s="12"/>
      <c r="E78" s="94" t="s">
        <v>104</v>
      </c>
      <c r="F78" s="94"/>
      <c r="G78" s="12"/>
      <c r="H78" s="12"/>
      <c r="I78" s="12"/>
      <c r="J78" s="12"/>
      <c r="K78" s="12"/>
    </row>
    <row r="79" spans="2:14" s="8" customFormat="1" ht="13.5" x14ac:dyDescent="0.2">
      <c r="B79" s="12"/>
      <c r="C79" s="12"/>
      <c r="D79" s="12"/>
      <c r="E79" s="13" t="s">
        <v>1</v>
      </c>
      <c r="F79" s="13" t="s">
        <v>13</v>
      </c>
      <c r="G79" s="12"/>
      <c r="H79" s="12"/>
      <c r="I79" s="12"/>
      <c r="J79" s="12"/>
      <c r="K79" s="12"/>
    </row>
    <row r="80" spans="2:14" s="8" customFormat="1" ht="13.5" x14ac:dyDescent="0.2">
      <c r="B80" s="12"/>
      <c r="C80" s="12"/>
      <c r="D80" s="12"/>
      <c r="E80" s="13" t="s">
        <v>76</v>
      </c>
      <c r="F80" s="13" t="s">
        <v>14</v>
      </c>
      <c r="G80" s="12"/>
      <c r="H80" s="12"/>
      <c r="I80" s="12"/>
      <c r="J80" s="12"/>
      <c r="K80" s="12"/>
    </row>
    <row r="81" spans="2:11" s="8" customFormat="1" ht="13.5" x14ac:dyDescent="0.2">
      <c r="B81" s="12"/>
      <c r="C81" s="12"/>
      <c r="D81" s="12"/>
      <c r="E81" s="13" t="s">
        <v>77</v>
      </c>
      <c r="F81" s="13" t="s">
        <v>11</v>
      </c>
      <c r="G81" s="12"/>
      <c r="H81" s="12"/>
      <c r="I81" s="12"/>
      <c r="J81" s="12"/>
      <c r="K81" s="12"/>
    </row>
    <row r="82" spans="2:11" s="8" customFormat="1" ht="14.25" thickBot="1" x14ac:dyDescent="0.25">
      <c r="B82" s="12"/>
      <c r="C82" s="12"/>
      <c r="D82" s="12"/>
      <c r="E82" s="31" t="s">
        <v>75</v>
      </c>
      <c r="F82" s="45" t="s">
        <v>12</v>
      </c>
      <c r="G82" s="12"/>
      <c r="H82" s="12"/>
      <c r="I82" s="12"/>
      <c r="J82" s="12"/>
      <c r="K82" s="12"/>
    </row>
    <row r="83" spans="2:11" s="8" customFormat="1" ht="14.25" thickTop="1" x14ac:dyDescent="0.2">
      <c r="B83" s="12"/>
      <c r="C83" s="12"/>
      <c r="D83" s="12"/>
      <c r="E83" s="16" t="s">
        <v>71</v>
      </c>
      <c r="F83" s="46" t="s">
        <v>7</v>
      </c>
      <c r="G83" s="12"/>
      <c r="H83" s="12"/>
      <c r="I83" s="12"/>
      <c r="J83" s="12"/>
      <c r="K83" s="12"/>
    </row>
    <row r="84" spans="2:11" s="8" customFormat="1" ht="13.5" x14ac:dyDescent="0.2">
      <c r="B84" s="12"/>
      <c r="C84" s="12"/>
      <c r="D84" s="12"/>
      <c r="E84" s="17" t="s">
        <v>72</v>
      </c>
      <c r="F84" s="18" t="s">
        <v>8</v>
      </c>
      <c r="G84" s="12"/>
      <c r="H84" s="12"/>
      <c r="I84" s="12"/>
      <c r="J84" s="12"/>
      <c r="K84" s="12"/>
    </row>
    <row r="85" spans="2:11" s="8" customFormat="1" ht="13.5" x14ac:dyDescent="0.2">
      <c r="B85" s="12"/>
      <c r="C85" s="12"/>
      <c r="D85" s="12"/>
      <c r="E85" s="17" t="s">
        <v>73</v>
      </c>
      <c r="F85" s="18" t="s">
        <v>9</v>
      </c>
      <c r="G85" s="12"/>
      <c r="H85" s="12"/>
      <c r="I85" s="12"/>
      <c r="J85" s="12"/>
      <c r="K85" s="12"/>
    </row>
    <row r="86" spans="2:11" s="8" customFormat="1" ht="14.25" thickBot="1" x14ac:dyDescent="0.25">
      <c r="B86" s="12"/>
      <c r="C86" s="12"/>
      <c r="D86" s="12"/>
      <c r="E86" s="40" t="s">
        <v>74</v>
      </c>
      <c r="F86" s="64" t="s">
        <v>10</v>
      </c>
      <c r="G86" s="12"/>
      <c r="H86" s="12"/>
      <c r="I86" s="12"/>
      <c r="J86" s="12"/>
      <c r="K86" s="12"/>
    </row>
    <row r="87" spans="2:11" s="8" customFormat="1" ht="14.25" thickTop="1" x14ac:dyDescent="0.2">
      <c r="B87" s="12"/>
      <c r="C87" s="12"/>
      <c r="D87" s="12"/>
      <c r="E87" s="12"/>
      <c r="F87" s="12"/>
      <c r="G87" s="12"/>
      <c r="H87" s="12"/>
      <c r="I87" s="12"/>
      <c r="J87" s="12"/>
      <c r="K87" s="12"/>
    </row>
    <row r="88" spans="2:11" s="8" customFormat="1" ht="13.5" x14ac:dyDescent="0.2">
      <c r="B88" s="12"/>
      <c r="C88" s="12"/>
      <c r="D88" s="12"/>
      <c r="E88" s="12"/>
      <c r="F88" s="12"/>
      <c r="G88" s="12"/>
      <c r="H88" s="12"/>
      <c r="I88" s="12"/>
      <c r="J88" s="12"/>
      <c r="K88" s="12"/>
    </row>
    <row r="89" spans="2:11" s="8" customFormat="1" ht="13.5" x14ac:dyDescent="0.2">
      <c r="B89" s="12"/>
      <c r="C89" s="99" t="s">
        <v>78</v>
      </c>
      <c r="D89" s="99"/>
      <c r="E89" s="99"/>
      <c r="F89" s="99"/>
      <c r="G89" s="12"/>
      <c r="H89" s="12"/>
      <c r="I89" s="12"/>
      <c r="J89" s="12"/>
      <c r="K89" s="12"/>
    </row>
    <row r="90" spans="2:11" s="8" customFormat="1" ht="13.5" x14ac:dyDescent="0.2">
      <c r="B90" s="12"/>
      <c r="C90" s="100"/>
      <c r="D90" s="100"/>
      <c r="E90" s="100"/>
      <c r="F90" s="100"/>
      <c r="G90" s="12"/>
      <c r="H90" s="12"/>
      <c r="I90" s="12"/>
      <c r="J90" s="12"/>
      <c r="K90" s="12"/>
    </row>
    <row r="91" spans="2:11" s="8" customFormat="1" ht="13.5" x14ac:dyDescent="0.2">
      <c r="B91" s="12"/>
      <c r="C91" s="101"/>
      <c r="D91" s="101"/>
      <c r="E91" s="101"/>
      <c r="F91" s="101"/>
      <c r="G91" s="12"/>
      <c r="H91" s="12"/>
      <c r="I91" s="12"/>
      <c r="J91" s="12"/>
      <c r="K91" s="12"/>
    </row>
    <row r="92" spans="2:11" s="8" customFormat="1" ht="13.5" x14ac:dyDescent="0.2">
      <c r="B92" s="12"/>
      <c r="C92" s="12"/>
      <c r="D92" s="12"/>
      <c r="E92" s="12"/>
      <c r="F92" s="12"/>
      <c r="G92" s="12"/>
      <c r="H92" s="12"/>
      <c r="I92" s="12"/>
      <c r="J92" s="12"/>
      <c r="K92" s="12"/>
    </row>
    <row r="93" spans="2:11" s="8" customFormat="1" ht="13.5" x14ac:dyDescent="0.2">
      <c r="B93" s="12"/>
      <c r="C93" s="12"/>
      <c r="D93" s="12"/>
      <c r="E93" s="12"/>
      <c r="F93" s="12"/>
      <c r="G93" s="12"/>
      <c r="H93" s="12"/>
      <c r="I93" s="12"/>
      <c r="J93" s="12"/>
      <c r="K93" s="12"/>
    </row>
    <row r="94" spans="2:11" s="8" customFormat="1" ht="16.5" x14ac:dyDescent="0.2">
      <c r="B94" s="12"/>
      <c r="C94" s="12"/>
      <c r="D94" s="12"/>
      <c r="E94" s="94" t="s">
        <v>105</v>
      </c>
      <c r="F94" s="94"/>
      <c r="G94" s="12"/>
      <c r="H94" s="12"/>
      <c r="I94" s="12"/>
      <c r="J94" s="12"/>
      <c r="K94" s="12"/>
    </row>
    <row r="95" spans="2:11" s="8" customFormat="1" ht="14.25" thickBot="1" x14ac:dyDescent="0.25">
      <c r="B95" s="12"/>
      <c r="C95" s="12"/>
      <c r="D95" s="12"/>
      <c r="E95" s="31" t="s">
        <v>75</v>
      </c>
      <c r="F95" s="45" t="s">
        <v>12</v>
      </c>
      <c r="G95" s="12"/>
      <c r="H95" s="12"/>
      <c r="I95" s="12"/>
      <c r="J95" s="12"/>
      <c r="K95" s="12"/>
    </row>
    <row r="96" spans="2:11" s="8" customFormat="1" ht="14.25" thickTop="1" x14ac:dyDescent="0.2">
      <c r="B96" s="12"/>
      <c r="C96" s="12"/>
      <c r="D96" s="12"/>
      <c r="E96" s="16" t="s">
        <v>71</v>
      </c>
      <c r="F96" s="46" t="s">
        <v>79</v>
      </c>
      <c r="G96" s="12"/>
      <c r="H96" s="12"/>
      <c r="I96" s="12"/>
      <c r="J96" s="12"/>
      <c r="K96" s="12"/>
    </row>
    <row r="97" spans="2:11" s="8" customFormat="1" ht="13.5" x14ac:dyDescent="0.2">
      <c r="B97" s="12"/>
      <c r="C97" s="12"/>
      <c r="D97" s="12"/>
      <c r="E97" s="17" t="s">
        <v>118</v>
      </c>
      <c r="F97" s="18" t="s">
        <v>80</v>
      </c>
      <c r="G97" s="12"/>
      <c r="H97" s="12"/>
      <c r="I97" s="12"/>
      <c r="J97" s="12"/>
      <c r="K97" s="12"/>
    </row>
    <row r="98" spans="2:11" s="8" customFormat="1" ht="13.5" x14ac:dyDescent="0.2">
      <c r="B98" s="12"/>
      <c r="C98" s="12"/>
      <c r="D98" s="12"/>
      <c r="E98" s="17" t="s">
        <v>73</v>
      </c>
      <c r="F98" s="18" t="s">
        <v>81</v>
      </c>
      <c r="G98" s="12"/>
      <c r="H98" s="12"/>
      <c r="I98" s="12"/>
      <c r="J98" s="12"/>
      <c r="K98" s="12"/>
    </row>
    <row r="99" spans="2:11" s="8" customFormat="1" ht="14.25" thickBot="1" x14ac:dyDescent="0.25">
      <c r="B99" s="12"/>
      <c r="C99" s="12"/>
      <c r="D99" s="12"/>
      <c r="E99" s="40" t="s">
        <v>74</v>
      </c>
      <c r="F99" s="64" t="s">
        <v>82</v>
      </c>
      <c r="G99" s="12"/>
      <c r="H99" s="12"/>
      <c r="I99" s="12"/>
      <c r="J99" s="12"/>
      <c r="K99" s="12"/>
    </row>
    <row r="100" spans="2:11" s="8" customFormat="1" ht="14.25" thickTop="1" x14ac:dyDescent="0.2">
      <c r="B100" s="12"/>
      <c r="C100" s="12"/>
      <c r="D100" s="12"/>
      <c r="E100" s="12"/>
      <c r="F100" s="12"/>
      <c r="G100" s="12"/>
      <c r="H100" s="12"/>
      <c r="I100" s="12"/>
      <c r="J100" s="12"/>
      <c r="K100" s="12"/>
    </row>
    <row r="101" spans="2:11" s="8" customFormat="1" ht="13.5" x14ac:dyDescent="0.2">
      <c r="B101" s="12"/>
      <c r="C101" s="12"/>
      <c r="D101" s="12"/>
      <c r="E101" s="12"/>
      <c r="F101" s="12"/>
      <c r="G101" s="12"/>
      <c r="H101" s="12"/>
      <c r="I101" s="12"/>
      <c r="J101" s="12"/>
      <c r="K101" s="12"/>
    </row>
    <row r="102" spans="2:11" s="8" customFormat="1" ht="13.5" x14ac:dyDescent="0.2">
      <c r="B102" s="12"/>
      <c r="C102" s="12"/>
      <c r="D102" s="12"/>
      <c r="E102" s="12"/>
      <c r="F102" s="12"/>
      <c r="G102" s="12"/>
      <c r="H102" s="12"/>
      <c r="I102" s="12"/>
      <c r="J102" s="12"/>
      <c r="K102" s="12"/>
    </row>
    <row r="103" spans="2:11" s="8" customFormat="1" ht="13.5" x14ac:dyDescent="0.2">
      <c r="B103" s="12"/>
      <c r="C103" s="12"/>
      <c r="D103" s="12"/>
      <c r="E103" s="12"/>
      <c r="F103" s="12"/>
      <c r="G103" s="12"/>
      <c r="H103" s="12"/>
      <c r="I103" s="12"/>
      <c r="J103" s="12"/>
      <c r="K103" s="12"/>
    </row>
    <row r="104" spans="2:11" s="8" customFormat="1" ht="14.25" thickBot="1" x14ac:dyDescent="0.25">
      <c r="B104" s="12"/>
      <c r="C104" s="12"/>
      <c r="D104" s="12"/>
      <c r="E104" s="12"/>
      <c r="F104" s="12"/>
      <c r="G104" s="12"/>
      <c r="H104" s="12"/>
      <c r="I104" s="12"/>
      <c r="J104" s="12"/>
      <c r="K104" s="12"/>
    </row>
    <row r="105" spans="2:11" s="8" customFormat="1" ht="16.5" thickBot="1" x14ac:dyDescent="0.25">
      <c r="B105" s="12"/>
      <c r="C105" s="111" t="s">
        <v>83</v>
      </c>
      <c r="D105" s="111"/>
      <c r="E105" s="111"/>
      <c r="F105" s="111"/>
      <c r="G105" s="12"/>
      <c r="H105" s="12"/>
      <c r="I105" s="12"/>
      <c r="J105" s="12"/>
      <c r="K105" s="12"/>
    </row>
    <row r="106" spans="2:11" s="8" customFormat="1" ht="13.5" x14ac:dyDescent="0.2">
      <c r="B106" s="12"/>
      <c r="C106" s="66"/>
      <c r="D106" s="66"/>
      <c r="E106" s="66"/>
      <c r="F106" s="66"/>
      <c r="G106" s="12"/>
      <c r="H106" s="12"/>
      <c r="I106" s="12"/>
      <c r="J106" s="12"/>
      <c r="K106" s="12"/>
    </row>
    <row r="107" spans="2:11" s="8" customFormat="1" ht="13.5" x14ac:dyDescent="0.2">
      <c r="B107" s="12"/>
      <c r="C107" s="12"/>
      <c r="D107" s="12"/>
      <c r="E107" s="12"/>
      <c r="F107" s="12"/>
      <c r="G107" s="12"/>
      <c r="H107" s="42"/>
      <c r="I107" s="12"/>
      <c r="J107" s="12"/>
      <c r="K107" s="12"/>
    </row>
    <row r="108" spans="2:11" s="8" customFormat="1" ht="16.5" x14ac:dyDescent="0.2">
      <c r="B108" s="12"/>
      <c r="C108" s="12"/>
      <c r="D108" s="12"/>
      <c r="E108" s="94" t="s">
        <v>113</v>
      </c>
      <c r="F108" s="94"/>
      <c r="G108" s="12"/>
      <c r="H108" s="42"/>
      <c r="I108" s="12"/>
      <c r="J108" s="12"/>
      <c r="K108" s="12"/>
    </row>
    <row r="109" spans="2:11" s="8" customFormat="1" ht="13.5" x14ac:dyDescent="0.2">
      <c r="B109" s="12"/>
      <c r="C109" s="12"/>
      <c r="D109" s="12"/>
      <c r="E109" s="13" t="s">
        <v>1</v>
      </c>
      <c r="F109" s="13" t="s">
        <v>85</v>
      </c>
      <c r="G109" s="12"/>
      <c r="H109" s="12"/>
      <c r="I109" s="12"/>
      <c r="J109" s="12"/>
      <c r="K109" s="12"/>
    </row>
    <row r="110" spans="2:11" s="8" customFormat="1" ht="27" x14ac:dyDescent="0.2">
      <c r="B110" s="12"/>
      <c r="C110" s="12"/>
      <c r="D110" s="12"/>
      <c r="E110" s="13" t="s">
        <v>76</v>
      </c>
      <c r="F110" s="14" t="s">
        <v>86</v>
      </c>
      <c r="G110" s="12"/>
      <c r="H110" s="12"/>
      <c r="I110" s="12"/>
      <c r="J110" s="12"/>
      <c r="K110" s="12"/>
    </row>
    <row r="111" spans="2:11" s="8" customFormat="1" ht="13.5" x14ac:dyDescent="0.2">
      <c r="B111" s="12"/>
      <c r="C111" s="12"/>
      <c r="D111" s="12"/>
      <c r="E111" s="13" t="s">
        <v>77</v>
      </c>
      <c r="F111" s="13" t="s">
        <v>11</v>
      </c>
      <c r="G111" s="12"/>
      <c r="H111" s="12"/>
      <c r="I111" s="12"/>
      <c r="J111" s="12"/>
      <c r="K111" s="12"/>
    </row>
    <row r="112" spans="2:11" s="8" customFormat="1" ht="14.25" thickBot="1" x14ac:dyDescent="0.25">
      <c r="B112" s="12"/>
      <c r="C112" s="12"/>
      <c r="D112" s="12"/>
      <c r="E112" s="31" t="s">
        <v>75</v>
      </c>
      <c r="F112" s="45" t="s">
        <v>12</v>
      </c>
      <c r="G112" s="12"/>
      <c r="H112" s="12"/>
      <c r="I112" s="12"/>
      <c r="J112" s="12"/>
      <c r="K112" s="12"/>
    </row>
    <row r="113" spans="2:11" s="8" customFormat="1" ht="14.25" thickTop="1" x14ac:dyDescent="0.2">
      <c r="B113" s="12"/>
      <c r="C113" s="12"/>
      <c r="D113" s="12"/>
      <c r="E113" s="16" t="s">
        <v>71</v>
      </c>
      <c r="F113" s="46" t="s">
        <v>7</v>
      </c>
      <c r="G113" s="12"/>
      <c r="H113" s="12"/>
      <c r="I113" s="12"/>
      <c r="J113" s="12"/>
      <c r="K113" s="12"/>
    </row>
    <row r="114" spans="2:11" s="8" customFormat="1" ht="13.5" x14ac:dyDescent="0.2">
      <c r="B114" s="12"/>
      <c r="C114" s="12"/>
      <c r="D114" s="12"/>
      <c r="E114" s="17" t="s">
        <v>72</v>
      </c>
      <c r="F114" s="18" t="s">
        <v>8</v>
      </c>
      <c r="G114" s="12"/>
      <c r="H114" s="12"/>
      <c r="I114" s="12"/>
      <c r="J114" s="12"/>
      <c r="K114" s="12"/>
    </row>
    <row r="115" spans="2:11" s="8" customFormat="1" ht="13.5" x14ac:dyDescent="0.2">
      <c r="B115" s="12"/>
      <c r="C115" s="12"/>
      <c r="D115" s="12"/>
      <c r="E115" s="17" t="s">
        <v>73</v>
      </c>
      <c r="F115" s="18" t="s">
        <v>9</v>
      </c>
      <c r="G115" s="12"/>
      <c r="H115" s="12"/>
      <c r="I115" s="12"/>
      <c r="J115" s="12"/>
      <c r="K115" s="12"/>
    </row>
    <row r="116" spans="2:11" s="8" customFormat="1" ht="14.25" thickBot="1" x14ac:dyDescent="0.25">
      <c r="B116" s="12"/>
      <c r="C116" s="12"/>
      <c r="D116" s="12"/>
      <c r="E116" s="40" t="s">
        <v>74</v>
      </c>
      <c r="F116" s="64" t="s">
        <v>10</v>
      </c>
      <c r="G116" s="12"/>
      <c r="H116" s="12"/>
      <c r="I116" s="12"/>
      <c r="J116" s="12"/>
      <c r="K116" s="12"/>
    </row>
    <row r="117" spans="2:11" s="8" customFormat="1" ht="14.25" thickTop="1" x14ac:dyDescent="0.2">
      <c r="B117" s="12"/>
      <c r="C117" s="12"/>
      <c r="D117" s="12"/>
      <c r="E117" s="12"/>
      <c r="F117" s="12"/>
      <c r="G117" s="12"/>
      <c r="H117" s="12"/>
      <c r="I117" s="12"/>
      <c r="J117" s="12"/>
      <c r="K117" s="12"/>
    </row>
    <row r="118" spans="2:11" s="8" customFormat="1" ht="13.5" x14ac:dyDescent="0.2">
      <c r="B118" s="12"/>
      <c r="C118" s="12"/>
      <c r="D118" s="12"/>
      <c r="E118" s="12"/>
      <c r="F118" s="12"/>
      <c r="G118" s="12"/>
      <c r="H118" s="12"/>
      <c r="I118" s="12"/>
      <c r="J118" s="12"/>
      <c r="K118" s="12"/>
    </row>
    <row r="119" spans="2:11" s="8" customFormat="1" ht="13.5" x14ac:dyDescent="0.2">
      <c r="B119" s="12"/>
      <c r="C119" s="112" t="s">
        <v>87</v>
      </c>
      <c r="D119" s="112"/>
      <c r="E119" s="112"/>
      <c r="F119" s="112"/>
      <c r="G119" s="12"/>
      <c r="H119" s="12"/>
      <c r="I119" s="12"/>
      <c r="J119" s="12"/>
      <c r="K119" s="12"/>
    </row>
    <row r="120" spans="2:11" s="8" customFormat="1" ht="13.5" x14ac:dyDescent="0.2">
      <c r="B120" s="12"/>
      <c r="C120" s="113"/>
      <c r="D120" s="113"/>
      <c r="E120" s="113"/>
      <c r="F120" s="113"/>
      <c r="G120" s="12"/>
      <c r="H120" s="12"/>
      <c r="I120" s="12"/>
      <c r="J120" s="12"/>
      <c r="K120" s="12"/>
    </row>
    <row r="121" spans="2:11" s="8" customFormat="1" ht="13.5" x14ac:dyDescent="0.2">
      <c r="B121" s="12"/>
      <c r="C121" s="12"/>
      <c r="D121" s="12"/>
      <c r="E121" s="12"/>
      <c r="F121" s="12"/>
      <c r="G121" s="12"/>
      <c r="H121" s="12"/>
      <c r="I121" s="12"/>
      <c r="J121" s="12"/>
      <c r="K121" s="12"/>
    </row>
    <row r="122" spans="2:11" s="8" customFormat="1" ht="13.5" x14ac:dyDescent="0.2">
      <c r="B122" s="12"/>
      <c r="C122" s="12"/>
      <c r="D122" s="12"/>
      <c r="E122" s="12"/>
      <c r="F122" s="12"/>
      <c r="G122" s="12"/>
      <c r="H122" s="12"/>
      <c r="I122" s="12"/>
      <c r="J122" s="12"/>
      <c r="K122" s="12"/>
    </row>
    <row r="123" spans="2:11" s="8" customFormat="1" ht="13.5" x14ac:dyDescent="0.2">
      <c r="B123" s="12"/>
      <c r="C123" s="112" t="s">
        <v>106</v>
      </c>
      <c r="D123" s="112"/>
      <c r="E123" s="112"/>
      <c r="F123" s="112"/>
      <c r="G123" s="12"/>
      <c r="H123" s="12"/>
      <c r="I123" s="12"/>
      <c r="J123" s="12"/>
      <c r="K123" s="12"/>
    </row>
    <row r="124" spans="2:11" s="8" customFormat="1" ht="13.5" x14ac:dyDescent="0.2">
      <c r="B124" s="12"/>
      <c r="C124" s="113"/>
      <c r="D124" s="113"/>
      <c r="E124" s="113"/>
      <c r="F124" s="113"/>
      <c r="G124" s="12"/>
      <c r="H124" s="12"/>
      <c r="I124" s="12"/>
      <c r="J124" s="12"/>
      <c r="K124" s="12"/>
    </row>
    <row r="125" spans="2:11" s="8" customFormat="1" ht="13.5" x14ac:dyDescent="0.2">
      <c r="B125" s="12"/>
      <c r="C125" s="12"/>
      <c r="D125" s="12"/>
      <c r="E125" s="12"/>
      <c r="F125" s="12"/>
      <c r="G125" s="12"/>
      <c r="H125" s="12"/>
      <c r="I125" s="12"/>
      <c r="J125" s="12"/>
      <c r="K125" s="12"/>
    </row>
    <row r="126" spans="2:11" s="8" customFormat="1" ht="13.5" x14ac:dyDescent="0.2">
      <c r="B126" s="12"/>
      <c r="C126" s="12"/>
      <c r="D126" s="12"/>
      <c r="E126" s="12"/>
      <c r="F126" s="12"/>
      <c r="G126" s="12"/>
      <c r="H126" s="12"/>
      <c r="I126" s="12"/>
      <c r="J126" s="12"/>
      <c r="K126" s="12"/>
    </row>
    <row r="127" spans="2:11" s="8" customFormat="1" ht="13.5" x14ac:dyDescent="0.2">
      <c r="B127" s="12"/>
      <c r="C127" s="12"/>
      <c r="D127" s="12"/>
      <c r="E127" s="12"/>
      <c r="F127" s="12"/>
      <c r="G127" s="12"/>
      <c r="H127" s="12"/>
      <c r="I127" s="12"/>
      <c r="J127" s="12"/>
      <c r="K127" s="12"/>
    </row>
  </sheetData>
  <mergeCells count="20">
    <mergeCell ref="E108:F108"/>
    <mergeCell ref="C119:F120"/>
    <mergeCell ref="C123:F124"/>
    <mergeCell ref="E78:F78"/>
    <mergeCell ref="C89:F91"/>
    <mergeCell ref="E94:F94"/>
    <mergeCell ref="C105:F105"/>
    <mergeCell ref="D51:E51"/>
    <mergeCell ref="C63:F63"/>
    <mergeCell ref="C66:F75"/>
    <mergeCell ref="C20:F20"/>
    <mergeCell ref="C23:J23"/>
    <mergeCell ref="C29:F33"/>
    <mergeCell ref="C39:F39"/>
    <mergeCell ref="C42:F46"/>
    <mergeCell ref="B3:E3"/>
    <mergeCell ref="C8:F9"/>
    <mergeCell ref="C12:F14"/>
    <mergeCell ref="D49:F49"/>
    <mergeCell ref="D50:E50"/>
  </mergeCells>
  <phoneticPr fontId="0" type="noConversion"/>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K24"/>
  <sheetViews>
    <sheetView topLeftCell="A10" workbookViewId="0">
      <selection activeCell="F28" sqref="F28"/>
    </sheetView>
  </sheetViews>
  <sheetFormatPr defaultRowHeight="12.75" x14ac:dyDescent="0.2"/>
  <cols>
    <col min="3" max="3" width="22.85546875" customWidth="1"/>
    <col min="4" max="4" width="29.85546875" customWidth="1"/>
    <col min="5" max="5" width="15.42578125" customWidth="1"/>
    <col min="6" max="6" width="14.140625" customWidth="1"/>
    <col min="7" max="7" width="26.7109375" customWidth="1"/>
    <col min="8" max="8" width="24.85546875" customWidth="1"/>
  </cols>
  <sheetData>
    <row r="7" spans="3:11" x14ac:dyDescent="0.2">
      <c r="C7" s="73" t="s">
        <v>139</v>
      </c>
    </row>
    <row r="8" spans="3:11" x14ac:dyDescent="0.2">
      <c r="C8" s="70" t="s">
        <v>121</v>
      </c>
      <c r="D8" s="70" t="s">
        <v>38</v>
      </c>
      <c r="E8" s="70" t="s">
        <v>122</v>
      </c>
      <c r="F8" s="70" t="s">
        <v>136</v>
      </c>
      <c r="G8" s="70" t="s">
        <v>143</v>
      </c>
      <c r="H8" s="70" t="s">
        <v>144</v>
      </c>
    </row>
    <row r="9" spans="3:11" x14ac:dyDescent="0.2">
      <c r="C9" s="114" t="s">
        <v>137</v>
      </c>
      <c r="D9" s="114"/>
      <c r="E9" s="114"/>
      <c r="F9" s="114"/>
    </row>
    <row r="10" spans="3:11" x14ac:dyDescent="0.2">
      <c r="C10" t="s">
        <v>126</v>
      </c>
      <c r="D10" s="75" t="s">
        <v>124</v>
      </c>
      <c r="E10" s="75" t="s">
        <v>123</v>
      </c>
      <c r="F10">
        <f>1-0.9</f>
        <v>9.9999999999999978E-2</v>
      </c>
      <c r="G10" s="75" t="s">
        <v>123</v>
      </c>
      <c r="H10" s="75" t="s">
        <v>123</v>
      </c>
    </row>
    <row r="11" spans="3:11" x14ac:dyDescent="0.2">
      <c r="C11" t="s">
        <v>127</v>
      </c>
      <c r="D11" s="72" t="s">
        <v>130</v>
      </c>
      <c r="E11" s="75" t="s">
        <v>131</v>
      </c>
      <c r="F11">
        <f>1042.35</f>
        <v>1042.3499999999999</v>
      </c>
      <c r="G11" s="75" t="s">
        <v>125</v>
      </c>
      <c r="H11" s="75" t="s">
        <v>142</v>
      </c>
      <c r="J11" s="73"/>
    </row>
    <row r="12" spans="3:11" x14ac:dyDescent="0.2">
      <c r="C12" t="s">
        <v>128</v>
      </c>
      <c r="D12" s="72" t="s">
        <v>132</v>
      </c>
      <c r="E12" s="72" t="s">
        <v>133</v>
      </c>
      <c r="F12" s="72">
        <f>F11*F10</f>
        <v>104.23499999999997</v>
      </c>
      <c r="G12" s="72" t="s">
        <v>133</v>
      </c>
      <c r="H12" s="72" t="s">
        <v>133</v>
      </c>
      <c r="J12" s="73"/>
      <c r="K12" s="73"/>
    </row>
    <row r="13" spans="3:11" x14ac:dyDescent="0.2">
      <c r="C13" t="s">
        <v>129</v>
      </c>
      <c r="D13" s="72" t="s">
        <v>134</v>
      </c>
      <c r="E13" s="77" t="s">
        <v>135</v>
      </c>
      <c r="F13" s="76">
        <f>ROUND(F12,2)</f>
        <v>104.24</v>
      </c>
      <c r="G13" s="76" t="s">
        <v>135</v>
      </c>
      <c r="H13" s="76" t="s">
        <v>135</v>
      </c>
      <c r="K13" s="73"/>
    </row>
    <row r="14" spans="3:11" x14ac:dyDescent="0.2">
      <c r="C14" s="114" t="s">
        <v>145</v>
      </c>
      <c r="D14" s="114"/>
      <c r="E14" s="114"/>
      <c r="F14" s="114"/>
    </row>
    <row r="15" spans="3:11" ht="76.5" x14ac:dyDescent="0.2">
      <c r="C15" s="73" t="s">
        <v>149</v>
      </c>
      <c r="D15" s="78" t="s">
        <v>153</v>
      </c>
      <c r="E15" s="75" t="s">
        <v>148</v>
      </c>
      <c r="F15" s="74">
        <f xml:space="preserve"> 10 * (1.06 * 0.95) * 1.5</f>
        <v>15.104999999999997</v>
      </c>
      <c r="G15" s="75" t="s">
        <v>147</v>
      </c>
      <c r="H15" s="75"/>
    </row>
    <row r="16" spans="3:11" ht="38.25" x14ac:dyDescent="0.2">
      <c r="C16" s="73" t="s">
        <v>146</v>
      </c>
      <c r="D16" s="78" t="s">
        <v>150</v>
      </c>
      <c r="E16" s="79" t="s">
        <v>152</v>
      </c>
      <c r="F16">
        <f>ROUND(F15,2)</f>
        <v>15.11</v>
      </c>
      <c r="G16" s="78" t="s">
        <v>152</v>
      </c>
    </row>
    <row r="21" spans="3:6" x14ac:dyDescent="0.2">
      <c r="C21" s="73" t="s">
        <v>138</v>
      </c>
    </row>
    <row r="22" spans="3:6" x14ac:dyDescent="0.2">
      <c r="C22" s="73" t="s">
        <v>140</v>
      </c>
      <c r="D22" s="73" t="s">
        <v>141</v>
      </c>
      <c r="E22" s="73" t="s">
        <v>151</v>
      </c>
      <c r="F22" s="73"/>
    </row>
    <row r="23" spans="3:6" x14ac:dyDescent="0.2">
      <c r="C23" s="70" t="s">
        <v>140</v>
      </c>
      <c r="D23" s="70" t="s">
        <v>129</v>
      </c>
      <c r="E23" s="70" t="s">
        <v>146</v>
      </c>
      <c r="F23" s="70"/>
    </row>
    <row r="24" spans="3:6" x14ac:dyDescent="0.2">
      <c r="C24">
        <v>1</v>
      </c>
      <c r="D24">
        <v>104.24</v>
      </c>
      <c r="E24">
        <v>15.11</v>
      </c>
    </row>
  </sheetData>
  <mergeCells count="2">
    <mergeCell ref="C9:F9"/>
    <mergeCell ref="C14:F1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H25"/>
  <sheetViews>
    <sheetView topLeftCell="A4" workbookViewId="0">
      <selection activeCell="B24" sqref="B24"/>
    </sheetView>
  </sheetViews>
  <sheetFormatPr defaultRowHeight="12.75" x14ac:dyDescent="0.2"/>
  <cols>
    <col min="2" max="2" width="20.5703125" customWidth="1"/>
    <col min="3" max="3" width="33.5703125" customWidth="1"/>
  </cols>
  <sheetData>
    <row r="4" spans="2:8" x14ac:dyDescent="0.2">
      <c r="B4" s="73" t="s">
        <v>159</v>
      </c>
    </row>
    <row r="5" spans="2:8" x14ac:dyDescent="0.2">
      <c r="B5" t="s">
        <v>41</v>
      </c>
      <c r="C5" t="s">
        <v>155</v>
      </c>
    </row>
    <row r="6" spans="2:8" x14ac:dyDescent="0.2">
      <c r="B6" t="s">
        <v>41</v>
      </c>
      <c r="C6" t="s">
        <v>154</v>
      </c>
    </row>
    <row r="7" spans="2:8" x14ac:dyDescent="0.2">
      <c r="B7" t="s">
        <v>41</v>
      </c>
      <c r="C7" t="s">
        <v>156</v>
      </c>
    </row>
    <row r="8" spans="2:8" x14ac:dyDescent="0.2">
      <c r="B8" t="s">
        <v>158</v>
      </c>
      <c r="C8" t="s">
        <v>157</v>
      </c>
    </row>
    <row r="9" spans="2:8" x14ac:dyDescent="0.2">
      <c r="B9" s="73" t="s">
        <v>41</v>
      </c>
      <c r="C9" s="73" t="s">
        <v>175</v>
      </c>
    </row>
    <row r="12" spans="2:8" x14ac:dyDescent="0.2">
      <c r="B12" s="82" t="s">
        <v>179</v>
      </c>
      <c r="C12" s="82"/>
      <c r="D12" s="82"/>
      <c r="E12" s="82"/>
      <c r="F12" s="82"/>
      <c r="G12" s="82"/>
    </row>
    <row r="13" spans="2:8" x14ac:dyDescent="0.2">
      <c r="B13" s="70" t="s">
        <v>155</v>
      </c>
      <c r="C13" s="70" t="s">
        <v>154</v>
      </c>
      <c r="D13" s="70" t="s">
        <v>160</v>
      </c>
      <c r="E13" s="115" t="s">
        <v>161</v>
      </c>
      <c r="F13" s="115"/>
      <c r="G13" s="115"/>
      <c r="H13" s="70" t="s">
        <v>173</v>
      </c>
    </row>
    <row r="14" spans="2:8" x14ac:dyDescent="0.2">
      <c r="B14">
        <v>1</v>
      </c>
      <c r="C14" s="73" t="s">
        <v>162</v>
      </c>
      <c r="D14" s="73" t="s">
        <v>165</v>
      </c>
      <c r="E14" s="73" t="s">
        <v>168</v>
      </c>
      <c r="F14" s="73" t="s">
        <v>171</v>
      </c>
      <c r="H14" s="73" t="s">
        <v>174</v>
      </c>
    </row>
    <row r="15" spans="2:8" x14ac:dyDescent="0.2">
      <c r="B15">
        <v>2</v>
      </c>
      <c r="C15" s="73" t="s">
        <v>163</v>
      </c>
      <c r="D15" s="73" t="s">
        <v>166</v>
      </c>
      <c r="E15" s="73" t="s">
        <v>169</v>
      </c>
      <c r="H15" s="73" t="s">
        <v>174</v>
      </c>
    </row>
    <row r="16" spans="2:8" x14ac:dyDescent="0.2">
      <c r="B16">
        <v>3</v>
      </c>
      <c r="C16" s="73" t="s">
        <v>164</v>
      </c>
      <c r="D16" s="73" t="s">
        <v>167</v>
      </c>
      <c r="E16" s="73" t="s">
        <v>170</v>
      </c>
      <c r="H16" s="73" t="s">
        <v>174</v>
      </c>
    </row>
    <row r="21" spans="2:3" ht="13.5" x14ac:dyDescent="0.2">
      <c r="B21" s="116" t="s">
        <v>181</v>
      </c>
      <c r="C21" s="116"/>
    </row>
    <row r="22" spans="2:3" ht="13.5" x14ac:dyDescent="0.2">
      <c r="B22" s="83" t="s">
        <v>172</v>
      </c>
      <c r="C22" s="83" t="s">
        <v>176</v>
      </c>
    </row>
    <row r="23" spans="2:3" ht="13.5" x14ac:dyDescent="0.2">
      <c r="B23" s="84" t="s">
        <v>174</v>
      </c>
      <c r="C23" s="117" t="s">
        <v>180</v>
      </c>
    </row>
    <row r="24" spans="2:3" ht="13.5" x14ac:dyDescent="0.2">
      <c r="B24" s="84" t="s">
        <v>177</v>
      </c>
      <c r="C24" s="118"/>
    </row>
    <row r="25" spans="2:3" ht="13.5" x14ac:dyDescent="0.2">
      <c r="B25" s="84" t="s">
        <v>178</v>
      </c>
      <c r="C25" s="118"/>
    </row>
  </sheetData>
  <mergeCells count="3">
    <mergeCell ref="E13:G13"/>
    <mergeCell ref="B21:C21"/>
    <mergeCell ref="C23:C2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N84"/>
  <sheetViews>
    <sheetView tabSelected="1" topLeftCell="A4" workbookViewId="0">
      <selection activeCell="H24" sqref="H24"/>
    </sheetView>
  </sheetViews>
  <sheetFormatPr defaultRowHeight="12.75" x14ac:dyDescent="0.2"/>
  <cols>
    <col min="4" max="4" width="21" customWidth="1"/>
    <col min="5" max="5" width="40.5703125" customWidth="1"/>
    <col min="10" max="10" width="17.7109375" customWidth="1"/>
    <col min="11" max="11" width="9.140625" customWidth="1"/>
    <col min="12" max="12" width="8.140625" customWidth="1"/>
  </cols>
  <sheetData>
    <row r="4" spans="2:14" ht="13.5" x14ac:dyDescent="0.2">
      <c r="B4" s="12"/>
      <c r="C4" s="12"/>
      <c r="D4" s="12"/>
      <c r="E4" s="12"/>
      <c r="F4" s="12"/>
      <c r="H4" s="12"/>
      <c r="I4" s="12"/>
      <c r="J4" s="12"/>
      <c r="K4" s="67"/>
      <c r="L4" s="67"/>
      <c r="M4" s="12"/>
      <c r="N4" s="12"/>
    </row>
    <row r="5" spans="2:14" ht="16.5" x14ac:dyDescent="0.2">
      <c r="B5" s="12"/>
      <c r="C5" s="12"/>
      <c r="D5" s="12"/>
      <c r="E5" s="12"/>
      <c r="F5" s="12"/>
      <c r="H5" s="12"/>
      <c r="I5" s="12"/>
      <c r="J5" s="94" t="s">
        <v>194</v>
      </c>
      <c r="K5" s="94"/>
      <c r="L5" s="94"/>
      <c r="M5" s="94"/>
      <c r="N5" s="12"/>
    </row>
    <row r="6" spans="2:14" ht="16.5" x14ac:dyDescent="0.2">
      <c r="B6" s="12"/>
      <c r="C6" s="12"/>
      <c r="D6" s="94" t="s">
        <v>182</v>
      </c>
      <c r="E6" s="94"/>
      <c r="F6" s="12"/>
      <c r="H6" s="12"/>
      <c r="I6" s="12"/>
      <c r="J6" s="146" t="s">
        <v>197</v>
      </c>
      <c r="K6" s="146" t="s">
        <v>140</v>
      </c>
      <c r="L6" s="146" t="s">
        <v>198</v>
      </c>
      <c r="M6" s="147" t="s">
        <v>199</v>
      </c>
      <c r="N6" s="12"/>
    </row>
    <row r="7" spans="2:14" ht="14.25" thickBot="1" x14ac:dyDescent="0.25">
      <c r="B7" s="12"/>
      <c r="C7" s="12"/>
      <c r="D7" s="81" t="s">
        <v>183</v>
      </c>
      <c r="E7" s="45" t="s">
        <v>176</v>
      </c>
      <c r="F7" s="12"/>
      <c r="H7" s="12"/>
      <c r="I7" s="12"/>
      <c r="J7" s="29" t="s">
        <v>183</v>
      </c>
      <c r="K7" s="29" t="s">
        <v>195</v>
      </c>
      <c r="L7" s="29" t="s">
        <v>196</v>
      </c>
      <c r="M7" s="148" t="s">
        <v>176</v>
      </c>
      <c r="N7" s="12"/>
    </row>
    <row r="8" spans="2:14" ht="14.25" thickTop="1" x14ac:dyDescent="0.2">
      <c r="B8" s="12"/>
      <c r="C8" s="12"/>
      <c r="D8" s="119" t="s">
        <v>184</v>
      </c>
      <c r="E8" s="123" t="s">
        <v>189</v>
      </c>
      <c r="F8" s="12"/>
      <c r="H8" s="12"/>
      <c r="I8" s="12"/>
      <c r="J8" s="136" t="s">
        <v>184</v>
      </c>
      <c r="K8" s="137">
        <v>5</v>
      </c>
      <c r="L8" s="137">
        <v>3</v>
      </c>
      <c r="M8" s="138">
        <v>2</v>
      </c>
      <c r="N8" s="12"/>
    </row>
    <row r="9" spans="2:14" ht="13.5" x14ac:dyDescent="0.2">
      <c r="B9" s="12"/>
      <c r="C9" s="12"/>
      <c r="D9" s="120" t="s">
        <v>185</v>
      </c>
      <c r="E9" s="124" t="s">
        <v>190</v>
      </c>
      <c r="F9" s="12"/>
      <c r="H9" s="12"/>
      <c r="I9" s="12"/>
      <c r="J9" s="139" t="s">
        <v>184</v>
      </c>
      <c r="K9" s="140">
        <v>5</v>
      </c>
      <c r="L9" s="139"/>
      <c r="M9" s="141">
        <v>5</v>
      </c>
      <c r="N9" s="12"/>
    </row>
    <row r="10" spans="2:14" ht="13.5" x14ac:dyDescent="0.2">
      <c r="B10" s="12"/>
      <c r="C10" s="12"/>
      <c r="D10" s="120" t="s">
        <v>186</v>
      </c>
      <c r="E10" s="124" t="s">
        <v>191</v>
      </c>
      <c r="F10" s="12"/>
      <c r="H10" s="12"/>
      <c r="I10" s="12"/>
      <c r="J10" s="139" t="s">
        <v>184</v>
      </c>
      <c r="K10" s="139"/>
      <c r="L10" s="140">
        <v>3</v>
      </c>
      <c r="M10" s="141">
        <v>-3</v>
      </c>
      <c r="N10" s="12"/>
    </row>
    <row r="11" spans="2:14" ht="13.5" x14ac:dyDescent="0.2">
      <c r="B11" s="12"/>
      <c r="C11" s="12"/>
      <c r="D11" s="121" t="s">
        <v>187</v>
      </c>
      <c r="E11" s="125" t="s">
        <v>192</v>
      </c>
      <c r="F11" s="12"/>
      <c r="H11" s="12"/>
      <c r="I11" s="12"/>
      <c r="J11" s="142" t="s">
        <v>184</v>
      </c>
      <c r="K11" s="142"/>
      <c r="L11" s="142"/>
      <c r="M11" s="143"/>
      <c r="N11" s="12"/>
    </row>
    <row r="12" spans="2:14" ht="14.25" thickBot="1" x14ac:dyDescent="0.25">
      <c r="B12" s="12"/>
      <c r="C12" s="12"/>
      <c r="D12" s="122" t="s">
        <v>188</v>
      </c>
      <c r="E12" s="126" t="s">
        <v>193</v>
      </c>
      <c r="F12" s="12"/>
      <c r="H12" s="12"/>
      <c r="I12" s="12"/>
      <c r="J12" s="136" t="s">
        <v>185</v>
      </c>
      <c r="K12" s="137">
        <v>5</v>
      </c>
      <c r="L12" s="137">
        <v>3</v>
      </c>
      <c r="M12" s="144">
        <v>8</v>
      </c>
      <c r="N12" s="12"/>
    </row>
    <row r="13" spans="2:14" ht="14.25" thickTop="1" x14ac:dyDescent="0.2">
      <c r="B13" s="12"/>
      <c r="C13" s="12"/>
      <c r="D13" s="12"/>
      <c r="E13" s="47"/>
      <c r="F13" s="12"/>
      <c r="H13" s="12"/>
      <c r="I13" s="12"/>
      <c r="J13" s="139" t="s">
        <v>185</v>
      </c>
      <c r="K13" s="140">
        <v>5</v>
      </c>
      <c r="L13" s="139"/>
      <c r="M13" s="141">
        <v>5</v>
      </c>
      <c r="N13" s="12"/>
    </row>
    <row r="14" spans="2:14" ht="13.5" x14ac:dyDescent="0.2">
      <c r="B14" s="12"/>
      <c r="C14" s="12"/>
      <c r="D14" s="12"/>
      <c r="E14" s="12"/>
      <c r="F14" s="12"/>
      <c r="H14" s="12"/>
      <c r="I14" s="12"/>
      <c r="J14" s="139" t="s">
        <v>185</v>
      </c>
      <c r="K14" s="139"/>
      <c r="L14" s="140">
        <v>3</v>
      </c>
      <c r="M14" s="141">
        <v>3</v>
      </c>
      <c r="N14" s="12"/>
    </row>
    <row r="15" spans="2:14" ht="13.5" x14ac:dyDescent="0.2">
      <c r="B15" s="12"/>
      <c r="C15" s="12"/>
      <c r="D15" s="12"/>
      <c r="E15" s="12"/>
      <c r="F15" s="12"/>
      <c r="H15" s="12"/>
      <c r="I15" s="12"/>
      <c r="J15" s="142" t="s">
        <v>185</v>
      </c>
      <c r="K15" s="142"/>
      <c r="L15" s="142"/>
      <c r="M15" s="143"/>
      <c r="N15" s="12"/>
    </row>
    <row r="16" spans="2:14" ht="13.5" x14ac:dyDescent="0.2">
      <c r="B16" s="12"/>
      <c r="C16" s="12"/>
      <c r="D16" s="12"/>
      <c r="E16" s="12"/>
      <c r="F16" s="12"/>
      <c r="H16" s="12"/>
      <c r="I16" s="12"/>
      <c r="J16" s="136" t="s">
        <v>186</v>
      </c>
      <c r="K16" s="137">
        <v>8</v>
      </c>
      <c r="L16" s="137">
        <v>4</v>
      </c>
      <c r="M16" s="144">
        <v>2</v>
      </c>
      <c r="N16" s="12"/>
    </row>
    <row r="17" spans="2:14" ht="13.5" x14ac:dyDescent="0.2">
      <c r="H17" s="12"/>
      <c r="I17" s="12"/>
      <c r="J17" s="139" t="s">
        <v>186</v>
      </c>
      <c r="K17" s="140">
        <v>8</v>
      </c>
      <c r="L17" s="139"/>
      <c r="M17" s="141">
        <v>8</v>
      </c>
      <c r="N17" s="12"/>
    </row>
    <row r="18" spans="2:14" ht="13.5" x14ac:dyDescent="0.2">
      <c r="H18" s="12"/>
      <c r="I18" s="12"/>
      <c r="J18" s="139" t="s">
        <v>186</v>
      </c>
      <c r="K18" s="139"/>
      <c r="L18" s="140">
        <v>4</v>
      </c>
      <c r="M18" s="145">
        <v>0.25</v>
      </c>
      <c r="N18" s="12"/>
    </row>
    <row r="19" spans="2:14" ht="13.5" x14ac:dyDescent="0.2">
      <c r="H19" s="12"/>
      <c r="I19" s="12"/>
      <c r="J19" s="142" t="s">
        <v>186</v>
      </c>
      <c r="K19" s="142"/>
      <c r="L19" s="142"/>
      <c r="M19" s="143"/>
      <c r="N19" s="12"/>
    </row>
    <row r="20" spans="2:14" ht="13.5" x14ac:dyDescent="0.2">
      <c r="H20" s="12"/>
      <c r="I20" s="12"/>
      <c r="J20" s="136" t="s">
        <v>187</v>
      </c>
      <c r="K20" s="137">
        <v>8</v>
      </c>
      <c r="L20" s="137">
        <v>4</v>
      </c>
      <c r="M20" s="144">
        <v>32</v>
      </c>
      <c r="N20" s="12"/>
    </row>
    <row r="21" spans="2:14" ht="13.5" x14ac:dyDescent="0.2">
      <c r="H21" s="12"/>
      <c r="I21" s="12"/>
      <c r="J21" s="139" t="s">
        <v>187</v>
      </c>
      <c r="K21" s="140">
        <v>8</v>
      </c>
      <c r="L21" s="139"/>
      <c r="M21" s="141">
        <v>8</v>
      </c>
      <c r="N21" s="12"/>
    </row>
    <row r="22" spans="2:14" ht="13.5" x14ac:dyDescent="0.2">
      <c r="H22" s="12"/>
      <c r="I22" s="12"/>
      <c r="J22" s="139" t="s">
        <v>187</v>
      </c>
      <c r="K22" s="139"/>
      <c r="L22" s="140">
        <v>4</v>
      </c>
      <c r="M22" s="141">
        <v>4</v>
      </c>
      <c r="N22" s="12"/>
    </row>
    <row r="23" spans="2:14" ht="13.5" x14ac:dyDescent="0.2">
      <c r="H23" s="12"/>
      <c r="I23" s="12"/>
      <c r="J23" s="142" t="s">
        <v>187</v>
      </c>
      <c r="K23" s="142"/>
      <c r="L23" s="142"/>
      <c r="M23" s="143"/>
      <c r="N23" s="12"/>
    </row>
    <row r="24" spans="2:14" ht="13.5" x14ac:dyDescent="0.2">
      <c r="H24" s="12"/>
      <c r="I24" s="12"/>
      <c r="J24" s="136" t="s">
        <v>188</v>
      </c>
      <c r="K24" s="137">
        <v>2</v>
      </c>
      <c r="L24" s="137">
        <v>3</v>
      </c>
      <c r="M24" s="144">
        <v>8</v>
      </c>
      <c r="N24" s="12"/>
    </row>
    <row r="25" spans="2:14" ht="13.5" x14ac:dyDescent="0.2">
      <c r="H25" s="12"/>
      <c r="I25" s="12"/>
      <c r="J25" s="139" t="s">
        <v>188</v>
      </c>
      <c r="K25" s="140">
        <v>2</v>
      </c>
      <c r="L25" s="139"/>
      <c r="M25" s="141">
        <v>1</v>
      </c>
      <c r="N25" s="12"/>
    </row>
    <row r="26" spans="2:14" ht="13.5" x14ac:dyDescent="0.2">
      <c r="H26" s="12"/>
      <c r="I26" s="12"/>
      <c r="J26" s="139" t="s">
        <v>188</v>
      </c>
      <c r="K26" s="139"/>
      <c r="L26" s="140">
        <v>3</v>
      </c>
      <c r="M26" s="141"/>
      <c r="N26" s="12"/>
    </row>
    <row r="27" spans="2:14" ht="13.5" x14ac:dyDescent="0.2">
      <c r="H27" s="12"/>
      <c r="I27" s="12"/>
      <c r="J27" s="142" t="s">
        <v>188</v>
      </c>
      <c r="K27" s="142"/>
      <c r="L27" s="142"/>
      <c r="M27" s="143"/>
      <c r="N27" s="12"/>
    </row>
    <row r="28" spans="2:14" ht="13.5" x14ac:dyDescent="0.2">
      <c r="H28" s="12"/>
      <c r="I28" s="12"/>
      <c r="J28" s="12"/>
      <c r="K28" s="12"/>
      <c r="L28" s="12"/>
      <c r="M28" s="12"/>
      <c r="N28" s="12"/>
    </row>
    <row r="29" spans="2:14" ht="13.5" x14ac:dyDescent="0.2">
      <c r="H29" s="12"/>
      <c r="I29" s="12"/>
      <c r="J29" s="12"/>
      <c r="K29" s="12"/>
      <c r="L29" s="12"/>
      <c r="M29" s="12"/>
      <c r="N29" s="12"/>
    </row>
    <row r="30" spans="2:14" ht="13.5" x14ac:dyDescent="0.2">
      <c r="H30" s="12"/>
      <c r="I30" s="12"/>
      <c r="J30" s="12"/>
      <c r="K30" s="12"/>
      <c r="L30" s="12"/>
      <c r="M30" s="12"/>
      <c r="N30" s="12"/>
    </row>
    <row r="31" spans="2:14" ht="13.5" x14ac:dyDescent="0.2">
      <c r="B31" s="12"/>
      <c r="C31" s="12"/>
      <c r="D31" s="12"/>
      <c r="E31" s="12"/>
      <c r="F31" s="12"/>
      <c r="H31" s="12"/>
      <c r="I31" s="12"/>
      <c r="J31" s="12"/>
      <c r="K31" s="67"/>
      <c r="L31" s="67"/>
      <c r="M31" s="12"/>
      <c r="N31" s="12"/>
    </row>
    <row r="32" spans="2:14" ht="16.5" x14ac:dyDescent="0.2">
      <c r="B32" s="12"/>
      <c r="C32" s="12"/>
      <c r="D32" s="12"/>
      <c r="E32" s="12"/>
      <c r="F32" s="12"/>
      <c r="H32" s="12"/>
      <c r="I32" s="12"/>
      <c r="J32" s="94" t="s">
        <v>201</v>
      </c>
      <c r="K32" s="94"/>
      <c r="L32" s="94"/>
      <c r="M32" s="94"/>
      <c r="N32" s="12"/>
    </row>
    <row r="33" spans="2:14" ht="16.5" x14ac:dyDescent="0.2">
      <c r="B33" s="12"/>
      <c r="C33" s="12"/>
      <c r="D33" s="94" t="s">
        <v>200</v>
      </c>
      <c r="E33" s="94"/>
      <c r="F33" s="12"/>
      <c r="H33" s="12"/>
      <c r="I33" s="12"/>
      <c r="J33" s="127" t="s">
        <v>197</v>
      </c>
      <c r="K33" s="127" t="s">
        <v>140</v>
      </c>
      <c r="L33" s="127" t="s">
        <v>198</v>
      </c>
      <c r="M33" s="80" t="s">
        <v>199</v>
      </c>
      <c r="N33" s="12"/>
    </row>
    <row r="34" spans="2:14" ht="14.25" thickBot="1" x14ac:dyDescent="0.25">
      <c r="B34" s="12"/>
      <c r="C34" s="12"/>
      <c r="D34" s="81" t="s">
        <v>183</v>
      </c>
      <c r="E34" s="45" t="s">
        <v>176</v>
      </c>
      <c r="F34" s="12"/>
      <c r="H34" s="12"/>
      <c r="I34" s="12"/>
      <c r="J34" s="81" t="s">
        <v>183</v>
      </c>
      <c r="K34" s="81" t="s">
        <v>195</v>
      </c>
      <c r="L34" s="81" t="s">
        <v>196</v>
      </c>
      <c r="M34" s="45" t="s">
        <v>176</v>
      </c>
      <c r="N34" s="12"/>
    </row>
    <row r="35" spans="2:14" ht="14.25" thickTop="1" x14ac:dyDescent="0.2">
      <c r="B35" s="12"/>
      <c r="C35" s="12"/>
      <c r="D35" s="119" t="s">
        <v>184</v>
      </c>
      <c r="E35" s="123" t="s">
        <v>189</v>
      </c>
      <c r="F35" s="12"/>
      <c r="H35" s="12"/>
      <c r="I35" s="12"/>
      <c r="J35" s="119" t="s">
        <v>184</v>
      </c>
      <c r="K35" s="128">
        <v>5</v>
      </c>
      <c r="L35" s="128">
        <v>3</v>
      </c>
      <c r="M35" s="129">
        <v>2</v>
      </c>
      <c r="N35" s="12"/>
    </row>
    <row r="36" spans="2:14" ht="13.5" x14ac:dyDescent="0.2">
      <c r="B36" s="12"/>
      <c r="C36" s="12"/>
      <c r="D36" s="120" t="s">
        <v>185</v>
      </c>
      <c r="E36" s="124" t="s">
        <v>190</v>
      </c>
      <c r="F36" s="12"/>
      <c r="H36" s="12"/>
      <c r="I36" s="12"/>
      <c r="J36" s="120" t="s">
        <v>184</v>
      </c>
      <c r="K36" s="130">
        <v>5</v>
      </c>
      <c r="L36" s="121"/>
      <c r="M36" s="132">
        <v>5</v>
      </c>
      <c r="N36" s="12"/>
    </row>
    <row r="37" spans="2:14" ht="13.5" x14ac:dyDescent="0.2">
      <c r="B37" s="12"/>
      <c r="C37" s="12"/>
      <c r="D37" s="120" t="s">
        <v>186</v>
      </c>
      <c r="E37" s="124" t="s">
        <v>191</v>
      </c>
      <c r="F37" s="12"/>
      <c r="H37" s="12"/>
      <c r="I37" s="12"/>
      <c r="J37" s="120" t="s">
        <v>184</v>
      </c>
      <c r="K37" s="121"/>
      <c r="L37" s="130">
        <v>3</v>
      </c>
      <c r="M37" s="132">
        <v>-3</v>
      </c>
      <c r="N37" s="12"/>
    </row>
    <row r="38" spans="2:14" ht="13.5" x14ac:dyDescent="0.2">
      <c r="B38" s="12"/>
      <c r="C38" s="12"/>
      <c r="D38" s="121" t="s">
        <v>187</v>
      </c>
      <c r="E38" s="125" t="s">
        <v>192</v>
      </c>
      <c r="F38" s="12"/>
      <c r="H38" s="12"/>
      <c r="I38" s="12"/>
      <c r="J38" s="133" t="s">
        <v>184</v>
      </c>
      <c r="K38" s="133"/>
      <c r="L38" s="133"/>
      <c r="M38" s="134"/>
      <c r="N38" s="12"/>
    </row>
    <row r="39" spans="2:14" ht="14.25" thickBot="1" x14ac:dyDescent="0.25">
      <c r="B39" s="12"/>
      <c r="C39" s="12"/>
      <c r="D39" s="122" t="s">
        <v>188</v>
      </c>
      <c r="E39" s="126" t="s">
        <v>193</v>
      </c>
      <c r="F39" s="12"/>
      <c r="H39" s="12"/>
      <c r="I39" s="12"/>
      <c r="J39" s="119" t="s">
        <v>185</v>
      </c>
      <c r="K39" s="128">
        <v>5</v>
      </c>
      <c r="L39" s="128">
        <v>3</v>
      </c>
      <c r="M39" s="135">
        <v>8</v>
      </c>
      <c r="N39" s="12"/>
    </row>
    <row r="40" spans="2:14" ht="14.25" thickTop="1" x14ac:dyDescent="0.2">
      <c r="B40" s="12"/>
      <c r="C40" s="12"/>
      <c r="D40" s="12"/>
      <c r="E40" s="47"/>
      <c r="F40" s="12"/>
      <c r="H40" s="12"/>
      <c r="I40" s="12"/>
      <c r="J40" s="121" t="s">
        <v>185</v>
      </c>
      <c r="K40" s="130">
        <v>5</v>
      </c>
      <c r="L40" s="121"/>
      <c r="M40" s="132">
        <v>5</v>
      </c>
      <c r="N40" s="12"/>
    </row>
    <row r="41" spans="2:14" ht="13.5" x14ac:dyDescent="0.2">
      <c r="B41" s="12"/>
      <c r="C41" s="12"/>
      <c r="D41" s="12"/>
      <c r="E41" s="12"/>
      <c r="F41" s="12"/>
      <c r="H41" s="12"/>
      <c r="I41" s="12"/>
      <c r="J41" s="121" t="s">
        <v>185</v>
      </c>
      <c r="K41" s="121"/>
      <c r="L41" s="130">
        <v>3</v>
      </c>
      <c r="M41" s="132">
        <v>3</v>
      </c>
      <c r="N41" s="12"/>
    </row>
    <row r="42" spans="2:14" ht="13.5" x14ac:dyDescent="0.2">
      <c r="B42" s="12"/>
      <c r="C42" s="12"/>
      <c r="D42" s="12"/>
      <c r="E42" s="12"/>
      <c r="F42" s="12"/>
      <c r="H42" s="12"/>
      <c r="I42" s="12"/>
      <c r="J42" s="133" t="s">
        <v>185</v>
      </c>
      <c r="K42" s="133"/>
      <c r="L42" s="133"/>
      <c r="M42" s="134"/>
      <c r="N42" s="12"/>
    </row>
    <row r="43" spans="2:14" ht="13.5" x14ac:dyDescent="0.2">
      <c r="B43" s="12"/>
      <c r="C43" s="12"/>
      <c r="D43" s="12"/>
      <c r="E43" s="12"/>
      <c r="F43" s="12"/>
      <c r="H43" s="12"/>
      <c r="I43" s="12"/>
      <c r="J43" s="119" t="s">
        <v>186</v>
      </c>
      <c r="K43" s="128">
        <v>8</v>
      </c>
      <c r="L43" s="128">
        <v>4</v>
      </c>
      <c r="M43" s="135">
        <v>2</v>
      </c>
      <c r="N43" s="12"/>
    </row>
    <row r="44" spans="2:14" ht="13.5" x14ac:dyDescent="0.2">
      <c r="H44" s="12"/>
      <c r="I44" s="12"/>
      <c r="J44" s="121" t="s">
        <v>186</v>
      </c>
      <c r="K44" s="130">
        <v>8</v>
      </c>
      <c r="L44" s="121"/>
      <c r="M44" s="132">
        <v>8</v>
      </c>
      <c r="N44" s="12"/>
    </row>
    <row r="45" spans="2:14" ht="13.5" x14ac:dyDescent="0.2">
      <c r="H45" s="12"/>
      <c r="I45" s="12"/>
      <c r="J45" s="121" t="s">
        <v>186</v>
      </c>
      <c r="K45" s="121"/>
      <c r="L45" s="130">
        <v>4</v>
      </c>
      <c r="M45" s="131">
        <v>0.25</v>
      </c>
      <c r="N45" s="12"/>
    </row>
    <row r="46" spans="2:14" ht="13.5" x14ac:dyDescent="0.2">
      <c r="H46" s="12"/>
      <c r="I46" s="12"/>
      <c r="J46" s="133" t="s">
        <v>186</v>
      </c>
      <c r="K46" s="133"/>
      <c r="L46" s="133"/>
      <c r="M46" s="134"/>
      <c r="N46" s="12"/>
    </row>
    <row r="47" spans="2:14" ht="13.5" x14ac:dyDescent="0.2">
      <c r="H47" s="12"/>
      <c r="I47" s="12"/>
      <c r="J47" s="119" t="s">
        <v>187</v>
      </c>
      <c r="K47" s="128">
        <v>8</v>
      </c>
      <c r="L47" s="128">
        <v>4</v>
      </c>
      <c r="M47" s="135">
        <v>32</v>
      </c>
      <c r="N47" s="12"/>
    </row>
    <row r="48" spans="2:14" ht="13.5" x14ac:dyDescent="0.2">
      <c r="H48" s="12"/>
      <c r="I48" s="12"/>
      <c r="J48" s="121" t="s">
        <v>187</v>
      </c>
      <c r="K48" s="130">
        <v>8</v>
      </c>
      <c r="L48" s="121"/>
      <c r="M48" s="132">
        <v>8</v>
      </c>
      <c r="N48" s="12"/>
    </row>
    <row r="49" spans="2:14" ht="13.5" x14ac:dyDescent="0.2">
      <c r="H49" s="12"/>
      <c r="I49" s="12"/>
      <c r="J49" s="121" t="s">
        <v>187</v>
      </c>
      <c r="K49" s="121"/>
      <c r="L49" s="130">
        <v>4</v>
      </c>
      <c r="M49" s="132">
        <v>4</v>
      </c>
      <c r="N49" s="12"/>
    </row>
    <row r="50" spans="2:14" ht="13.5" x14ac:dyDescent="0.2">
      <c r="H50" s="12"/>
      <c r="I50" s="12"/>
      <c r="J50" s="133" t="s">
        <v>187</v>
      </c>
      <c r="K50" s="133"/>
      <c r="L50" s="133"/>
      <c r="M50" s="134"/>
      <c r="N50" s="12"/>
    </row>
    <row r="51" spans="2:14" ht="13.5" x14ac:dyDescent="0.2">
      <c r="H51" s="12"/>
      <c r="I51" s="12"/>
      <c r="J51" s="119" t="s">
        <v>188</v>
      </c>
      <c r="K51" s="128">
        <v>2</v>
      </c>
      <c r="L51" s="128">
        <v>3</v>
      </c>
      <c r="M51" s="135">
        <v>8</v>
      </c>
      <c r="N51" s="12"/>
    </row>
    <row r="52" spans="2:14" ht="13.5" x14ac:dyDescent="0.2">
      <c r="H52" s="12"/>
      <c r="I52" s="12"/>
      <c r="J52" s="121" t="s">
        <v>188</v>
      </c>
      <c r="K52" s="130">
        <v>2</v>
      </c>
      <c r="L52" s="121"/>
      <c r="M52" s="132">
        <v>1</v>
      </c>
      <c r="N52" s="12"/>
    </row>
    <row r="53" spans="2:14" ht="13.5" x14ac:dyDescent="0.2">
      <c r="H53" s="12"/>
      <c r="I53" s="12"/>
      <c r="J53" s="121" t="s">
        <v>188</v>
      </c>
      <c r="K53" s="121"/>
      <c r="L53" s="130">
        <v>3</v>
      </c>
      <c r="M53" s="132"/>
      <c r="N53" s="12"/>
    </row>
    <row r="54" spans="2:14" ht="13.5" x14ac:dyDescent="0.2">
      <c r="H54" s="12"/>
      <c r="I54" s="12"/>
      <c r="J54" s="133" t="s">
        <v>188</v>
      </c>
      <c r="K54" s="133"/>
      <c r="L54" s="133"/>
      <c r="M54" s="134"/>
      <c r="N54" s="12"/>
    </row>
    <row r="55" spans="2:14" ht="13.5" x14ac:dyDescent="0.2">
      <c r="H55" s="12"/>
      <c r="I55" s="12"/>
      <c r="J55" s="12"/>
      <c r="K55" s="12"/>
      <c r="L55" s="12"/>
      <c r="M55" s="12"/>
      <c r="N55" s="12"/>
    </row>
    <row r="56" spans="2:14" ht="13.5" x14ac:dyDescent="0.2">
      <c r="H56" s="12"/>
      <c r="I56" s="12"/>
      <c r="J56" s="12"/>
      <c r="K56" s="12"/>
      <c r="L56" s="12"/>
      <c r="M56" s="12"/>
      <c r="N56" s="12"/>
    </row>
    <row r="57" spans="2:14" ht="13.5" x14ac:dyDescent="0.2">
      <c r="H57" s="12"/>
      <c r="I57" s="12"/>
      <c r="J57" s="12"/>
      <c r="K57" s="12"/>
      <c r="L57" s="12"/>
      <c r="M57" s="12"/>
      <c r="N57" s="12"/>
    </row>
    <row r="58" spans="2:14" ht="13.5" x14ac:dyDescent="0.2">
      <c r="B58" s="12"/>
      <c r="C58" s="12"/>
      <c r="D58" s="12"/>
      <c r="E58" s="12"/>
      <c r="F58" s="12"/>
      <c r="H58" s="12"/>
      <c r="I58" s="12"/>
      <c r="J58" s="12"/>
      <c r="K58" s="67"/>
      <c r="L58" s="67"/>
      <c r="M58" s="12"/>
      <c r="N58" s="12"/>
    </row>
    <row r="59" spans="2:14" ht="16.5" x14ac:dyDescent="0.2">
      <c r="B59" s="12"/>
      <c r="C59" s="12"/>
      <c r="D59" s="12"/>
      <c r="E59" s="12"/>
      <c r="F59" s="12"/>
      <c r="H59" s="12"/>
      <c r="I59" s="12"/>
      <c r="J59" s="94" t="s">
        <v>203</v>
      </c>
      <c r="K59" s="94"/>
      <c r="L59" s="94"/>
      <c r="M59" s="94"/>
      <c r="N59" s="12"/>
    </row>
    <row r="60" spans="2:14" ht="16.5" x14ac:dyDescent="0.2">
      <c r="B60" s="12"/>
      <c r="C60" s="12"/>
      <c r="D60" s="94" t="s">
        <v>202</v>
      </c>
      <c r="E60" s="94"/>
      <c r="F60" s="12"/>
      <c r="H60" s="12"/>
      <c r="I60" s="12"/>
      <c r="J60" s="127" t="s">
        <v>197</v>
      </c>
      <c r="K60" s="127" t="s">
        <v>140</v>
      </c>
      <c r="L60" s="127" t="s">
        <v>198</v>
      </c>
      <c r="M60" s="80" t="s">
        <v>199</v>
      </c>
      <c r="N60" s="12"/>
    </row>
    <row r="61" spans="2:14" ht="14.25" thickBot="1" x14ac:dyDescent="0.25">
      <c r="B61" s="12"/>
      <c r="C61" s="12"/>
      <c r="D61" s="81" t="s">
        <v>183</v>
      </c>
      <c r="E61" s="45" t="s">
        <v>176</v>
      </c>
      <c r="F61" s="12"/>
      <c r="H61" s="12"/>
      <c r="I61" s="12"/>
      <c r="J61" s="81" t="s">
        <v>183</v>
      </c>
      <c r="K61" s="81" t="s">
        <v>195</v>
      </c>
      <c r="L61" s="81" t="s">
        <v>196</v>
      </c>
      <c r="M61" s="45" t="s">
        <v>176</v>
      </c>
      <c r="N61" s="12"/>
    </row>
    <row r="62" spans="2:14" ht="14.25" thickTop="1" x14ac:dyDescent="0.2">
      <c r="B62" s="12"/>
      <c r="C62" s="12"/>
      <c r="D62" s="119" t="s">
        <v>184</v>
      </c>
      <c r="E62" s="123" t="s">
        <v>189</v>
      </c>
      <c r="F62" s="12"/>
      <c r="H62" s="12"/>
      <c r="I62" s="12"/>
      <c r="J62" s="119" t="s">
        <v>184</v>
      </c>
      <c r="K62" s="128">
        <v>5</v>
      </c>
      <c r="L62" s="128">
        <v>3</v>
      </c>
      <c r="M62" s="129">
        <v>2</v>
      </c>
      <c r="N62" s="12"/>
    </row>
    <row r="63" spans="2:14" ht="13.5" x14ac:dyDescent="0.2">
      <c r="B63" s="12"/>
      <c r="C63" s="12"/>
      <c r="D63" s="120" t="s">
        <v>185</v>
      </c>
      <c r="E63" s="124" t="s">
        <v>190</v>
      </c>
      <c r="F63" s="12"/>
      <c r="H63" s="12"/>
      <c r="I63" s="12"/>
      <c r="J63" s="120" t="s">
        <v>184</v>
      </c>
      <c r="K63" s="130">
        <v>5</v>
      </c>
      <c r="L63" s="121"/>
      <c r="M63" s="132">
        <v>5</v>
      </c>
      <c r="N63" s="12"/>
    </row>
    <row r="64" spans="2:14" ht="13.5" x14ac:dyDescent="0.2">
      <c r="B64" s="12"/>
      <c r="C64" s="12"/>
      <c r="D64" s="120" t="s">
        <v>186</v>
      </c>
      <c r="E64" s="124" t="s">
        <v>191</v>
      </c>
      <c r="F64" s="12"/>
      <c r="H64" s="12"/>
      <c r="I64" s="12"/>
      <c r="J64" s="120" t="s">
        <v>184</v>
      </c>
      <c r="K64" s="121"/>
      <c r="L64" s="130">
        <v>3</v>
      </c>
      <c r="M64" s="132">
        <v>-3</v>
      </c>
      <c r="N64" s="12"/>
    </row>
    <row r="65" spans="2:14" ht="13.5" x14ac:dyDescent="0.2">
      <c r="B65" s="12"/>
      <c r="C65" s="12"/>
      <c r="D65" s="121" t="s">
        <v>187</v>
      </c>
      <c r="E65" s="125" t="s">
        <v>192</v>
      </c>
      <c r="F65" s="12"/>
      <c r="H65" s="12"/>
      <c r="I65" s="12"/>
      <c r="J65" s="133" t="s">
        <v>184</v>
      </c>
      <c r="K65" s="133"/>
      <c r="L65" s="133"/>
      <c r="M65" s="134"/>
      <c r="N65" s="12"/>
    </row>
    <row r="66" spans="2:14" ht="14.25" thickBot="1" x14ac:dyDescent="0.25">
      <c r="B66" s="12"/>
      <c r="C66" s="12"/>
      <c r="D66" s="122" t="s">
        <v>188</v>
      </c>
      <c r="E66" s="126" t="s">
        <v>193</v>
      </c>
      <c r="F66" s="12"/>
      <c r="H66" s="12"/>
      <c r="I66" s="12"/>
      <c r="J66" s="119" t="s">
        <v>185</v>
      </c>
      <c r="K66" s="128">
        <v>5</v>
      </c>
      <c r="L66" s="128">
        <v>3</v>
      </c>
      <c r="M66" s="135">
        <v>8</v>
      </c>
      <c r="N66" s="12"/>
    </row>
    <row r="67" spans="2:14" ht="14.25" thickTop="1" x14ac:dyDescent="0.2">
      <c r="B67" s="12"/>
      <c r="C67" s="12"/>
      <c r="D67" s="12"/>
      <c r="E67" s="47"/>
      <c r="F67" s="12"/>
      <c r="H67" s="12"/>
      <c r="I67" s="12"/>
      <c r="J67" s="121" t="s">
        <v>185</v>
      </c>
      <c r="K67" s="130">
        <v>5</v>
      </c>
      <c r="L67" s="121"/>
      <c r="M67" s="132">
        <v>5</v>
      </c>
      <c r="N67" s="12"/>
    </row>
    <row r="68" spans="2:14" ht="13.5" x14ac:dyDescent="0.2">
      <c r="B68" s="12"/>
      <c r="C68" s="12"/>
      <c r="D68" s="12"/>
      <c r="E68" s="12"/>
      <c r="F68" s="12"/>
      <c r="H68" s="12"/>
      <c r="I68" s="12"/>
      <c r="J68" s="121" t="s">
        <v>185</v>
      </c>
      <c r="K68" s="121"/>
      <c r="L68" s="130">
        <v>3</v>
      </c>
      <c r="M68" s="132">
        <v>3</v>
      </c>
      <c r="N68" s="12"/>
    </row>
    <row r="69" spans="2:14" ht="13.5" x14ac:dyDescent="0.2">
      <c r="B69" s="12"/>
      <c r="C69" s="12"/>
      <c r="D69" s="12"/>
      <c r="E69" s="12"/>
      <c r="F69" s="12"/>
      <c r="H69" s="12"/>
      <c r="I69" s="12"/>
      <c r="J69" s="133" t="s">
        <v>185</v>
      </c>
      <c r="K69" s="133"/>
      <c r="L69" s="133"/>
      <c r="M69" s="134"/>
      <c r="N69" s="12"/>
    </row>
    <row r="70" spans="2:14" ht="13.5" x14ac:dyDescent="0.2">
      <c r="B70" s="12"/>
      <c r="C70" s="12"/>
      <c r="D70" s="12"/>
      <c r="E70" s="12"/>
      <c r="F70" s="12"/>
      <c r="H70" s="12"/>
      <c r="I70" s="12"/>
      <c r="J70" s="119" t="s">
        <v>186</v>
      </c>
      <c r="K70" s="128">
        <v>8</v>
      </c>
      <c r="L70" s="128">
        <v>4</v>
      </c>
      <c r="M70" s="135">
        <v>2</v>
      </c>
      <c r="N70" s="12"/>
    </row>
    <row r="71" spans="2:14" ht="13.5" x14ac:dyDescent="0.2">
      <c r="H71" s="12"/>
      <c r="I71" s="12"/>
      <c r="J71" s="121" t="s">
        <v>186</v>
      </c>
      <c r="K71" s="130">
        <v>8</v>
      </c>
      <c r="L71" s="121"/>
      <c r="M71" s="132">
        <v>8</v>
      </c>
      <c r="N71" s="12"/>
    </row>
    <row r="72" spans="2:14" ht="13.5" x14ac:dyDescent="0.2">
      <c r="H72" s="12"/>
      <c r="I72" s="12"/>
      <c r="J72" s="121" t="s">
        <v>186</v>
      </c>
      <c r="K72" s="121"/>
      <c r="L72" s="130">
        <v>4</v>
      </c>
      <c r="M72" s="131">
        <v>0.25</v>
      </c>
      <c r="N72" s="12"/>
    </row>
    <row r="73" spans="2:14" ht="13.5" x14ac:dyDescent="0.2">
      <c r="H73" s="12"/>
      <c r="I73" s="12"/>
      <c r="J73" s="133" t="s">
        <v>186</v>
      </c>
      <c r="K73" s="133"/>
      <c r="L73" s="133"/>
      <c r="M73" s="134"/>
      <c r="N73" s="12"/>
    </row>
    <row r="74" spans="2:14" ht="13.5" x14ac:dyDescent="0.2">
      <c r="H74" s="12"/>
      <c r="I74" s="12"/>
      <c r="J74" s="119" t="s">
        <v>187</v>
      </c>
      <c r="K74" s="128">
        <v>8</v>
      </c>
      <c r="L74" s="128">
        <v>4</v>
      </c>
      <c r="M74" s="135">
        <v>32</v>
      </c>
      <c r="N74" s="12"/>
    </row>
    <row r="75" spans="2:14" ht="13.5" x14ac:dyDescent="0.2">
      <c r="H75" s="12"/>
      <c r="I75" s="12"/>
      <c r="J75" s="121" t="s">
        <v>187</v>
      </c>
      <c r="K75" s="130">
        <v>8</v>
      </c>
      <c r="L75" s="121"/>
      <c r="M75" s="132">
        <v>8</v>
      </c>
      <c r="N75" s="12"/>
    </row>
    <row r="76" spans="2:14" ht="13.5" x14ac:dyDescent="0.2">
      <c r="H76" s="12"/>
      <c r="I76" s="12"/>
      <c r="J76" s="121" t="s">
        <v>187</v>
      </c>
      <c r="K76" s="121"/>
      <c r="L76" s="130">
        <v>4</v>
      </c>
      <c r="M76" s="132">
        <v>4</v>
      </c>
      <c r="N76" s="12"/>
    </row>
    <row r="77" spans="2:14" ht="13.5" x14ac:dyDescent="0.2">
      <c r="H77" s="12"/>
      <c r="I77" s="12"/>
      <c r="J77" s="133" t="s">
        <v>187</v>
      </c>
      <c r="K77" s="133"/>
      <c r="L77" s="133"/>
      <c r="M77" s="134"/>
      <c r="N77" s="12"/>
    </row>
    <row r="78" spans="2:14" ht="13.5" x14ac:dyDescent="0.2">
      <c r="H78" s="12"/>
      <c r="I78" s="12"/>
      <c r="J78" s="119" t="s">
        <v>188</v>
      </c>
      <c r="K78" s="128">
        <v>2</v>
      </c>
      <c r="L78" s="128">
        <v>3</v>
      </c>
      <c r="M78" s="135">
        <v>8</v>
      </c>
      <c r="N78" s="12"/>
    </row>
    <row r="79" spans="2:14" ht="13.5" x14ac:dyDescent="0.2">
      <c r="H79" s="12"/>
      <c r="I79" s="12"/>
      <c r="J79" s="121" t="s">
        <v>188</v>
      </c>
      <c r="K79" s="130">
        <v>2</v>
      </c>
      <c r="L79" s="121"/>
      <c r="M79" s="132">
        <v>1</v>
      </c>
      <c r="N79" s="12"/>
    </row>
    <row r="80" spans="2:14" ht="13.5" x14ac:dyDescent="0.2">
      <c r="H80" s="12"/>
      <c r="I80" s="12"/>
      <c r="J80" s="121" t="s">
        <v>188</v>
      </c>
      <c r="K80" s="121"/>
      <c r="L80" s="130">
        <v>3</v>
      </c>
      <c r="M80" s="132"/>
      <c r="N80" s="12"/>
    </row>
    <row r="81" spans="8:14" ht="13.5" x14ac:dyDescent="0.2">
      <c r="H81" s="12"/>
      <c r="I81" s="12"/>
      <c r="J81" s="133" t="s">
        <v>188</v>
      </c>
      <c r="K81" s="133"/>
      <c r="L81" s="133"/>
      <c r="M81" s="134"/>
      <c r="N81" s="12"/>
    </row>
    <row r="82" spans="8:14" ht="13.5" x14ac:dyDescent="0.2">
      <c r="H82" s="12"/>
      <c r="I82" s="12"/>
      <c r="J82" s="12"/>
      <c r="K82" s="12"/>
      <c r="L82" s="12"/>
      <c r="M82" s="12"/>
      <c r="N82" s="12"/>
    </row>
    <row r="83" spans="8:14" ht="13.5" x14ac:dyDescent="0.2">
      <c r="H83" s="12"/>
      <c r="I83" s="12"/>
      <c r="J83" s="12"/>
      <c r="K83" s="12"/>
      <c r="L83" s="12"/>
      <c r="M83" s="12"/>
      <c r="N83" s="12"/>
    </row>
    <row r="84" spans="8:14" ht="13.5" x14ac:dyDescent="0.2">
      <c r="H84" s="12"/>
      <c r="I84" s="12"/>
      <c r="J84" s="12"/>
      <c r="K84" s="12"/>
      <c r="L84" s="12"/>
      <c r="M84" s="12"/>
      <c r="N84" s="12"/>
    </row>
  </sheetData>
  <mergeCells count="6">
    <mergeCell ref="D33:E33"/>
    <mergeCell ref="J59:M59"/>
    <mergeCell ref="D60:E60"/>
    <mergeCell ref="D6:E6"/>
    <mergeCell ref="J5:M5"/>
    <mergeCell ref="J32:M3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Intro</vt:lpstr>
      <vt:lpstr>Step1</vt:lpstr>
      <vt:lpstr>Step2</vt:lpstr>
      <vt:lpstr>Step3</vt:lpstr>
      <vt:lpstr>Sheet1</vt:lpstr>
      <vt:lpstr>Sheet2</vt:lpstr>
      <vt:lpstr>Sheet3</vt:lpstr>
      <vt:lpstr>_st1</vt:lpstr>
      <vt:lpstr>_st11</vt:lpstr>
      <vt:lpstr>_st2</vt:lpstr>
      <vt:lpstr>_st21</vt:lpstr>
      <vt:lpstr>_st22</vt:lpstr>
      <vt:lpstr>_st3</vt:lpstr>
      <vt:lpstr>_st31</vt:lpstr>
      <vt:lpstr>_st32</vt:lpstr>
      <vt:lpstr>_st33</vt:lpstr>
      <vt:lpstr>_st34</vt:lpstr>
    </vt:vector>
  </TitlesOfParts>
  <Company>Exigen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Stanislav Shor</dc:creator>
  <cp:lastModifiedBy>Elena Lisova</cp:lastModifiedBy>
  <dcterms:created xsi:type="dcterms:W3CDTF">2006-08-01T15:23:15Z</dcterms:created>
  <dcterms:modified xsi:type="dcterms:W3CDTF">2018-10-11T08:45:57Z</dcterms:modified>
</cp:coreProperties>
</file>