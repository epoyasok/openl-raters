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 tabRatio="874" activeTab="1"/>
  </bookViews>
  <sheets>
    <sheet name="req" sheetId="28" r:id="rId1"/>
    <sheet name="Doc History" sheetId="24" r:id="rId2"/>
    <sheet name="Vocabulary" sheetId="25" r:id="rId3"/>
    <sheet name="AUTO Rating Steps" sheetId="4" r:id="rId4"/>
    <sheet name="Coverage Handling" sheetId="29" r:id="rId5"/>
    <sheet name="Base Rate" sheetId="1" r:id="rId6"/>
    <sheet name="BI_" sheetId="3" r:id="rId7"/>
    <sheet name="PD" sheetId="31" r:id="rId8"/>
    <sheet name="MD" sheetId="32" r:id="rId9"/>
    <sheet name="Comp&amp;Coll " sheetId="33" r:id="rId10"/>
    <sheet name="Vehicle Type Factor" sheetId="7" r:id="rId11"/>
    <sheet name="Model Year" sheetId="10" r:id="rId12"/>
    <sheet name="Mileage" sheetId="13" r:id="rId13"/>
    <sheet name="Veh Discounts" sheetId="18" r:id="rId14"/>
    <sheet name="PolicyLevelDiscounts" sheetId="23" r:id="rId15"/>
    <sheet name="Data&amp;Testing" sheetId="27" r:id="rId16"/>
  </sheets>
  <definedNames>
    <definedName name="_ILF1" localSheetId="1">#REF!</definedName>
    <definedName name="_ILF1" localSheetId="11">#REF!</definedName>
    <definedName name="_ILF1">#REF!</definedName>
    <definedName name="_ILF2" localSheetId="11">#REF!</definedName>
    <definedName name="_ILF2">#REF!</definedName>
  </definedNames>
  <calcPr calcId="145621"/>
</workbook>
</file>

<file path=xl/calcChain.xml><?xml version="1.0" encoding="utf-8"?>
<calcChain xmlns="http://schemas.openxmlformats.org/spreadsheetml/2006/main">
  <c r="H57" i="27" l="1"/>
  <c r="H58" i="27"/>
  <c r="H59" i="27"/>
  <c r="H60" i="27"/>
  <c r="H61" i="27"/>
  <c r="H62" i="27"/>
  <c r="H63" i="27"/>
  <c r="H64" i="27"/>
  <c r="H65" i="27"/>
  <c r="H66" i="27"/>
</calcChain>
</file>

<file path=xl/sharedStrings.xml><?xml version="1.0" encoding="utf-8"?>
<sst xmlns="http://schemas.openxmlformats.org/spreadsheetml/2006/main" count="691" uniqueCount="407">
  <si>
    <t>Renewal Discount</t>
  </si>
  <si>
    <t>RATE EACH VEHICLE AS FOLLOWS:</t>
  </si>
  <si>
    <t>VEHICLE COVERAGES</t>
  </si>
  <si>
    <t>Base Rate</t>
  </si>
  <si>
    <t>Vehicle Type factor</t>
  </si>
  <si>
    <t>Vehicle Year</t>
  </si>
  <si>
    <t>No</t>
  </si>
  <si>
    <t>VEHICLE PREMIUM SUBTOTAL (before discounts/surcharges)</t>
  </si>
  <si>
    <t>BASE RATE</t>
  </si>
  <si>
    <t>FACTOR</t>
  </si>
  <si>
    <t>Increased Limit Factor</t>
  </si>
  <si>
    <t>Vehicle: Air Bags</t>
  </si>
  <si>
    <t>Vehicle: Automatic Belts</t>
  </si>
  <si>
    <t>Vehicle: Daytime Running Lamps</t>
  </si>
  <si>
    <t>Multi-Car Discount</t>
  </si>
  <si>
    <t>Limit</t>
  </si>
  <si>
    <t>Factor</t>
  </si>
  <si>
    <t>Regular</t>
  </si>
  <si>
    <t>Collector</t>
  </si>
  <si>
    <t>Miscellaneous</t>
  </si>
  <si>
    <t>Type Description</t>
  </si>
  <si>
    <t>Range</t>
  </si>
  <si>
    <t>None</t>
  </si>
  <si>
    <t>5,000 - 10,000</t>
  </si>
  <si>
    <t>10,001 - 15,000</t>
  </si>
  <si>
    <t>15,001 - 20,000</t>
  </si>
  <si>
    <t>20,001 - 25,000</t>
  </si>
  <si>
    <t>25,001 - 30,000</t>
  </si>
  <si>
    <t>30,001 - 35,000</t>
  </si>
  <si>
    <t>35,001 - 40,000</t>
  </si>
  <si>
    <t>40,001 - 45,000</t>
  </si>
  <si>
    <t>45,001 - 50,000</t>
  </si>
  <si>
    <t>Type</t>
  </si>
  <si>
    <t>Driver Only</t>
  </si>
  <si>
    <t>Driver and Passenger</t>
  </si>
  <si>
    <t>Vehicle Age</t>
  </si>
  <si>
    <t>Deductible</t>
  </si>
  <si>
    <t>0 - 5,000</t>
  </si>
  <si>
    <t>Discount</t>
  </si>
  <si>
    <t>COVERAGE TOTAL</t>
  </si>
  <si>
    <t>x</t>
  </si>
  <si>
    <t>Mileage (customer declared annual mileage in UI)</t>
  </si>
  <si>
    <t xml:space="preserve"> POLICY PREMIUM SUBTOTAL (ALL vehicles)</t>
  </si>
  <si>
    <t>Sum of all Coverages Premium for this Vehicle</t>
  </si>
  <si>
    <t>=</t>
  </si>
  <si>
    <t>Policy Prem Subtotal (All vehicles)= Sum of Total Vehicle Prem for all Vehicles</t>
  </si>
  <si>
    <t>Vehicle Discounts Amount = Sum of all DISCOUNTS Amts applicable for this Vehicle</t>
  </si>
  <si>
    <t>Total # of Cars on Policy</t>
  </si>
  <si>
    <t>calculate Policy-Level Total Discounts</t>
  </si>
  <si>
    <t>Step</t>
  </si>
  <si>
    <t>Description</t>
  </si>
  <si>
    <t xml:space="preserve">TOTAL VEHICLE PREMIUM </t>
  </si>
  <si>
    <t xml:space="preserve">TOTAL POLICY PREM </t>
  </si>
  <si>
    <t>Yes</t>
  </si>
  <si>
    <t>VEHICLE DISCOUNTS</t>
  </si>
  <si>
    <t>MAXIMUM DISCOUNTS cannot be &gt; 20% (if sum is &gt;20%, apply Max Disc of 20%)</t>
  </si>
  <si>
    <t>RATE EACH COVERAGE AS FOLLOWS:</t>
  </si>
  <si>
    <t>Total Vehicle Prem = Vehicle Prem Subtotal  - Vehicle Discounts Amount</t>
  </si>
  <si>
    <t>POLICY-LEVEL DISCOUNTS</t>
  </si>
  <si>
    <t>TOTAL POLICY PREM = Policy Prem Subtotal - Policy Level Total Discounts</t>
  </si>
  <si>
    <t>Type of Other Products/Policies</t>
  </si>
  <si>
    <t>Home</t>
  </si>
  <si>
    <t>Condo</t>
  </si>
  <si>
    <t>Tenant</t>
  </si>
  <si>
    <t>Dwelling Fire</t>
  </si>
  <si>
    <t>Boat</t>
  </si>
  <si>
    <t>Motorcycle, Snowmobile, ATV (MSA)</t>
  </si>
  <si>
    <t xml:space="preserve">Personal Umbrella </t>
  </si>
  <si>
    <t>Business Insurance</t>
  </si>
  <si>
    <t>Inland Marine</t>
  </si>
  <si>
    <t>Multi-Policy Discount</t>
  </si>
  <si>
    <t>History of Approvals and Revisions</t>
  </si>
  <si>
    <t>Date</t>
  </si>
  <si>
    <t>Name</t>
  </si>
  <si>
    <t>Changes</t>
  </si>
  <si>
    <t>Version</t>
  </si>
  <si>
    <t>V1</t>
  </si>
  <si>
    <t>Initial Draft of the Auto Rating Algorithm (for training)</t>
  </si>
  <si>
    <t>Elena Lisova</t>
  </si>
  <si>
    <t>CoverageCode</t>
  </si>
  <si>
    <t>BI</t>
  </si>
  <si>
    <t>PD</t>
  </si>
  <si>
    <t>Comp</t>
  </si>
  <si>
    <t>Coll</t>
  </si>
  <si>
    <t>C1</t>
  </si>
  <si>
    <t>RET1</t>
  </si>
  <si>
    <t xml:space="preserve">IntRange vehage </t>
  </si>
  <si>
    <t xml:space="preserve"> </t>
  </si>
  <si>
    <t>1-5</t>
  </si>
  <si>
    <t>6-99</t>
  </si>
  <si>
    <t>50,000  - 200,000</t>
  </si>
  <si>
    <t>Airbag Type</t>
  </si>
  <si>
    <t>MD</t>
  </si>
  <si>
    <t>Datatype CoverageCode  &lt;String&gt;</t>
  </si>
  <si>
    <t>step</t>
  </si>
  <si>
    <t>MaxVehicleDiscount</t>
  </si>
  <si>
    <t>NB</t>
  </si>
  <si>
    <t>MultiVehiclesDiscount</t>
  </si>
  <si>
    <t>MultiPoliciesDiscount</t>
  </si>
  <si>
    <t>PolicySourceDiscount</t>
  </si>
  <si>
    <t>TotalPolicyDiscounts</t>
  </si>
  <si>
    <t>= $MultiVehiclesDiscount + $PolicySourceDiscount + $MultiPoliciesDiscount</t>
  </si>
  <si>
    <t>TotalPolicyPremium</t>
  </si>
  <si>
    <t>Surcharge</t>
  </si>
  <si>
    <t>Datatype Vehicle</t>
  </si>
  <si>
    <t>VehicleType</t>
  </si>
  <si>
    <t>Integer</t>
  </si>
  <si>
    <t>Boolean</t>
  </si>
  <si>
    <t>Datatype PolicySource  &lt;String&gt;</t>
  </si>
  <si>
    <t>Datatype Policy</t>
  </si>
  <si>
    <t>PolicySource</t>
  </si>
  <si>
    <t>Datatype VehicleType  &lt;String&gt;</t>
  </si>
  <si>
    <t>AirBagType</t>
  </si>
  <si>
    <t>Datatype AirBagType  &lt;String&gt;</t>
  </si>
  <si>
    <t xml:space="preserve">PolicyType </t>
  </si>
  <si>
    <t>Datatype PolicyType  &lt;String&gt;</t>
  </si>
  <si>
    <t>Snowmobile</t>
  </si>
  <si>
    <t>ATV (MSA)</t>
  </si>
  <si>
    <t xml:space="preserve">Motorcycle </t>
  </si>
  <si>
    <t>12/31/2018</t>
  </si>
  <si>
    <t>properties</t>
  </si>
  <si>
    <t>This table returns the vehicle type factor</t>
  </si>
  <si>
    <t>description</t>
  </si>
  <si>
    <t>Datatype Coverage</t>
  </si>
  <si>
    <t>DoubleValue</t>
  </si>
  <si>
    <t>vehicles</t>
  </si>
  <si>
    <t>Vehicle[]</t>
  </si>
  <si>
    <t>Coverage[]</t>
  </si>
  <si>
    <t>coverages</t>
  </si>
  <si>
    <t>coverageCode</t>
  </si>
  <si>
    <t>policySource</t>
  </si>
  <si>
    <t>policyType</t>
  </si>
  <si>
    <t>effectiveDate</t>
  </si>
  <si>
    <t>expirationDate</t>
  </si>
  <si>
    <t>vehicleMileage</t>
  </si>
  <si>
    <t>vehicleType</t>
  </si>
  <si>
    <t>airbagType</t>
  </si>
  <si>
    <t>automaticBelts</t>
  </si>
  <si>
    <t>runningLights</t>
  </si>
  <si>
    <t>covDed</t>
  </si>
  <si>
    <t>covPrem</t>
  </si>
  <si>
    <t>SimpleRules DoubleValue MileageFactor ( Integer vehicleMileage)</t>
  </si>
  <si>
    <t xml:space="preserve">DoubleValue </t>
  </si>
  <si>
    <t>vehiclePremium</t>
  </si>
  <si>
    <t>policyPremium</t>
  </si>
  <si>
    <t xml:space="preserve">Bodily Injury </t>
  </si>
  <si>
    <t>Property Damage</t>
  </si>
  <si>
    <t>Medical Payments</t>
  </si>
  <si>
    <t>Comprehensive</t>
  </si>
  <si>
    <t>Collision</t>
  </si>
  <si>
    <t xml:space="preserve">$150 </t>
  </si>
  <si>
    <t xml:space="preserve">$130 </t>
  </si>
  <si>
    <t xml:space="preserve">$45 </t>
  </si>
  <si>
    <t xml:space="preserve">$50 </t>
  </si>
  <si>
    <t xml:space="preserve">$225 </t>
  </si>
  <si>
    <t>15000/30000</t>
  </si>
  <si>
    <t>20000/40000</t>
  </si>
  <si>
    <t>25000/50000</t>
  </si>
  <si>
    <t>30000/30000</t>
  </si>
  <si>
    <t>30000/60000</t>
  </si>
  <si>
    <t>35000/35000</t>
  </si>
  <si>
    <t>50000/50000</t>
  </si>
  <si>
    <t>50000/100000</t>
  </si>
  <si>
    <t>60000/60000</t>
  </si>
  <si>
    <t>75000/75000</t>
  </si>
  <si>
    <t>100000/100000</t>
  </si>
  <si>
    <t>100000/200000</t>
  </si>
  <si>
    <t>100000/300000</t>
  </si>
  <si>
    <t>100000/500000</t>
  </si>
  <si>
    <t>200000/200000</t>
  </si>
  <si>
    <t>250000/250000</t>
  </si>
  <si>
    <t>250000/500000</t>
  </si>
  <si>
    <t>300000/300000</t>
  </si>
  <si>
    <t>300000/500000</t>
  </si>
  <si>
    <t>350000/350000</t>
  </si>
  <si>
    <t>500000/500000</t>
  </si>
  <si>
    <t>500000/1000000</t>
  </si>
  <si>
    <t>600000/600000</t>
  </si>
  <si>
    <t>750000/750000</t>
  </si>
  <si>
    <t>1000000/1000000</t>
  </si>
  <si>
    <t>BL Limit</t>
  </si>
  <si>
    <t>String</t>
  </si>
  <si>
    <t>SimpleRules DoubleValue VehicleTypeFactor (VehicleType  vehicleType)</t>
  </si>
  <si>
    <t>UpdatePremiumField</t>
  </si>
  <si>
    <t xml:space="preserve">covLimit </t>
  </si>
  <si>
    <t>AUTO PRODUCT</t>
  </si>
  <si>
    <t>Rating Steps</t>
  </si>
  <si>
    <t>x :  multiply</t>
  </si>
  <si>
    <t>round each step to the nearest dollar</t>
  </si>
  <si>
    <t>+ :  add</t>
  </si>
  <si>
    <t>VehicleTypeFactor</t>
  </si>
  <si>
    <t>=VehicleTypeFactor (vehicleType)</t>
  </si>
  <si>
    <t>= MileageFactor (vehicleMileage)</t>
  </si>
  <si>
    <t>VehicleAgeFactor</t>
  </si>
  <si>
    <t xml:space="preserve">MileageFactor </t>
  </si>
  <si>
    <t>CoverageFactor</t>
  </si>
  <si>
    <t>=CoverageHandling(coverages, $CoverageFactor)</t>
  </si>
  <si>
    <t>failOnMiss</t>
  </si>
  <si>
    <t>All CoveragesPremium</t>
  </si>
  <si>
    <t>CoveragePremium</t>
  </si>
  <si>
    <t xml:space="preserve">AirBagDiscount </t>
  </si>
  <si>
    <t xml:space="preserve">AutomaticBeltsDiscount </t>
  </si>
  <si>
    <t>=AutomaticBeltsDiscount(automaticBelts)</t>
  </si>
  <si>
    <t>VehiclePremium</t>
  </si>
  <si>
    <t>updateVehiclePremiumField</t>
  </si>
  <si>
    <t>= vehiclePremium=$VehiclePremium</t>
  </si>
  <si>
    <t>= PolicySourceDiscount (policySource)</t>
  </si>
  <si>
    <t>SimpleRules  DoubleValue PolicySourceDiscount  (PolicySource  policySource)</t>
  </si>
  <si>
    <t>=  MultiPolDiscount  (policyType)</t>
  </si>
  <si>
    <t>NrOfVehicles</t>
  </si>
  <si>
    <t>= length(vehicles)</t>
  </si>
  <si>
    <t>Spreadsheet  SpreadsheetResult A_DetermainPolicyPremium (Policy policy)</t>
  </si>
  <si>
    <t>SimpleRules DoubleValue MultiVehiclesDiscount  (Integer nrofVeh)</t>
  </si>
  <si>
    <t>= MultiVehiclesDiscount  ($NrOfVehicles)</t>
  </si>
  <si>
    <t>P1</t>
  </si>
  <si>
    <t>03/31/2019</t>
  </si>
  <si>
    <t>&gt;vehiclesData</t>
  </si>
  <si>
    <t>P2</t>
  </si>
  <si>
    <t>RN</t>
  </si>
  <si>
    <t>Data Policy policyData</t>
  </si>
  <si>
    <t>&gt;coveragesData</t>
  </si>
  <si>
    <t xml:space="preserve">Data Vehicle vehiclesData </t>
  </si>
  <si>
    <t xml:space="preserve">Data Coverage coveragesData </t>
  </si>
  <si>
    <t>V1BI</t>
  </si>
  <si>
    <t>V1PD</t>
  </si>
  <si>
    <t>V1MD</t>
  </si>
  <si>
    <t>P3</t>
  </si>
  <si>
    <t>vehicleID</t>
  </si>
  <si>
    <t>V2</t>
  </si>
  <si>
    <t>policyID</t>
  </si>
  <si>
    <t>coverageID</t>
  </si>
  <si>
    <t>V1Comp</t>
  </si>
  <si>
    <t>V1Coll</t>
  </si>
  <si>
    <t>V1BI,V1PD,V1MD,V1Comp,V1Coll</t>
  </si>
  <si>
    <t>V2BI,V2PD,V2MD,V2Comp,V2Coll</t>
  </si>
  <si>
    <t>V2BI</t>
  </si>
  <si>
    <t>V2PD</t>
  </si>
  <si>
    <t>V2MD</t>
  </si>
  <si>
    <t>V2Comp</t>
  </si>
  <si>
    <t>V2Coll</t>
  </si>
  <si>
    <t>Test A_DetermainPolicyPremium A_DetermainPolicyPremiumTest</t>
  </si>
  <si>
    <t>policy</t>
  </si>
  <si>
    <t>Policy</t>
  </si>
  <si>
    <t>_res_</t>
  </si>
  <si>
    <t>Result</t>
  </si>
  <si>
    <t>&gt;policyData</t>
  </si>
  <si>
    <t>=round( $VehicleTypeFactor* $VehicleAgeFactor* $MileageFactor ,4)</t>
  </si>
  <si>
    <t>TotalVehiclesPremium</t>
  </si>
  <si>
    <t>= round($TotalVehiclesPremium - ($TotalVehiclesPremium* $TotalPolicyDiscounts))</t>
  </si>
  <si>
    <t>=round($All CoveragesPremium - ($All CoveragesPremium*$MaxVehicleDiscount))</t>
  </si>
  <si>
    <t>Runs all vehicles</t>
  </si>
  <si>
    <t>Sum all vehicles premiums</t>
  </si>
  <si>
    <t>Find how many vehicles exixt in policy</t>
  </si>
  <si>
    <t>Find multi policy discount</t>
  </si>
  <si>
    <t>Find policy source discount</t>
  </si>
  <si>
    <t>Sum all policy discounts</t>
  </si>
  <si>
    <t>Total policy premium</t>
  </si>
  <si>
    <t>Find Vehicle type factor</t>
  </si>
  <si>
    <t>Find Vehicle age factor</t>
  </si>
  <si>
    <t>Find mileage factor</t>
  </si>
  <si>
    <t>Run vehicle-coverages premium calculation</t>
  </si>
  <si>
    <t>Sum all vehicle-coverages premiums</t>
  </si>
  <si>
    <t>Find airbag type discount</t>
  </si>
  <si>
    <t>Find automatic belts type discount</t>
  </si>
  <si>
    <t>Calculate max discount</t>
  </si>
  <si>
    <t>update vehicle premium on vehicle data model</t>
  </si>
  <si>
    <t>Rules DoubleValue  VehicleAgeFactor (Integer modelYear, Date effectiveDate)</t>
  </si>
  <si>
    <t>year(effectivedate) - modelYear</t>
  </si>
  <si>
    <t>=(1 +  0.05 * (year(effectivedate) - modelYear))</t>
  </si>
  <si>
    <t>modelYear</t>
  </si>
  <si>
    <t>=VehicleAgeFactor (modelYear,effectiveDate)</t>
  </si>
  <si>
    <t>SimpleRules  DoubleValue  MultiPolDiscount  (PolicyType policyType)</t>
  </si>
  <si>
    <t>coverage limit is a string due to BI limit format</t>
  </si>
  <si>
    <t>SimpleRules DoubleValue AutomaticBeltsDiscount( Boolean automaticBelts)</t>
  </si>
  <si>
    <t>SimpleRules DoubleValue AirbagDiscount ( String airbagType)</t>
  </si>
  <si>
    <t>Test AirbagDiscount AirbagDiscountTest</t>
  </si>
  <si>
    <t>Airbagtype</t>
  </si>
  <si>
    <t>Test AutomaticBeltsDiscount AutomaticBeltsDiscountTest</t>
  </si>
  <si>
    <t>Automaticbelts</t>
  </si>
  <si>
    <t>Runninglights</t>
  </si>
  <si>
    <t>covLimit</t>
  </si>
  <si>
    <t>Covlimit</t>
  </si>
  <si>
    <t>Covded</t>
  </si>
  <si>
    <t>Test MileageFactor MileageFactorTest</t>
  </si>
  <si>
    <t>Vehiclemileage</t>
  </si>
  <si>
    <t>Test MultiPolDiscount MultiPolDiscountTest</t>
  </si>
  <si>
    <t>Policytype</t>
  </si>
  <si>
    <t>Test MultiVehiclesDiscount MultiVehiclesDiscountTest</t>
  </si>
  <si>
    <t>nrofVeh</t>
  </si>
  <si>
    <t>Nrofveh</t>
  </si>
  <si>
    <t xml:space="preserve">Clent does not need  a decimal point accuracy.
</t>
  </si>
  <si>
    <t>7</t>
  </si>
  <si>
    <t>Test VehicleAgeFactor VehicleAgeFactorTest</t>
  </si>
  <si>
    <t>Modelyear</t>
  </si>
  <si>
    <t>Effectivedate</t>
  </si>
  <si>
    <t>Test VehicleTypeFactor VehicleTypeFactorTest</t>
  </si>
  <si>
    <t>Vehicletype</t>
  </si>
  <si>
    <t>vehicle</t>
  </si>
  <si>
    <t>Vehicle</t>
  </si>
  <si>
    <t>V1.Premium</t>
  </si>
  <si>
    <t xml:space="preserve"> V1 </t>
  </si>
  <si>
    <t>Formula</t>
  </si>
  <si>
    <t>=sum($Formula$VehiclePremium($VehiclePremium))</t>
  </si>
  <si>
    <t>_res_.$Formula$All CoveragesPremium</t>
  </si>
  <si>
    <t xml:space="preserve">_res_.$Formula$AutomaticBeltsDiscount </t>
  </si>
  <si>
    <t>_res_.$Formula$MaxVehicleDiscount</t>
  </si>
  <si>
    <t xml:space="preserve">_res_.$Formula$VehiclePremium </t>
  </si>
  <si>
    <t xml:space="preserve">_res_.$Formula$AirBagDiscount </t>
  </si>
  <si>
    <t>coverage</t>
  </si>
  <si>
    <t>Coverage</t>
  </si>
  <si>
    <t>coverageFactor</t>
  </si>
  <si>
    <t>Coveragefactor</t>
  </si>
  <si>
    <t>RunningLightsSurcharge</t>
  </si>
  <si>
    <t>_res_.$Formula$RunningLightsSurcharge</t>
  </si>
  <si>
    <t>SimpleRules DoubleValue RunningLightsSurcharge (Boolean runningLights)</t>
  </si>
  <si>
    <t>= RunningLightsSurcharge(runningLights)</t>
  </si>
  <si>
    <t>Test RunningLightsSurcharge RunningLightsSurchargeTest</t>
  </si>
  <si>
    <t>Find  running lights type surcharge</t>
  </si>
  <si>
    <t>Calculate vehicle premium
 (all coverages premium - discounts)</t>
  </si>
  <si>
    <t>=AirbagDiscount (airbagType)</t>
  </si>
  <si>
    <t>V1,V2</t>
  </si>
  <si>
    <t>_res_.$Formula$TotalVehiclesPremium</t>
  </si>
  <si>
    <t>_res_.$Formula$PolicySourceDiscount</t>
  </si>
  <si>
    <t>_res_.$Formula$MultiVehiclesDiscount</t>
  </si>
  <si>
    <t>V1 Premium</t>
  </si>
  <si>
    <t>V2 Premium</t>
  </si>
  <si>
    <t>Policy Source Discount</t>
  </si>
  <si>
    <t xml:space="preserve"> Total Policy Discount</t>
  </si>
  <si>
    <t>_res_.$Formula$TotalPolicyDiscounts</t>
  </si>
  <si>
    <t>Total Vehicles Premium</t>
  </si>
  <si>
    <t>ListOfVehiclesPremium</t>
  </si>
  <si>
    <t>_res_.$Formula$ListOfVehiclesPremium[0]</t>
  </si>
  <si>
    <t>_res_.$Formula$ListOfVehiclesPremium[1]</t>
  </si>
  <si>
    <t>=$Formula$VehiclePremium($VehiclePremium)</t>
  </si>
  <si>
    <t>_res_.$Formula$MultiPoliciesDiscount</t>
  </si>
  <si>
    <t xml:space="preserve">P2 </t>
  </si>
  <si>
    <t>Test CoverageHandling CoverageHandlingTest</t>
  </si>
  <si>
    <t xml:space="preserve">&gt;coveragesData </t>
  </si>
  <si>
    <t>_res_.$Formula$CoverageFactor</t>
  </si>
  <si>
    <t>Coverage Factor</t>
  </si>
  <si>
    <t>Multi Vehicles Discount</t>
  </si>
  <si>
    <t>Multi Policies Discount</t>
  </si>
  <si>
    <t>_res_.$Formula$TotalPolicyPremium</t>
  </si>
  <si>
    <t>Total Policy Premium</t>
  </si>
  <si>
    <t>BasePremium</t>
  </si>
  <si>
    <t>Update</t>
  </si>
  <si>
    <t>=coverage.covPrem=$CoveragePremium</t>
  </si>
  <si>
    <t>Rules DoubleValue CoverageBasePrem (Coverage coverage)</t>
  </si>
  <si>
    <t xml:space="preserve"> Spreadsheet SpreadsheetResult CoverageHandling (Coverage coverage, DoubleValue coverageFactor)</t>
  </si>
  <si>
    <t>= round($BasePremium*coverageFactor)</t>
  </si>
  <si>
    <t>=CoverageBasePrem (coverage)</t>
  </si>
  <si>
    <t>CoveragesPremium</t>
  </si>
  <si>
    <t>=sum($formula$CoveragePremium($CoveragesPremium))</t>
  </si>
  <si>
    <t>_res_.$Formula$CoveragePremium</t>
  </si>
  <si>
    <t>Coverage Premium</t>
  </si>
  <si>
    <t xml:space="preserve">AirBag Discount </t>
  </si>
  <si>
    <t xml:space="preserve">AutomaticBelts Discount </t>
  </si>
  <si>
    <t>Policy Source</t>
  </si>
  <si>
    <t>Policy Type</t>
  </si>
  <si>
    <t>Effective Date</t>
  </si>
  <si>
    <t>Expiration Date</t>
  </si>
  <si>
    <t>Vehicle Type</t>
  </si>
  <si>
    <t>Model Year</t>
  </si>
  <si>
    <t>Vehicle Mileage</t>
  </si>
  <si>
    <t>Automatic Belts</t>
  </si>
  <si>
    <t>Running Lights</t>
  </si>
  <si>
    <t>Running Lights Surcharge</t>
  </si>
  <si>
    <t>Spreadsheet SpreadsheetResult  B_DetermainVehiclePremium (Vehicle vehicle, Date effectiveDate)</t>
  </si>
  <si>
    <t>Test B_DetermainVehiclePremium  B_DetermainVehiclePremiumTest</t>
  </si>
  <si>
    <t>= B_DetermainVehiclePremium (vehicles,effectiveDate)</t>
  </si>
  <si>
    <t>Calculate base premium
 Including limit/deductible
 factor</t>
  </si>
  <si>
    <t>multiply factos above to be use as part of 
coverage premium</t>
  </si>
  <si>
    <t>Not required for rating,to be used in testing table
 to show premium by vehicle</t>
  </si>
  <si>
    <t>Test  MDLimitFactor  MDLimitFactorTest</t>
  </si>
  <si>
    <t xml:space="preserve"> SimpleRules DoubleValue MDLimitFactor (String covLimit)</t>
  </si>
  <si>
    <t xml:space="preserve"> SimpleRules DoubleValue PDLimitFactor (String covLimit)</t>
  </si>
  <si>
    <t xml:space="preserve"> SimpleRules DoubleValue BILimitFactor (String covLimit )</t>
  </si>
  <si>
    <t>Test BILimitFactor BILimitFactorTest</t>
  </si>
  <si>
    <t>Test PDLimitFactor  PDLimitFactorTest</t>
  </si>
  <si>
    <t>Base</t>
  </si>
  <si>
    <t xml:space="preserve">=BILimitFactor (covLimit ) </t>
  </si>
  <si>
    <t xml:space="preserve">=PDLimitFactor(covLimit ) </t>
  </si>
  <si>
    <t xml:space="preserve">=MDLimitFactor (covLimit ) </t>
  </si>
  <si>
    <t>DoubleValue base</t>
  </si>
  <si>
    <t>DoubleValue factor</t>
  </si>
  <si>
    <t>base*factor</t>
  </si>
  <si>
    <t xml:space="preserve">SimpleRules DoubleValue DeductibleFactor( DoubleValue covDed)
</t>
  </si>
  <si>
    <t>Test  DeductibleFactor  DeductibleFactorTest</t>
  </si>
  <si>
    <t xml:space="preserve">=DeductibleFactor(covDed) </t>
  </si>
  <si>
    <t>Properties props</t>
  </si>
  <si>
    <t>scope</t>
  </si>
  <si>
    <t>Module</t>
  </si>
  <si>
    <t>lob</t>
  </si>
  <si>
    <t>home</t>
  </si>
  <si>
    <t xml:space="preserve">=min(20%,$AirBagDiscount + $AutomaticBeltsDiscount - $RunningLightsSurcharge) </t>
  </si>
  <si>
    <t>Spreadsheet SpreadsheetResult testNullSafety (SpreadsheetResult spr1, SpreadsheetResultB_DetermainVehiclePremium spr2)</t>
  </si>
  <si>
    <t>s1</t>
  </si>
  <si>
    <t>s2</t>
  </si>
  <si>
    <t>= spr2.$Formula$VehiclePremium</t>
  </si>
  <si>
    <t>value2</t>
  </si>
  <si>
    <t>value1</t>
  </si>
  <si>
    <t>= $Formula$VehiclePremium(spr1)</t>
  </si>
  <si>
    <t>= $Formula$VehiclePremium(spr2)</t>
  </si>
  <si>
    <t>= spr1.$Formula$VehiclePremium = 2</t>
  </si>
  <si>
    <t>s3</t>
  </si>
  <si>
    <t>= (Double)null * 2.0</t>
  </si>
  <si>
    <t>= (DoubleValue)null *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</si>
</sst>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[$-409]d\-mmm\-yyyy;@"/>
    <numFmt numFmtId="166" formatCode="_([$$-409]* #,##0.00_);_([$$-409]* \(#,##0.00\);_([$$-409]* &quot;-&quot;??_);_(@_)"/>
    <numFmt numFmtId="167" formatCode="m/d/yyyy;@"/>
    <numFmt numFmtId="168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name val="Arial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b/>
      <sz val="13"/>
      <color indexed="56"/>
      <name val="Calibri"/>
      <family val="2"/>
      <charset val="186"/>
    </font>
    <font>
      <b/>
      <sz val="18"/>
      <name val="Calibri"/>
      <family val="2"/>
      <scheme val="minor"/>
    </font>
    <font>
      <b/>
      <i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i/>
      <sz val="12"/>
      <color theme="1"/>
      <name val="Calibri"/>
      <family val="2"/>
      <scheme val="minor"/>
    </font>
    <font>
      <b/>
      <sz val="9"/>
      <color indexed="60"/>
      <name val="Arial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7" applyNumberFormat="0" applyFill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426">
    <xf numFmtId="0" fontId="0" fillId="0" borderId="0" xfId="0"/>
    <xf numFmtId="0" fontId="3" fillId="0" borderId="0" xfId="2"/>
    <xf numFmtId="0" fontId="4" fillId="0" borderId="0" xfId="2" applyFont="1" applyAlignment="1">
      <alignment horizontal="right"/>
    </xf>
    <xf numFmtId="0" fontId="3" fillId="0" borderId="0" xfId="2" applyAlignment="1">
      <alignment horizontal="right"/>
    </xf>
    <xf numFmtId="0" fontId="6" fillId="0" borderId="3" xfId="2" applyFont="1" applyBorder="1" applyAlignment="1">
      <alignment vertical="center"/>
    </xf>
    <xf numFmtId="0" fontId="5" fillId="0" borderId="3" xfId="2" applyFont="1" applyBorder="1" applyAlignment="1">
      <alignment vertical="center"/>
    </xf>
    <xf numFmtId="0" fontId="5" fillId="0" borderId="4" xfId="2" applyFont="1" applyBorder="1" applyAlignment="1">
      <alignment horizontal="right" vertical="center"/>
    </xf>
    <xf numFmtId="0" fontId="5" fillId="3" borderId="3" xfId="2" applyFont="1" applyFill="1" applyBorder="1" applyAlignment="1">
      <alignment vertical="center"/>
    </xf>
    <xf numFmtId="0" fontId="5" fillId="4" borderId="3" xfId="2" applyFont="1" applyFill="1" applyBorder="1" applyAlignment="1">
      <alignment vertical="center"/>
    </xf>
    <xf numFmtId="0" fontId="11" fillId="0" borderId="0" xfId="1" applyFont="1" applyFill="1" applyBorder="1" applyAlignment="1" applyProtection="1">
      <alignment horizontal="center"/>
    </xf>
    <xf numFmtId="0" fontId="12" fillId="0" borderId="3" xfId="2" applyFont="1" applyBorder="1" applyAlignment="1">
      <alignment vertical="center"/>
    </xf>
    <xf numFmtId="0" fontId="11" fillId="0" borderId="0" xfId="1" applyFont="1" applyFill="1" applyBorder="1" applyAlignment="1" applyProtection="1">
      <alignment horizontal="left"/>
    </xf>
    <xf numFmtId="0" fontId="0" fillId="0" borderId="0" xfId="9" applyFont="1" applyAlignment="1">
      <alignment horizontal="center"/>
    </xf>
    <xf numFmtId="0" fontId="6" fillId="0" borderId="0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4" fillId="4" borderId="3" xfId="2" applyFont="1" applyFill="1" applyBorder="1" applyAlignment="1">
      <alignment vertical="center"/>
    </xf>
    <xf numFmtId="0" fontId="4" fillId="0" borderId="0" xfId="2" applyFont="1" applyFill="1" applyBorder="1" applyAlignment="1">
      <alignment vertical="center"/>
    </xf>
    <xf numFmtId="0" fontId="5" fillId="0" borderId="0" xfId="2" applyFont="1" applyBorder="1" applyAlignment="1">
      <alignment horizontal="right" vertical="center"/>
    </xf>
    <xf numFmtId="0" fontId="6" fillId="0" borderId="8" xfId="2" quotePrefix="1" applyFont="1" applyBorder="1" applyAlignment="1">
      <alignment vertical="center"/>
    </xf>
    <xf numFmtId="0" fontId="6" fillId="8" borderId="0" xfId="2" applyFont="1" applyFill="1" applyBorder="1"/>
    <xf numFmtId="0" fontId="3" fillId="0" borderId="0" xfId="2" applyFill="1"/>
    <xf numFmtId="0" fontId="6" fillId="0" borderId="0" xfId="2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0" fontId="7" fillId="0" borderId="0" xfId="2" applyFont="1" applyFill="1" applyBorder="1" applyAlignment="1">
      <alignment vertical="center"/>
    </xf>
    <xf numFmtId="0" fontId="6" fillId="0" borderId="0" xfId="2" applyFont="1" applyFill="1" applyBorder="1"/>
    <xf numFmtId="0" fontId="5" fillId="2" borderId="10" xfId="2" applyFont="1" applyFill="1" applyBorder="1" applyAlignment="1"/>
    <xf numFmtId="0" fontId="5" fillId="2" borderId="11" xfId="2" applyFont="1" applyFill="1" applyBorder="1" applyAlignment="1"/>
    <xf numFmtId="0" fontId="6" fillId="2" borderId="11" xfId="2" applyFont="1" applyFill="1" applyBorder="1"/>
    <xf numFmtId="0" fontId="5" fillId="6" borderId="9" xfId="2" applyFont="1" applyFill="1" applyBorder="1" applyAlignment="1"/>
    <xf numFmtId="0" fontId="5" fillId="6" borderId="12" xfId="2" applyFont="1" applyFill="1" applyBorder="1" applyAlignment="1"/>
    <xf numFmtId="0" fontId="16" fillId="0" borderId="3" xfId="2" applyFont="1" applyBorder="1" applyAlignment="1">
      <alignment vertical="center" wrapText="1"/>
    </xf>
    <xf numFmtId="0" fontId="5" fillId="10" borderId="2" xfId="2" applyFont="1" applyFill="1" applyBorder="1" applyAlignment="1"/>
    <xf numFmtId="0" fontId="6" fillId="5" borderId="8" xfId="2" applyFont="1" applyFill="1" applyBorder="1" applyAlignment="1">
      <alignment vertical="center"/>
    </xf>
    <xf numFmtId="0" fontId="7" fillId="11" borderId="3" xfId="2" applyFont="1" applyFill="1" applyBorder="1" applyAlignment="1">
      <alignment vertical="center"/>
    </xf>
    <xf numFmtId="0" fontId="17" fillId="10" borderId="1" xfId="2" applyFont="1" applyFill="1" applyBorder="1" applyAlignment="1"/>
    <xf numFmtId="0" fontId="6" fillId="10" borderId="2" xfId="2" applyFont="1" applyFill="1" applyBorder="1"/>
    <xf numFmtId="0" fontId="16" fillId="0" borderId="3" xfId="2" applyFont="1" applyBorder="1" applyAlignment="1">
      <alignment vertical="center"/>
    </xf>
    <xf numFmtId="9" fontId="0" fillId="0" borderId="0" xfId="9" applyNumberFormat="1" applyFont="1"/>
    <xf numFmtId="0" fontId="5" fillId="5" borderId="3" xfId="2" applyFont="1" applyFill="1" applyBorder="1" applyAlignment="1">
      <alignment vertical="center"/>
    </xf>
    <xf numFmtId="0" fontId="17" fillId="0" borderId="3" xfId="2" applyFont="1" applyBorder="1" applyAlignment="1">
      <alignment vertical="center" wrapText="1"/>
    </xf>
    <xf numFmtId="0" fontId="16" fillId="0" borderId="0" xfId="2" applyFont="1" applyBorder="1" applyAlignment="1">
      <alignment vertical="center"/>
    </xf>
    <xf numFmtId="0" fontId="6" fillId="5" borderId="8" xfId="2" quotePrefix="1" applyFont="1" applyFill="1" applyBorder="1" applyAlignment="1">
      <alignment vertical="center"/>
    </xf>
    <xf numFmtId="0" fontId="6" fillId="0" borderId="4" xfId="2" applyFont="1" applyBorder="1" applyAlignment="1">
      <alignment horizontal="right" vertical="center"/>
    </xf>
    <xf numFmtId="0" fontId="18" fillId="0" borderId="0" xfId="9" quotePrefix="1" applyFont="1"/>
    <xf numFmtId="0" fontId="7" fillId="9" borderId="3" xfId="2" applyFont="1" applyFill="1" applyBorder="1" applyAlignment="1">
      <alignment vertical="center"/>
    </xf>
    <xf numFmtId="0" fontId="0" fillId="0" borderId="0" xfId="9" applyFont="1"/>
    <xf numFmtId="0" fontId="15" fillId="5" borderId="13" xfId="2" applyFont="1" applyFill="1" applyBorder="1"/>
    <xf numFmtId="0" fontId="16" fillId="0" borderId="0" xfId="2" applyFont="1" applyBorder="1" applyAlignment="1">
      <alignment horizontal="right" vertical="center"/>
    </xf>
    <xf numFmtId="0" fontId="15" fillId="5" borderId="3" xfId="2" applyFont="1" applyFill="1" applyBorder="1" applyAlignment="1"/>
    <xf numFmtId="0" fontId="16" fillId="0" borderId="4" xfId="2" applyFont="1" applyBorder="1" applyAlignment="1">
      <alignment horizontal="right" vertical="center"/>
    </xf>
    <xf numFmtId="0" fontId="13" fillId="0" borderId="0" xfId="9" applyFont="1" applyFill="1"/>
    <xf numFmtId="0" fontId="0" fillId="0" borderId="0" xfId="9" applyFont="1" applyFill="1"/>
    <xf numFmtId="0" fontId="5" fillId="12" borderId="9" xfId="2" applyFont="1" applyFill="1" applyBorder="1" applyAlignment="1"/>
    <xf numFmtId="0" fontId="5" fillId="12" borderId="12" xfId="2" applyFont="1" applyFill="1" applyBorder="1" applyAlignment="1"/>
    <xf numFmtId="0" fontId="6" fillId="12" borderId="12" xfId="2" applyFont="1" applyFill="1" applyBorder="1"/>
    <xf numFmtId="165" fontId="10" fillId="0" borderId="0" xfId="5" applyNumberFormat="1" applyFont="1" applyBorder="1"/>
    <xf numFmtId="165" fontId="9" fillId="0" borderId="0" xfId="6" applyNumberFormat="1"/>
    <xf numFmtId="167" fontId="19" fillId="5" borderId="0" xfId="6" applyNumberFormat="1" applyFont="1" applyFill="1" applyBorder="1" applyAlignment="1">
      <alignment horizontal="left"/>
    </xf>
    <xf numFmtId="165" fontId="19" fillId="5" borderId="0" xfId="6" applyNumberFormat="1" applyFont="1" applyFill="1" applyBorder="1" applyAlignment="1">
      <alignment horizontal="left"/>
    </xf>
    <xf numFmtId="165" fontId="6" fillId="0" borderId="0" xfId="6" applyNumberFormat="1" applyFont="1" applyBorder="1" applyAlignment="1">
      <alignment wrapText="1"/>
    </xf>
    <xf numFmtId="0" fontId="6" fillId="0" borderId="0" xfId="2" applyFont="1" applyBorder="1" applyAlignment="1">
      <alignment horizontal="center" vertical="center"/>
    </xf>
    <xf numFmtId="0" fontId="0" fillId="0" borderId="0" xfId="9" applyFont="1" applyBorder="1"/>
    <xf numFmtId="0" fontId="0" fillId="0" borderId="0" xfId="9" applyFont="1" applyBorder="1" applyAlignment="1">
      <alignment horizontal="center" vertical="center"/>
    </xf>
    <xf numFmtId="0" fontId="11" fillId="0" borderId="0" xfId="1" applyFont="1" applyFill="1" applyBorder="1" applyAlignment="1" applyProtection="1">
      <alignment horizontal="left"/>
    </xf>
    <xf numFmtId="9" fontId="0" fillId="0" borderId="0" xfId="4" applyFont="1" applyBorder="1" applyAlignment="1">
      <alignment horizontal="center" vertical="center"/>
    </xf>
    <xf numFmtId="49" fontId="0" fillId="0" borderId="0" xfId="3" applyNumberFormat="1" applyFont="1" applyBorder="1" applyAlignment="1">
      <alignment horizontal="center" vertical="center"/>
    </xf>
    <xf numFmtId="9" fontId="0" fillId="0" borderId="0" xfId="9" applyNumberFormat="1" applyFont="1" applyBorder="1"/>
    <xf numFmtId="49" fontId="3" fillId="0" borderId="0" xfId="2" applyNumberFormat="1" applyAlignment="1">
      <alignment vertical="top" wrapText="1"/>
    </xf>
    <xf numFmtId="0" fontId="5" fillId="4" borderId="3" xfId="2" applyFont="1" applyFill="1" applyBorder="1" applyAlignment="1">
      <alignment horizontal="left" vertical="center" wrapText="1"/>
    </xf>
    <xf numFmtId="0" fontId="4" fillId="9" borderId="3" xfId="2" applyFont="1" applyFill="1" applyBorder="1" applyAlignment="1">
      <alignment horizontal="left" vertical="center" wrapText="1"/>
    </xf>
    <xf numFmtId="0" fontId="17" fillId="11" borderId="3" xfId="2" applyFont="1" applyFill="1" applyBorder="1" applyAlignment="1">
      <alignment horizontal="left" vertical="center" wrapText="1"/>
    </xf>
    <xf numFmtId="0" fontId="4" fillId="3" borderId="3" xfId="2" applyFont="1" applyFill="1" applyBorder="1" applyAlignment="1">
      <alignment horizontal="left" vertical="center" wrapText="1"/>
    </xf>
    <xf numFmtId="0" fontId="5" fillId="10" borderId="12" xfId="2" applyFont="1" applyFill="1" applyBorder="1" applyAlignment="1"/>
    <xf numFmtId="0" fontId="0" fillId="0" borderId="0" xfId="9" applyFont="1" applyFill="1" applyBorder="1"/>
    <xf numFmtId="49" fontId="0" fillId="13" borderId="18" xfId="9" applyNumberFormat="1" applyFont="1" applyFill="1" applyBorder="1" applyAlignment="1">
      <alignment vertical="top" wrapText="1"/>
    </xf>
    <xf numFmtId="0" fontId="0" fillId="0" borderId="19" xfId="3" applyNumberFormat="1" applyFont="1" applyBorder="1" applyAlignment="1">
      <alignment horizontal="left" vertical="center"/>
    </xf>
    <xf numFmtId="49" fontId="0" fillId="0" borderId="19" xfId="3" applyNumberFormat="1" applyFont="1" applyBorder="1" applyAlignment="1">
      <alignment horizontal="left" vertical="center"/>
    </xf>
    <xf numFmtId="49" fontId="0" fillId="0" borderId="20" xfId="3" applyNumberFormat="1" applyFont="1" applyBorder="1" applyAlignment="1">
      <alignment horizontal="left" vertical="center"/>
    </xf>
    <xf numFmtId="0" fontId="0" fillId="0" borderId="19" xfId="9" applyFont="1" applyBorder="1"/>
    <xf numFmtId="0" fontId="0" fillId="0" borderId="20" xfId="9" applyFont="1" applyBorder="1"/>
    <xf numFmtId="9" fontId="0" fillId="0" borderId="19" xfId="9" applyNumberFormat="1" applyFont="1" applyBorder="1"/>
    <xf numFmtId="9" fontId="0" fillId="0" borderId="20" xfId="9" applyNumberFormat="1" applyFont="1" applyBorder="1"/>
    <xf numFmtId="0" fontId="0" fillId="0" borderId="16" xfId="9" applyFont="1" applyBorder="1"/>
    <xf numFmtId="0" fontId="0" fillId="0" borderId="17" xfId="9" applyFont="1" applyBorder="1"/>
    <xf numFmtId="0" fontId="0" fillId="0" borderId="4" xfId="9" applyFont="1" applyBorder="1"/>
    <xf numFmtId="0" fontId="0" fillId="0" borderId="21" xfId="9" applyFont="1" applyBorder="1"/>
    <xf numFmtId="49" fontId="3" fillId="0" borderId="0" xfId="2" applyNumberFormat="1" applyFill="1" applyBorder="1" applyAlignment="1">
      <alignment vertical="top" wrapText="1"/>
    </xf>
    <xf numFmtId="49" fontId="0" fillId="0" borderId="0" xfId="9" applyNumberFormat="1" applyFont="1" applyFill="1" applyBorder="1" applyAlignment="1">
      <alignment vertical="top" wrapText="1"/>
    </xf>
    <xf numFmtId="0" fontId="14" fillId="0" borderId="19" xfId="9" applyFont="1" applyBorder="1"/>
    <xf numFmtId="0" fontId="14" fillId="0" borderId="20" xfId="9" applyFont="1" applyBorder="1"/>
    <xf numFmtId="0" fontId="0" fillId="0" borderId="3" xfId="9" applyFont="1" applyBorder="1"/>
    <xf numFmtId="0" fontId="14" fillId="0" borderId="17" xfId="9" applyFont="1" applyBorder="1"/>
    <xf numFmtId="14" fontId="0" fillId="0" borderId="17" xfId="9" applyNumberFormat="1" applyFont="1" applyBorder="1"/>
    <xf numFmtId="0" fontId="0" fillId="0" borderId="3" xfId="9" applyFont="1" applyFill="1" applyBorder="1"/>
    <xf numFmtId="49" fontId="0" fillId="0" borderId="0" xfId="3" applyNumberFormat="1" applyFont="1" applyBorder="1" applyAlignment="1">
      <alignment horizontal="left" vertical="center"/>
    </xf>
    <xf numFmtId="0" fontId="16" fillId="0" borderId="14" xfId="2" applyFont="1" applyBorder="1" applyAlignment="1">
      <alignment horizontal="center"/>
    </xf>
    <xf numFmtId="0" fontId="3" fillId="0" borderId="3" xfId="2" applyBorder="1" applyAlignment="1">
      <alignment horizontal="left"/>
    </xf>
    <xf numFmtId="49" fontId="0" fillId="13" borderId="8" xfId="9" applyNumberFormat="1" applyFont="1" applyFill="1" applyBorder="1" applyAlignment="1">
      <alignment vertical="top" wrapText="1"/>
    </xf>
    <xf numFmtId="0" fontId="3" fillId="0" borderId="0" xfId="2" applyAlignment="1">
      <alignment horizontal="left"/>
    </xf>
    <xf numFmtId="0" fontId="0" fillId="0" borderId="14" xfId="9" applyFont="1" applyBorder="1"/>
    <xf numFmtId="0" fontId="13" fillId="7" borderId="16" xfId="1" applyFont="1" applyFill="1" applyBorder="1" applyAlignment="1" applyProtection="1">
      <alignment horizontal="center"/>
    </xf>
    <xf numFmtId="166" fontId="0" fillId="0" borderId="16" xfId="3" applyNumberFormat="1" applyFont="1" applyBorder="1"/>
    <xf numFmtId="166" fontId="0" fillId="0" borderId="4" xfId="3" applyNumberFormat="1" applyFont="1" applyBorder="1"/>
    <xf numFmtId="49" fontId="0" fillId="0" borderId="4" xfId="3" applyNumberFormat="1" applyFont="1" applyFill="1" applyBorder="1" applyAlignment="1">
      <alignment horizontal="center" vertical="center"/>
    </xf>
    <xf numFmtId="0" fontId="0" fillId="0" borderId="16" xfId="3" applyNumberFormat="1" applyFont="1" applyBorder="1" applyAlignment="1">
      <alignment horizontal="center" vertical="center"/>
    </xf>
    <xf numFmtId="49" fontId="0" fillId="0" borderId="4" xfId="3" applyNumberFormat="1" applyFont="1" applyBorder="1" applyAlignment="1">
      <alignment horizontal="center" vertical="center"/>
    </xf>
    <xf numFmtId="9" fontId="0" fillId="0" borderId="4" xfId="9" applyNumberFormat="1" applyFont="1" applyBorder="1"/>
    <xf numFmtId="0" fontId="14" fillId="0" borderId="4" xfId="9" applyFont="1" applyBorder="1"/>
    <xf numFmtId="0" fontId="1" fillId="0" borderId="16" xfId="7" applyBorder="1" applyAlignment="1">
      <alignment horizontal="center" vertical="center"/>
    </xf>
    <xf numFmtId="49" fontId="1" fillId="0" borderId="16" xfId="7" applyNumberFormat="1" applyBorder="1" applyAlignment="1">
      <alignment horizontal="center" vertical="center"/>
    </xf>
    <xf numFmtId="49" fontId="1" fillId="0" borderId="4" xfId="7" applyNumberFormat="1" applyBorder="1" applyAlignment="1">
      <alignment horizontal="center" vertical="center"/>
    </xf>
    <xf numFmtId="0" fontId="0" fillId="0" borderId="17" xfId="9" applyFont="1" applyBorder="1" applyAlignment="1"/>
    <xf numFmtId="0" fontId="6" fillId="0" borderId="4" xfId="2" applyFont="1" applyBorder="1" applyAlignment="1">
      <alignment horizontal="center" vertical="center"/>
    </xf>
    <xf numFmtId="0" fontId="0" fillId="0" borderId="15" xfId="9" applyFont="1" applyBorder="1"/>
    <xf numFmtId="0" fontId="0" fillId="8" borderId="14" xfId="9" applyFont="1" applyFill="1" applyBorder="1"/>
    <xf numFmtId="0" fontId="0" fillId="0" borderId="18" xfId="9" applyFont="1" applyBorder="1"/>
    <xf numFmtId="49" fontId="0" fillId="0" borderId="17" xfId="9" applyNumberFormat="1" applyFont="1" applyBorder="1" applyAlignment="1"/>
    <xf numFmtId="0" fontId="0" fillId="0" borderId="4" xfId="9" applyFont="1" applyFill="1" applyBorder="1"/>
    <xf numFmtId="0" fontId="4" fillId="3" borderId="5" xfId="2" applyFont="1" applyFill="1" applyBorder="1" applyAlignment="1">
      <alignment horizontal="left" vertical="center" wrapText="1"/>
    </xf>
    <xf numFmtId="0" fontId="4" fillId="3" borderId="6" xfId="2" applyFont="1" applyFill="1" applyBorder="1" applyAlignment="1">
      <alignment horizontal="left" vertical="center" wrapText="1"/>
    </xf>
    <xf numFmtId="0" fontId="5" fillId="4" borderId="5" xfId="2" applyFont="1" applyFill="1" applyBorder="1" applyAlignment="1">
      <alignment horizontal="left" vertical="center" wrapText="1"/>
    </xf>
    <xf numFmtId="0" fontId="5" fillId="4" borderId="6" xfId="2" applyFont="1" applyFill="1" applyBorder="1" applyAlignment="1">
      <alignment horizontal="left" vertical="center" wrapText="1"/>
    </xf>
    <xf numFmtId="0" fontId="4" fillId="9" borderId="5" xfId="2" applyFont="1" applyFill="1" applyBorder="1" applyAlignment="1">
      <alignment horizontal="left" vertical="center" wrapText="1"/>
    </xf>
    <xf numFmtId="0" fontId="4" fillId="9" borderId="6" xfId="2" applyFont="1" applyFill="1" applyBorder="1" applyAlignment="1">
      <alignment horizontal="left" vertical="center" wrapText="1"/>
    </xf>
    <xf numFmtId="0" fontId="17" fillId="11" borderId="5" xfId="2" applyFont="1" applyFill="1" applyBorder="1" applyAlignment="1">
      <alignment horizontal="left" vertical="center" wrapText="1"/>
    </xf>
    <xf numFmtId="0" fontId="17" fillId="11" borderId="6" xfId="2" applyFont="1" applyFill="1" applyBorder="1" applyAlignment="1">
      <alignment horizontal="left" vertical="center" wrapText="1"/>
    </xf>
    <xf numFmtId="0" fontId="3" fillId="0" borderId="0" xfId="2" quotePrefix="1" applyAlignment="1">
      <alignment horizontal="left"/>
    </xf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26" xfId="9" applyFont="1" applyBorder="1"/>
    <xf numFmtId="0" fontId="0" fillId="0" borderId="27" xfId="9" applyFont="1" applyBorder="1"/>
    <xf numFmtId="0" fontId="0" fillId="0" borderId="0" xfId="9" applyFont="1"/>
    <xf numFmtId="0" fontId="0" fillId="0" borderId="0" xfId="9" applyFont="1"/>
    <xf numFmtId="0" fontId="0" fillId="0" borderId="30" xfId="9" applyFont="1" applyBorder="1"/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35" xfId="9" applyFont="1" applyBorder="1"/>
    <xf numFmtId="0" fontId="0" fillId="0" borderId="36" xfId="9" applyFont="1" applyBorder="1"/>
    <xf numFmtId="0" fontId="13" fillId="7" borderId="30" xfId="1" applyFont="1" applyFill="1" applyBorder="1" applyAlignment="1" applyProtection="1">
      <alignment horizontal="center" vertical="center"/>
    </xf>
    <xf numFmtId="0" fontId="0" fillId="0" borderId="30" xfId="3" applyNumberFormat="1" applyFont="1" applyBorder="1" applyAlignment="1">
      <alignment horizontal="center" vertical="center"/>
    </xf>
    <xf numFmtId="0" fontId="16" fillId="0" borderId="30" xfId="2" applyFont="1" applyBorder="1" applyAlignment="1">
      <alignment horizontal="center"/>
    </xf>
    <xf numFmtId="0" fontId="16" fillId="0" borderId="35" xfId="2" applyFont="1" applyBorder="1" applyAlignment="1">
      <alignment horizontal="center"/>
    </xf>
    <xf numFmtId="0" fontId="16" fillId="0" borderId="36" xfId="2" applyFont="1" applyBorder="1" applyAlignment="1">
      <alignment horizontal="center"/>
    </xf>
    <xf numFmtId="0" fontId="3" fillId="0" borderId="30" xfId="2" applyBorder="1" applyAlignment="1">
      <alignment horizontal="left"/>
    </xf>
    <xf numFmtId="0" fontId="3" fillId="0" borderId="35" xfId="2" applyBorder="1" applyAlignment="1">
      <alignment horizontal="left"/>
    </xf>
    <xf numFmtId="0" fontId="3" fillId="0" borderId="36" xfId="2" quotePrefix="1" applyBorder="1"/>
    <xf numFmtId="0" fontId="3" fillId="0" borderId="36" xfId="2" quotePrefix="1" applyBorder="1" applyAlignment="1">
      <alignment horizontal="left"/>
    </xf>
    <xf numFmtId="0" fontId="3" fillId="0" borderId="4" xfId="2" applyBorder="1" applyAlignment="1">
      <alignment horizontal="left"/>
    </xf>
    <xf numFmtId="0" fontId="3" fillId="0" borderId="37" xfId="2" quotePrefix="1" applyBorder="1" applyAlignment="1">
      <alignment horizontal="left"/>
    </xf>
    <xf numFmtId="9" fontId="0" fillId="0" borderId="30" xfId="9" applyNumberFormat="1" applyFont="1" applyBorder="1"/>
    <xf numFmtId="0" fontId="16" fillId="0" borderId="35" xfId="2" applyFont="1" applyBorder="1" applyAlignment="1">
      <alignment horizontal="left"/>
    </xf>
    <xf numFmtId="49" fontId="3" fillId="0" borderId="35" xfId="2" quotePrefix="1" applyNumberFormat="1" applyBorder="1" applyAlignment="1">
      <alignment horizontal="left" vertical="top"/>
    </xf>
    <xf numFmtId="49" fontId="3" fillId="0" borderId="36" xfId="2" quotePrefix="1" applyNumberFormat="1" applyBorder="1" applyAlignment="1">
      <alignment horizontal="left" vertical="top"/>
    </xf>
    <xf numFmtId="0" fontId="8" fillId="0" borderId="30" xfId="2" applyFont="1" applyBorder="1" applyAlignment="1">
      <alignment horizontal="left"/>
    </xf>
    <xf numFmtId="0" fontId="0" fillId="0" borderId="0" xfId="9" applyFont="1" applyBorder="1" applyAlignment="1">
      <alignment horizontal="left"/>
    </xf>
    <xf numFmtId="0" fontId="14" fillId="0" borderId="35" xfId="9" applyFont="1" applyBorder="1"/>
    <xf numFmtId="9" fontId="0" fillId="0" borderId="35" xfId="9" applyNumberFormat="1" applyFont="1" applyBorder="1"/>
    <xf numFmtId="0" fontId="0" fillId="0" borderId="37" xfId="9" applyFont="1" applyBorder="1"/>
    <xf numFmtId="0" fontId="0" fillId="0" borderId="36" xfId="9" applyFont="1" applyBorder="1"/>
    <xf numFmtId="9" fontId="0" fillId="0" borderId="17" xfId="9" applyNumberFormat="1" applyFont="1" applyBorder="1"/>
    <xf numFmtId="0" fontId="0" fillId="0" borderId="30" xfId="9" applyFont="1" applyBorder="1" applyAlignment="1">
      <alignment horizontal="center"/>
    </xf>
    <xf numFmtId="0" fontId="0" fillId="0" borderId="35" xfId="9" applyFont="1" applyBorder="1" applyAlignment="1">
      <alignment horizontal="center"/>
    </xf>
    <xf numFmtId="0" fontId="0" fillId="0" borderId="30" xfId="9" applyFont="1" applyBorder="1" applyAlignment="1">
      <alignment horizontal="left"/>
    </xf>
    <xf numFmtId="0" fontId="0" fillId="0" borderId="35" xfId="9" applyFont="1" applyBorder="1" applyAlignment="1">
      <alignment horizontal="left"/>
    </xf>
    <xf numFmtId="14" fontId="0" fillId="0" borderId="35" xfId="9" applyNumberFormat="1" applyFont="1" applyBorder="1"/>
    <xf numFmtId="14" fontId="0" fillId="0" borderId="3" xfId="9" applyNumberFormat="1" applyFont="1" applyBorder="1"/>
    <xf numFmtId="49" fontId="0" fillId="0" borderId="35" xfId="3" applyNumberFormat="1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0" fillId="0" borderId="30" xfId="9" applyFont="1" applyFill="1" applyBorder="1"/>
    <xf numFmtId="0" fontId="20" fillId="0" borderId="30" xfId="9" applyFont="1" applyBorder="1" applyAlignment="1">
      <alignment horizontal="left"/>
    </xf>
    <xf numFmtId="0" fontId="20" fillId="0" borderId="35" xfId="9" applyFont="1" applyBorder="1" applyAlignment="1">
      <alignment horizontal="left"/>
    </xf>
    <xf numFmtId="0" fontId="20" fillId="0" borderId="35" xfId="9" applyFont="1" applyBorder="1"/>
    <xf numFmtId="0" fontId="20" fillId="0" borderId="36" xfId="9" applyFont="1" applyBorder="1"/>
    <xf numFmtId="0" fontId="20" fillId="0" borderId="30" xfId="9" applyFont="1" applyBorder="1"/>
    <xf numFmtId="0" fontId="16" fillId="0" borderId="31" xfId="2" applyFont="1" applyBorder="1" applyAlignment="1">
      <alignment horizontal="center"/>
    </xf>
    <xf numFmtId="0" fontId="16" fillId="0" borderId="32" xfId="2" applyFont="1" applyBorder="1" applyAlignment="1">
      <alignment horizontal="center"/>
    </xf>
    <xf numFmtId="0" fontId="8" fillId="0" borderId="4" xfId="2" applyFont="1" applyBorder="1" applyAlignment="1">
      <alignment horizontal="left"/>
    </xf>
    <xf numFmtId="49" fontId="3" fillId="0" borderId="37" xfId="2" quotePrefix="1" applyNumberFormat="1" applyBorder="1" applyAlignment="1">
      <alignment horizontal="left" vertical="top"/>
    </xf>
    <xf numFmtId="0" fontId="3" fillId="0" borderId="35" xfId="2" quotePrefix="1" applyBorder="1" applyAlignment="1">
      <alignment horizontal="left"/>
    </xf>
    <xf numFmtId="0" fontId="3" fillId="0" borderId="3" xfId="2" quotePrefix="1" applyBorder="1" applyAlignment="1">
      <alignment horizontal="left"/>
    </xf>
    <xf numFmtId="0" fontId="3" fillId="0" borderId="35" xfId="2" quotePrefix="1" applyBorder="1" applyAlignment="1">
      <alignment horizontal="left" wrapText="1"/>
    </xf>
    <xf numFmtId="0" fontId="0" fillId="0" borderId="0" xfId="9" applyFont="1"/>
    <xf numFmtId="0" fontId="0" fillId="0" borderId="0" xfId="9" applyFont="1"/>
    <xf numFmtId="0" fontId="0" fillId="0" borderId="0" xfId="9" applyFont="1"/>
    <xf numFmtId="0" fontId="0" fillId="0" borderId="0" xfId="9" applyFont="1" applyAlignment="1">
      <alignment vertical="center"/>
    </xf>
    <xf numFmtId="49" fontId="0" fillId="0" borderId="30" xfId="3" applyNumberFormat="1" applyFont="1" applyBorder="1" applyAlignment="1">
      <alignment horizontal="center"/>
    </xf>
    <xf numFmtId="0" fontId="0" fillId="0" borderId="38" xfId="9" applyFont="1" applyBorder="1"/>
    <xf numFmtId="0" fontId="0" fillId="0" borderId="41" xfId="9" applyFont="1" applyBorder="1"/>
    <xf numFmtId="0" fontId="0" fillId="0" borderId="38" xfId="9" applyFont="1" applyBorder="1" applyAlignment="1"/>
    <xf numFmtId="0" fontId="0" fillId="0" borderId="44" xfId="9" applyFont="1" applyBorder="1"/>
    <xf numFmtId="0" fontId="0" fillId="0" borderId="45" xfId="9" applyFont="1" applyBorder="1"/>
    <xf numFmtId="0" fontId="0" fillId="0" borderId="30" xfId="3" applyNumberFormat="1" applyFont="1" applyFill="1" applyBorder="1" applyAlignment="1">
      <alignment horizontal="center" vertical="center"/>
    </xf>
    <xf numFmtId="10" fontId="0" fillId="0" borderId="41" xfId="4" applyNumberFormat="1" applyFont="1" applyBorder="1" applyAlignment="1">
      <alignment vertical="center"/>
    </xf>
    <xf numFmtId="10" fontId="0" fillId="0" borderId="39" xfId="4" applyNumberFormat="1" applyFont="1" applyBorder="1" applyAlignment="1">
      <alignment vertical="center"/>
    </xf>
    <xf numFmtId="0" fontId="0" fillId="0" borderId="30" xfId="9" applyFont="1" applyBorder="1" applyAlignment="1">
      <alignment horizontal="center"/>
    </xf>
    <xf numFmtId="0" fontId="0" fillId="0" borderId="39" xfId="9" applyFont="1" applyBorder="1"/>
    <xf numFmtId="0" fontId="0" fillId="0" borderId="46" xfId="9" applyFont="1" applyBorder="1"/>
    <xf numFmtId="0" fontId="0" fillId="0" borderId="47" xfId="9" applyFont="1" applyBorder="1"/>
    <xf numFmtId="2" fontId="6" fillId="0" borderId="38" xfId="2" applyNumberFormat="1" applyFont="1" applyBorder="1" applyAlignment="1">
      <alignment vertical="center"/>
    </xf>
    <xf numFmtId="2" fontId="6" fillId="0" borderId="41" xfId="2" applyNumberFormat="1" applyFont="1" applyBorder="1" applyAlignment="1">
      <alignment vertical="center"/>
    </xf>
    <xf numFmtId="2" fontId="6" fillId="0" borderId="39" xfId="2" applyNumberFormat="1" applyFont="1" applyBorder="1" applyAlignment="1">
      <alignment vertical="center"/>
    </xf>
    <xf numFmtId="2" fontId="0" fillId="0" borderId="38" xfId="3" applyNumberFormat="1" applyFont="1" applyBorder="1" applyAlignment="1">
      <alignment vertical="center"/>
    </xf>
    <xf numFmtId="2" fontId="0" fillId="0" borderId="41" xfId="3" applyNumberFormat="1" applyFont="1" applyBorder="1" applyAlignment="1">
      <alignment vertical="center"/>
    </xf>
    <xf numFmtId="2" fontId="0" fillId="0" borderId="39" xfId="3" applyNumberFormat="1" applyFont="1" applyBorder="1" applyAlignment="1">
      <alignment vertical="center"/>
    </xf>
    <xf numFmtId="9" fontId="0" fillId="0" borderId="41" xfId="4" applyFont="1" applyBorder="1" applyAlignment="1">
      <alignment vertical="center"/>
    </xf>
    <xf numFmtId="9" fontId="0" fillId="0" borderId="39" xfId="4" applyFont="1" applyBorder="1" applyAlignment="1">
      <alignment vertical="center"/>
    </xf>
    <xf numFmtId="0" fontId="14" fillId="0" borderId="30" xfId="9" applyFont="1" applyBorder="1"/>
    <xf numFmtId="4" fontId="0" fillId="0" borderId="30" xfId="3" applyNumberFormat="1" applyFont="1" applyBorder="1"/>
    <xf numFmtId="4" fontId="0" fillId="0" borderId="4" xfId="3" applyNumberFormat="1" applyFont="1" applyBorder="1"/>
    <xf numFmtId="0" fontId="0" fillId="0" borderId="51" xfId="9" applyFont="1" applyBorder="1"/>
    <xf numFmtId="0" fontId="0" fillId="0" borderId="52" xfId="9" applyFont="1" applyBorder="1"/>
    <xf numFmtId="0" fontId="0" fillId="0" borderId="53" xfId="9" applyFont="1" applyBorder="1"/>
    <xf numFmtId="0" fontId="1" fillId="0" borderId="30" xfId="7" applyBorder="1" applyAlignment="1">
      <alignment horizontal="center" vertical="center"/>
    </xf>
    <xf numFmtId="14" fontId="1" fillId="0" borderId="41" xfId="7" applyNumberFormat="1" applyBorder="1" applyAlignment="1">
      <alignment vertical="center"/>
    </xf>
    <xf numFmtId="0" fontId="0" fillId="0" borderId="41" xfId="9" applyFont="1" applyBorder="1" applyAlignment="1"/>
    <xf numFmtId="0" fontId="0" fillId="0" borderId="4" xfId="9" applyFont="1" applyBorder="1" applyAlignment="1">
      <alignment horizontal="center"/>
    </xf>
    <xf numFmtId="14" fontId="1" fillId="0" borderId="39" xfId="7" applyNumberFormat="1" applyBorder="1" applyAlignment="1">
      <alignment vertical="center"/>
    </xf>
    <xf numFmtId="0" fontId="0" fillId="0" borderId="54" xfId="9" applyFont="1" applyBorder="1"/>
    <xf numFmtId="0" fontId="0" fillId="0" borderId="55" xfId="9" applyFont="1" applyBorder="1"/>
    <xf numFmtId="0" fontId="0" fillId="0" borderId="39" xfId="9" applyFont="1" applyBorder="1" applyAlignment="1"/>
    <xf numFmtId="0" fontId="0" fillId="0" borderId="41" xfId="9" applyFont="1" applyFill="1" applyBorder="1"/>
    <xf numFmtId="0" fontId="20" fillId="0" borderId="38" xfId="9" applyFont="1" applyBorder="1"/>
    <xf numFmtId="0" fontId="20" fillId="0" borderId="41" xfId="9" applyFont="1" applyFill="1" applyBorder="1"/>
    <xf numFmtId="49" fontId="0" fillId="0" borderId="38" xfId="9" applyNumberFormat="1" applyFont="1" applyBorder="1"/>
    <xf numFmtId="49" fontId="0" fillId="0" borderId="41" xfId="3" applyNumberFormat="1" applyFont="1" applyBorder="1" applyAlignment="1">
      <alignment horizontal="center" vertical="center"/>
    </xf>
    <xf numFmtId="0" fontId="0" fillId="0" borderId="38" xfId="9" applyFont="1" applyFill="1" applyBorder="1"/>
    <xf numFmtId="0" fontId="0" fillId="0" borderId="39" xfId="9" applyFont="1" applyFill="1" applyBorder="1"/>
    <xf numFmtId="0" fontId="0" fillId="8" borderId="38" xfId="9" applyFont="1" applyFill="1" applyBorder="1"/>
    <xf numFmtId="0" fontId="0" fillId="0" borderId="42" xfId="9" applyFont="1" applyBorder="1"/>
    <xf numFmtId="0" fontId="0" fillId="0" borderId="43" xfId="9" applyFont="1" applyBorder="1"/>
    <xf numFmtId="0" fontId="0" fillId="0" borderId="32" xfId="9" applyFont="1" applyBorder="1"/>
    <xf numFmtId="0" fontId="0" fillId="0" borderId="39" xfId="9" applyFont="1" applyBorder="1"/>
    <xf numFmtId="0" fontId="0" fillId="0" borderId="50" xfId="9" applyFont="1" applyBorder="1"/>
    <xf numFmtId="14" fontId="0" fillId="0" borderId="38" xfId="9" applyNumberFormat="1" applyFont="1" applyBorder="1"/>
    <xf numFmtId="2" fontId="0" fillId="0" borderId="38" xfId="9" applyNumberFormat="1" applyFont="1" applyBorder="1"/>
    <xf numFmtId="9" fontId="0" fillId="0" borderId="38" xfId="9" applyNumberFormat="1" applyFont="1" applyBorder="1"/>
    <xf numFmtId="2" fontId="0" fillId="0" borderId="41" xfId="9" applyNumberFormat="1" applyFont="1" applyBorder="1"/>
    <xf numFmtId="0" fontId="0" fillId="0" borderId="58" xfId="9" applyFont="1" applyBorder="1"/>
    <xf numFmtId="0" fontId="0" fillId="0" borderId="39" xfId="9" applyFont="1" applyBorder="1"/>
    <xf numFmtId="0" fontId="0" fillId="0" borderId="41" xfId="9" applyFont="1" applyBorder="1"/>
    <xf numFmtId="0" fontId="0" fillId="0" borderId="59" xfId="9" applyFont="1" applyBorder="1"/>
    <xf numFmtId="0" fontId="0" fillId="0" borderId="60" xfId="9" applyFont="1" applyBorder="1"/>
    <xf numFmtId="0" fontId="20" fillId="0" borderId="46" xfId="9" applyFont="1" applyBorder="1"/>
    <xf numFmtId="0" fontId="20" fillId="0" borderId="47" xfId="9" applyFont="1" applyBorder="1"/>
    <xf numFmtId="0" fontId="0" fillId="0" borderId="31" xfId="9" applyFont="1" applyBorder="1"/>
    <xf numFmtId="0" fontId="0" fillId="0" borderId="31" xfId="9" applyFont="1" applyFill="1" applyBorder="1" applyAlignment="1">
      <alignment vertical="top" wrapText="1"/>
    </xf>
    <xf numFmtId="0" fontId="0" fillId="0" borderId="3" xfId="9" applyFont="1" applyFill="1" applyBorder="1" applyAlignment="1">
      <alignment vertical="top" wrapText="1"/>
    </xf>
    <xf numFmtId="0" fontId="20" fillId="0" borderId="48" xfId="9" applyFont="1" applyBorder="1"/>
    <xf numFmtId="0" fontId="20" fillId="0" borderId="49" xfId="9" applyFont="1" applyBorder="1"/>
    <xf numFmtId="0" fontId="20" fillId="0" borderId="56" xfId="9" applyFont="1" applyBorder="1"/>
    <xf numFmtId="0" fontId="20" fillId="0" borderId="57" xfId="9" applyFont="1" applyBorder="1"/>
    <xf numFmtId="0" fontId="20" fillId="0" borderId="51" xfId="9" applyFont="1" applyBorder="1"/>
    <xf numFmtId="0" fontId="20" fillId="0" borderId="52" xfId="9" applyFont="1" applyBorder="1"/>
    <xf numFmtId="0" fontId="20" fillId="0" borderId="53" xfId="9" applyFont="1" applyBorder="1"/>
    <xf numFmtId="0" fontId="20" fillId="7" borderId="30" xfId="9" applyFont="1" applyFill="1" applyBorder="1" applyAlignment="1">
      <alignment horizontal="center"/>
    </xf>
    <xf numFmtId="0" fontId="20" fillId="0" borderId="59" xfId="9" applyFont="1" applyBorder="1"/>
    <xf numFmtId="0" fontId="20" fillId="0" borderId="60" xfId="9" applyFont="1" applyBorder="1"/>
    <xf numFmtId="0" fontId="20" fillId="0" borderId="44" xfId="9" applyFont="1" applyBorder="1"/>
    <xf numFmtId="0" fontId="20" fillId="0" borderId="45" xfId="9" applyFont="1" applyBorder="1"/>
    <xf numFmtId="0" fontId="20" fillId="7" borderId="14" xfId="9" applyFont="1" applyFill="1" applyBorder="1" applyAlignment="1">
      <alignment horizontal="center"/>
    </xf>
    <xf numFmtId="49" fontId="0" fillId="0" borderId="30" xfId="7" quotePrefix="1" applyNumberFormat="1" applyFont="1" applyFill="1" applyBorder="1" applyAlignment="1">
      <alignment vertical="top" wrapText="1"/>
    </xf>
    <xf numFmtId="49" fontId="1" fillId="0" borderId="4" xfId="7" applyNumberFormat="1" applyFill="1" applyBorder="1" applyAlignment="1">
      <alignment vertical="top" wrapText="1"/>
    </xf>
    <xf numFmtId="49" fontId="1" fillId="0" borderId="30" xfId="7" applyNumberFormat="1" applyFill="1" applyBorder="1" applyAlignment="1">
      <alignment vertical="top" wrapText="1"/>
    </xf>
    <xf numFmtId="0" fontId="0" fillId="0" borderId="32" xfId="9" applyFont="1" applyBorder="1" applyAlignment="1">
      <alignment wrapText="1"/>
    </xf>
    <xf numFmtId="0" fontId="0" fillId="0" borderId="39" xfId="9" applyFont="1" applyBorder="1" applyAlignment="1">
      <alignment vertical="top" wrapText="1"/>
    </xf>
    <xf numFmtId="0" fontId="14" fillId="0" borderId="14" xfId="9" applyFont="1" applyBorder="1"/>
    <xf numFmtId="0" fontId="0" fillId="0" borderId="5" xfId="9" applyFont="1" applyBorder="1"/>
    <xf numFmtId="0" fontId="0" fillId="0" borderId="6" xfId="9" applyFont="1" applyBorder="1"/>
    <xf numFmtId="0" fontId="0" fillId="0" borderId="22" xfId="9" applyFont="1" applyBorder="1"/>
    <xf numFmtId="0" fontId="0" fillId="0" borderId="61" xfId="9" applyFont="1" applyBorder="1"/>
    <xf numFmtId="2" fontId="0" fillId="0" borderId="3" xfId="9" applyNumberFormat="1" applyFont="1" applyBorder="1"/>
    <xf numFmtId="9" fontId="0" fillId="0" borderId="3" xfId="9" applyNumberFormat="1" applyFont="1" applyBorder="1"/>
    <xf numFmtId="2" fontId="0" fillId="0" borderId="39" xfId="9" applyNumberFormat="1" applyFont="1" applyBorder="1"/>
    <xf numFmtId="9" fontId="0" fillId="0" borderId="41" xfId="9" applyNumberFormat="1" applyFont="1" applyBorder="1"/>
    <xf numFmtId="0" fontId="20" fillId="7" borderId="14" xfId="9" applyFont="1" applyFill="1" applyBorder="1" applyAlignment="1">
      <alignment horizontal="center"/>
    </xf>
    <xf numFmtId="0" fontId="0" fillId="0" borderId="39" xfId="9" applyFont="1" applyBorder="1"/>
    <xf numFmtId="0" fontId="0" fillId="0" borderId="41" xfId="9" applyFont="1" applyBorder="1"/>
    <xf numFmtId="0" fontId="0" fillId="0" borderId="62" xfId="9" applyFont="1" applyBorder="1"/>
    <xf numFmtId="168" fontId="0" fillId="0" borderId="3" xfId="9" applyNumberFormat="1" applyFont="1" applyBorder="1"/>
    <xf numFmtId="0" fontId="0" fillId="0" borderId="63" xfId="9" applyFont="1" applyBorder="1"/>
    <xf numFmtId="0" fontId="0" fillId="0" borderId="64" xfId="9" applyFont="1" applyBorder="1"/>
    <xf numFmtId="0" fontId="20" fillId="0" borderId="63" xfId="9" applyFont="1" applyBorder="1" applyAlignment="1">
      <alignment horizontal="center"/>
    </xf>
    <xf numFmtId="0" fontId="20" fillId="0" borderId="62" xfId="9" applyFont="1" applyBorder="1" applyAlignment="1">
      <alignment horizontal="center"/>
    </xf>
    <xf numFmtId="0" fontId="20" fillId="0" borderId="64" xfId="9" applyFont="1" applyBorder="1" applyAlignment="1">
      <alignment horizontal="center"/>
    </xf>
    <xf numFmtId="9" fontId="0" fillId="0" borderId="58" xfId="9" applyNumberFormat="1" applyFont="1" applyBorder="1"/>
    <xf numFmtId="2" fontId="0" fillId="0" borderId="58" xfId="9" applyNumberFormat="1" applyFont="1" applyBorder="1"/>
    <xf numFmtId="0" fontId="0" fillId="0" borderId="30" xfId="9" quotePrefix="1" applyFont="1" applyBorder="1"/>
    <xf numFmtId="0" fontId="20" fillId="7" borderId="31" xfId="9" applyFont="1" applyFill="1" applyBorder="1" applyAlignment="1">
      <alignment horizontal="center"/>
    </xf>
    <xf numFmtId="0" fontId="0" fillId="0" borderId="36" xfId="9" applyFont="1" applyBorder="1"/>
    <xf numFmtId="0" fontId="0" fillId="0" borderId="37" xfId="9" applyFont="1" applyBorder="1"/>
    <xf numFmtId="0" fontId="0" fillId="0" borderId="32" xfId="9" applyFont="1" applyBorder="1"/>
    <xf numFmtId="0" fontId="0" fillId="0" borderId="38" xfId="9" applyFont="1" applyBorder="1" applyAlignment="1"/>
    <xf numFmtId="164" fontId="0" fillId="0" borderId="0" xfId="8" applyFont="1"/>
    <xf numFmtId="0" fontId="8" fillId="0" borderId="38" xfId="2" applyFont="1" applyBorder="1" applyAlignment="1">
      <alignment horizontal="left" wrapText="1"/>
    </xf>
    <xf numFmtId="49" fontId="0" fillId="0" borderId="5" xfId="9" applyNumberFormat="1" applyFont="1" applyFill="1" applyBorder="1" applyAlignment="1">
      <alignment vertical="top" wrapText="1"/>
    </xf>
    <xf numFmtId="0" fontId="0" fillId="0" borderId="6" xfId="9" applyFont="1" applyFill="1" applyBorder="1" applyAlignment="1">
      <alignment vertical="top" wrapText="1"/>
    </xf>
    <xf numFmtId="0" fontId="6" fillId="0" borderId="38" xfId="2" applyFont="1" applyBorder="1" applyAlignment="1">
      <alignment horizontal="center" vertical="center"/>
    </xf>
    <xf numFmtId="2" fontId="6" fillId="0" borderId="38" xfId="2" applyNumberFormat="1" applyFont="1" applyBorder="1" applyAlignment="1">
      <alignment horizontal="center" vertical="center"/>
    </xf>
    <xf numFmtId="0" fontId="0" fillId="0" borderId="38" xfId="9" quotePrefix="1" applyFont="1" applyBorder="1" applyAlignment="1">
      <alignment wrapText="1"/>
    </xf>
    <xf numFmtId="0" fontId="0" fillId="0" borderId="41" xfId="9" quotePrefix="1" applyFont="1" applyBorder="1"/>
    <xf numFmtId="0" fontId="0" fillId="0" borderId="38" xfId="9" quotePrefix="1" applyFont="1" applyBorder="1"/>
    <xf numFmtId="0" fontId="0" fillId="0" borderId="39" xfId="9" quotePrefix="1" applyFont="1" applyBorder="1"/>
    <xf numFmtId="4" fontId="0" fillId="0" borderId="41" xfId="9" quotePrefix="1" applyNumberFormat="1" applyFont="1" applyBorder="1" applyAlignment="1"/>
    <xf numFmtId="4" fontId="0" fillId="0" borderId="38" xfId="9" quotePrefix="1" applyNumberFormat="1" applyFont="1" applyBorder="1" applyAlignment="1"/>
    <xf numFmtId="4" fontId="0" fillId="0" borderId="39" xfId="9" quotePrefix="1" applyNumberFormat="1" applyFont="1" applyBorder="1" applyAlignment="1"/>
    <xf numFmtId="0" fontId="20" fillId="7" borderId="32" xfId="9" applyFont="1" applyFill="1" applyBorder="1" applyAlignment="1"/>
    <xf numFmtId="4" fontId="0" fillId="0" borderId="38" xfId="9" quotePrefix="1" applyNumberFormat="1" applyFont="1" applyBorder="1" applyAlignment="1">
      <alignment horizontal="center"/>
    </xf>
    <xf numFmtId="4" fontId="0" fillId="0" borderId="58" xfId="9" quotePrefix="1" applyNumberFormat="1" applyFont="1" applyBorder="1" applyAlignment="1">
      <alignment horizontal="center"/>
    </xf>
    <xf numFmtId="10" fontId="0" fillId="0" borderId="41" xfId="9" applyNumberFormat="1" applyFont="1" applyBorder="1" applyAlignment="1">
      <alignment wrapText="1"/>
    </xf>
    <xf numFmtId="0" fontId="0" fillId="0" borderId="65" xfId="9" applyFont="1" applyBorder="1"/>
    <xf numFmtId="14" fontId="0" fillId="0" borderId="65" xfId="9" applyNumberFormat="1" applyFont="1" applyBorder="1"/>
    <xf numFmtId="0" fontId="0" fillId="0" borderId="65" xfId="9" applyFont="1" applyBorder="1"/>
    <xf numFmtId="49" fontId="0" fillId="13" borderId="5" xfId="9" applyNumberFormat="1" applyFont="1" applyFill="1" applyBorder="1" applyAlignment="1">
      <alignment horizontal="center" vertical="top" wrapText="1"/>
    </xf>
    <xf numFmtId="49" fontId="0" fillId="13" borderId="6" xfId="9" applyNumberFormat="1" applyFont="1" applyFill="1" applyBorder="1" applyAlignment="1">
      <alignment horizontal="center" vertical="top" wrapText="1"/>
    </xf>
    <xf numFmtId="49" fontId="0" fillId="13" borderId="22" xfId="9" applyNumberFormat="1" applyFont="1" applyFill="1" applyBorder="1" applyAlignment="1">
      <alignment horizontal="center" vertical="top" wrapText="1"/>
    </xf>
    <xf numFmtId="0" fontId="0" fillId="0" borderId="6" xfId="9" applyFont="1" applyBorder="1" applyAlignment="1">
      <alignment horizontal="center"/>
    </xf>
    <xf numFmtId="0" fontId="0" fillId="0" borderId="22" xfId="9" applyFont="1" applyBorder="1" applyAlignment="1"/>
    <xf numFmtId="49" fontId="3" fillId="13" borderId="5" xfId="2" applyNumberFormat="1" applyFill="1" applyBorder="1" applyAlignment="1">
      <alignment horizontal="center" vertical="center"/>
    </xf>
    <xf numFmtId="49" fontId="0" fillId="13" borderId="6" xfId="9" applyNumberFormat="1" applyFont="1" applyFill="1" applyBorder="1" applyAlignment="1">
      <alignment horizontal="center" vertical="center"/>
    </xf>
    <xf numFmtId="49" fontId="0" fillId="13" borderId="22" xfId="9" applyNumberFormat="1" applyFont="1" applyFill="1" applyBorder="1" applyAlignment="1">
      <alignment horizontal="center" vertical="center"/>
    </xf>
    <xf numFmtId="49" fontId="3" fillId="13" borderId="5" xfId="2" applyNumberFormat="1" applyFill="1" applyBorder="1" applyAlignment="1">
      <alignment horizontal="center" vertical="center" wrapText="1"/>
    </xf>
    <xf numFmtId="49" fontId="3" fillId="13" borderId="6" xfId="2" applyNumberFormat="1" applyFill="1" applyBorder="1" applyAlignment="1">
      <alignment horizontal="center" vertical="center" wrapText="1"/>
    </xf>
    <xf numFmtId="49" fontId="0" fillId="13" borderId="22" xfId="9" applyNumberFormat="1" applyFont="1" applyFill="1" applyBorder="1" applyAlignment="1">
      <alignment horizontal="center" vertical="center" wrapText="1"/>
    </xf>
    <xf numFmtId="0" fontId="0" fillId="0" borderId="38" xfId="9" quotePrefix="1" applyFont="1" applyBorder="1" applyAlignment="1">
      <alignment horizontal="center"/>
    </xf>
    <xf numFmtId="0" fontId="0" fillId="0" borderId="41" xfId="9" quotePrefix="1" applyFont="1" applyBorder="1" applyAlignment="1">
      <alignment horizontal="center"/>
    </xf>
    <xf numFmtId="0" fontId="0" fillId="13" borderId="5" xfId="9" applyFont="1" applyFill="1" applyBorder="1" applyAlignment="1">
      <alignment horizontal="center" vertical="center"/>
    </xf>
    <xf numFmtId="0" fontId="0" fillId="13" borderId="6" xfId="9" applyFont="1" applyFill="1" applyBorder="1" applyAlignment="1">
      <alignment horizontal="center" vertical="center"/>
    </xf>
    <xf numFmtId="0" fontId="0" fillId="13" borderId="22" xfId="9" applyFont="1" applyFill="1" applyBorder="1" applyAlignment="1">
      <alignment horizontal="center" vertical="center"/>
    </xf>
    <xf numFmtId="49" fontId="0" fillId="13" borderId="14" xfId="9" applyNumberFormat="1" applyFont="1" applyFill="1" applyBorder="1" applyAlignment="1">
      <alignment horizontal="center" vertical="center" wrapText="1"/>
    </xf>
    <xf numFmtId="0" fontId="0" fillId="13" borderId="15" xfId="9" applyFont="1" applyFill="1" applyBorder="1" applyAlignment="1">
      <alignment horizontal="center" vertical="center" wrapText="1"/>
    </xf>
    <xf numFmtId="0" fontId="0" fillId="0" borderId="23" xfId="9" applyFont="1" applyBorder="1" applyAlignment="1">
      <alignment horizontal="center" vertical="center"/>
    </xf>
    <xf numFmtId="4" fontId="0" fillId="0" borderId="41" xfId="9" quotePrefix="1" applyNumberFormat="1" applyFont="1" applyBorder="1" applyAlignment="1">
      <alignment horizontal="center"/>
    </xf>
    <xf numFmtId="0" fontId="0" fillId="0" borderId="41" xfId="9" applyFont="1" applyBorder="1" applyAlignment="1">
      <alignment horizontal="center"/>
    </xf>
    <xf numFmtId="0" fontId="0" fillId="0" borderId="14" xfId="9" applyFont="1" applyBorder="1" applyAlignment="1">
      <alignment horizontal="center"/>
    </xf>
    <xf numFmtId="0" fontId="0" fillId="0" borderId="31" xfId="9" applyFont="1" applyBorder="1" applyAlignment="1">
      <alignment horizontal="center"/>
    </xf>
    <xf numFmtId="0" fontId="0" fillId="0" borderId="32" xfId="9" applyFont="1" applyBorder="1" applyAlignment="1">
      <alignment horizontal="center"/>
    </xf>
    <xf numFmtId="4" fontId="0" fillId="0" borderId="38" xfId="9" applyNumberFormat="1" applyFont="1" applyBorder="1" applyAlignment="1">
      <alignment horizontal="center"/>
    </xf>
    <xf numFmtId="2" fontId="6" fillId="0" borderId="36" xfId="2" applyNumberFormat="1" applyFont="1" applyBorder="1" applyAlignment="1">
      <alignment horizontal="center" vertical="center"/>
    </xf>
    <xf numFmtId="0" fontId="0" fillId="0" borderId="36" xfId="9" applyFont="1" applyBorder="1"/>
    <xf numFmtId="2" fontId="6" fillId="0" borderId="37" xfId="2" applyNumberFormat="1" applyFont="1" applyBorder="1" applyAlignment="1">
      <alignment horizontal="center" vertical="center"/>
    </xf>
    <xf numFmtId="0" fontId="0" fillId="0" borderId="37" xfId="9" applyFont="1" applyBorder="1"/>
    <xf numFmtId="0" fontId="0" fillId="6" borderId="42" xfId="9" applyFont="1" applyFill="1" applyBorder="1" applyAlignment="1">
      <alignment horizontal="center" vertical="center"/>
    </xf>
    <xf numFmtId="0" fontId="0" fillId="6" borderId="43" xfId="9" applyFont="1" applyFill="1" applyBorder="1" applyAlignment="1">
      <alignment horizontal="center" vertical="center"/>
    </xf>
    <xf numFmtId="0" fontId="0" fillId="0" borderId="4" xfId="9" applyFont="1" applyBorder="1" applyAlignment="1">
      <alignment horizontal="center"/>
    </xf>
    <xf numFmtId="49" fontId="0" fillId="13" borderId="5" xfId="9" applyNumberFormat="1" applyFont="1" applyFill="1" applyBorder="1" applyAlignment="1">
      <alignment horizontal="center" vertical="center" wrapText="1"/>
    </xf>
    <xf numFmtId="0" fontId="0" fillId="0" borderId="22" xfId="9" applyFont="1" applyBorder="1" applyAlignment="1">
      <alignment vertical="center"/>
    </xf>
    <xf numFmtId="0" fontId="20" fillId="7" borderId="31" xfId="9" applyFont="1" applyFill="1" applyBorder="1" applyAlignment="1">
      <alignment horizontal="center"/>
    </xf>
    <xf numFmtId="0" fontId="20" fillId="7" borderId="32" xfId="9" applyFont="1" applyFill="1" applyBorder="1" applyAlignment="1">
      <alignment horizontal="center"/>
    </xf>
    <xf numFmtId="0" fontId="6" fillId="0" borderId="36" xfId="2" applyFont="1" applyBorder="1" applyAlignment="1">
      <alignment horizontal="center" vertical="center"/>
    </xf>
    <xf numFmtId="0" fontId="0" fillId="0" borderId="14" xfId="9" applyFont="1" applyBorder="1" applyAlignment="1">
      <alignment horizontal="center" vertical="center"/>
    </xf>
    <xf numFmtId="0" fontId="0" fillId="0" borderId="4" xfId="9" applyFont="1" applyBorder="1" applyAlignment="1">
      <alignment horizontal="center" vertical="center"/>
    </xf>
    <xf numFmtId="0" fontId="0" fillId="13" borderId="22" xfId="9" applyFont="1" applyFill="1" applyBorder="1" applyAlignment="1">
      <alignment horizontal="center" vertical="center" wrapText="1"/>
    </xf>
    <xf numFmtId="0" fontId="0" fillId="0" borderId="22" xfId="9" applyFont="1" applyBorder="1" applyAlignment="1">
      <alignment horizontal="center" vertical="center"/>
    </xf>
    <xf numFmtId="0" fontId="5" fillId="0" borderId="32" xfId="2" applyFont="1" applyBorder="1" applyAlignment="1">
      <alignment horizontal="center" vertical="center"/>
    </xf>
    <xf numFmtId="0" fontId="0" fillId="0" borderId="32" xfId="9" applyFont="1" applyBorder="1"/>
    <xf numFmtId="2" fontId="6" fillId="0" borderId="3" xfId="2" applyNumberFormat="1" applyFont="1" applyBorder="1" applyAlignment="1">
      <alignment horizontal="center" vertical="center"/>
    </xf>
    <xf numFmtId="0" fontId="0" fillId="0" borderId="39" xfId="9" applyFont="1" applyBorder="1"/>
    <xf numFmtId="2" fontId="6" fillId="0" borderId="35" xfId="2" applyNumberFormat="1" applyFont="1" applyBorder="1" applyAlignment="1">
      <alignment horizontal="center" vertical="center"/>
    </xf>
    <xf numFmtId="2" fontId="6" fillId="0" borderId="40" xfId="2" applyNumberFormat="1" applyFont="1" applyBorder="1" applyAlignment="1">
      <alignment horizontal="center" vertical="center"/>
    </xf>
    <xf numFmtId="0" fontId="0" fillId="13" borderId="6" xfId="9" applyFont="1" applyFill="1" applyBorder="1" applyAlignment="1">
      <alignment horizontal="center" vertical="center" wrapText="1"/>
    </xf>
    <xf numFmtId="0" fontId="0" fillId="0" borderId="3" xfId="9" applyFont="1" applyBorder="1" applyAlignment="1"/>
    <xf numFmtId="0" fontId="0" fillId="0" borderId="39" xfId="9" applyFont="1" applyBorder="1" applyAlignment="1"/>
    <xf numFmtId="0" fontId="0" fillId="0" borderId="38" xfId="9" applyFont="1" applyBorder="1" applyAlignment="1"/>
    <xf numFmtId="0" fontId="0" fillId="0" borderId="41" xfId="9" applyFont="1" applyBorder="1" applyAlignment="1"/>
    <xf numFmtId="49" fontId="0" fillId="0" borderId="14" xfId="9" applyNumberFormat="1" applyFont="1" applyFill="1" applyBorder="1" applyAlignment="1">
      <alignment vertical="top" wrapText="1"/>
    </xf>
    <xf numFmtId="49" fontId="0" fillId="0" borderId="4" xfId="9" applyNumberFormat="1" applyFont="1" applyFill="1" applyBorder="1" applyAlignment="1">
      <alignment vertical="top" wrapText="1"/>
    </xf>
    <xf numFmtId="0" fontId="0" fillId="6" borderId="50" xfId="9" applyFont="1" applyFill="1" applyBorder="1" applyAlignment="1">
      <alignment horizontal="center" vertical="center"/>
    </xf>
    <xf numFmtId="0" fontId="1" fillId="0" borderId="17" xfId="7" applyBorder="1" applyAlignment="1">
      <alignment horizontal="center" vertical="center"/>
    </xf>
    <xf numFmtId="0" fontId="0" fillId="0" borderId="33" xfId="9" applyFont="1" applyBorder="1"/>
    <xf numFmtId="0" fontId="0" fillId="0" borderId="17" xfId="7" quotePrefix="1" applyFont="1" applyBorder="1" applyAlignment="1">
      <alignment horizontal="center" vertical="center"/>
    </xf>
    <xf numFmtId="0" fontId="1" fillId="0" borderId="21" xfId="7" applyBorder="1" applyAlignment="1">
      <alignment horizontal="center" vertical="center"/>
    </xf>
    <xf numFmtId="0" fontId="0" fillId="0" borderId="34" xfId="9" applyFont="1" applyBorder="1"/>
    <xf numFmtId="49" fontId="0" fillId="13" borderId="5" xfId="7" applyNumberFormat="1" applyFont="1" applyFill="1" applyBorder="1" applyAlignment="1">
      <alignment horizontal="center" vertical="center" wrapText="1"/>
    </xf>
    <xf numFmtId="0" fontId="1" fillId="13" borderId="22" xfId="7" applyFill="1" applyBorder="1" applyAlignment="1">
      <alignment horizontal="center" vertical="center" wrapText="1"/>
    </xf>
    <xf numFmtId="0" fontId="1" fillId="0" borderId="41" xfId="7" applyFill="1" applyBorder="1" applyAlignment="1">
      <alignment vertical="top" wrapText="1"/>
    </xf>
    <xf numFmtId="0" fontId="0" fillId="0" borderId="41" xfId="9" applyFont="1" applyBorder="1"/>
    <xf numFmtId="49" fontId="1" fillId="0" borderId="41" xfId="7" quotePrefix="1" applyNumberFormat="1" applyFill="1" applyBorder="1" applyAlignment="1">
      <alignment vertical="top" wrapText="1"/>
    </xf>
    <xf numFmtId="49" fontId="1" fillId="0" borderId="39" xfId="7" applyNumberFormat="1" applyFill="1" applyBorder="1" applyAlignment="1">
      <alignment vertical="top" wrapText="1"/>
    </xf>
    <xf numFmtId="0" fontId="20" fillId="7" borderId="17" xfId="7" applyFont="1" applyFill="1" applyBorder="1" applyAlignment="1">
      <alignment horizontal="center"/>
    </xf>
    <xf numFmtId="49" fontId="0" fillId="13" borderId="6" xfId="9" applyNumberFormat="1" applyFont="1" applyFill="1" applyBorder="1" applyAlignment="1">
      <alignment horizontal="center" vertical="center" wrapText="1"/>
    </xf>
    <xf numFmtId="2" fontId="0" fillId="0" borderId="3" xfId="3" applyNumberFormat="1" applyFont="1" applyBorder="1" applyAlignment="1">
      <alignment horizontal="center" vertical="center"/>
    </xf>
    <xf numFmtId="0" fontId="0" fillId="0" borderId="24" xfId="9" applyFont="1" applyBorder="1"/>
    <xf numFmtId="2" fontId="0" fillId="0" borderId="17" xfId="3" applyNumberFormat="1" applyFont="1" applyBorder="1" applyAlignment="1">
      <alignment horizontal="center" vertical="center"/>
    </xf>
    <xf numFmtId="2" fontId="0" fillId="0" borderId="25" xfId="3" applyNumberFormat="1" applyFont="1" applyBorder="1" applyAlignment="1">
      <alignment horizontal="center" vertical="center"/>
    </xf>
    <xf numFmtId="0" fontId="20" fillId="7" borderId="17" xfId="9" applyFont="1" applyFill="1" applyBorder="1" applyAlignment="1">
      <alignment horizontal="center"/>
    </xf>
    <xf numFmtId="0" fontId="20" fillId="7" borderId="41" xfId="9" applyFont="1" applyFill="1" applyBorder="1" applyAlignment="1">
      <alignment horizontal="center"/>
    </xf>
    <xf numFmtId="0" fontId="0" fillId="13" borderId="22" xfId="9" applyFont="1" applyFill="1" applyBorder="1" applyAlignment="1">
      <alignment horizontal="center" vertical="top" wrapText="1"/>
    </xf>
    <xf numFmtId="0" fontId="0" fillId="0" borderId="22" xfId="9" applyFont="1" applyBorder="1" applyAlignment="1">
      <alignment horizontal="center"/>
    </xf>
    <xf numFmtId="10" fontId="0" fillId="0" borderId="38" xfId="4" applyNumberFormat="1" applyFont="1" applyBorder="1" applyAlignment="1">
      <alignment horizontal="center" vertical="center"/>
    </xf>
    <xf numFmtId="10" fontId="0" fillId="0" borderId="41" xfId="9" applyNumberFormat="1" applyFont="1" applyBorder="1"/>
    <xf numFmtId="10" fontId="0" fillId="0" borderId="3" xfId="4" applyNumberFormat="1" applyFont="1" applyBorder="1" applyAlignment="1">
      <alignment horizontal="center" vertical="center"/>
    </xf>
    <xf numFmtId="10" fontId="0" fillId="0" borderId="39" xfId="9" applyNumberFormat="1" applyFont="1" applyBorder="1"/>
    <xf numFmtId="0" fontId="20" fillId="7" borderId="35" xfId="9" applyFont="1" applyFill="1" applyBorder="1" applyAlignment="1">
      <alignment horizontal="center"/>
    </xf>
    <xf numFmtId="10" fontId="0" fillId="0" borderId="35" xfId="4" applyNumberFormat="1" applyFont="1" applyBorder="1" applyAlignment="1">
      <alignment horizontal="center" vertical="center"/>
    </xf>
    <xf numFmtId="10" fontId="0" fillId="0" borderId="36" xfId="9" applyNumberFormat="1" applyFont="1" applyBorder="1"/>
    <xf numFmtId="10" fontId="0" fillId="0" borderId="37" xfId="9" applyNumberFormat="1" applyFont="1" applyBorder="1"/>
    <xf numFmtId="10" fontId="0" fillId="0" borderId="41" xfId="9" applyNumberFormat="1" applyFont="1" applyBorder="1" applyAlignment="1">
      <alignment wrapText="1"/>
    </xf>
    <xf numFmtId="10" fontId="0" fillId="0" borderId="32" xfId="9" applyNumberFormat="1" applyFont="1" applyBorder="1" applyAlignment="1">
      <alignment wrapText="1"/>
    </xf>
    <xf numFmtId="10" fontId="0" fillId="0" borderId="32" xfId="9" applyNumberFormat="1" applyFont="1" applyBorder="1"/>
    <xf numFmtId="9" fontId="0" fillId="0" borderId="17" xfId="4" applyFont="1" applyBorder="1" applyAlignment="1">
      <alignment horizontal="center" vertical="center"/>
    </xf>
    <xf numFmtId="0" fontId="0" fillId="0" borderId="28" xfId="9" applyFont="1" applyBorder="1"/>
    <xf numFmtId="9" fontId="0" fillId="0" borderId="21" xfId="4" applyFont="1" applyBorder="1" applyAlignment="1">
      <alignment horizontal="center" vertical="center"/>
    </xf>
    <xf numFmtId="0" fontId="0" fillId="0" borderId="29" xfId="9" applyFont="1" applyBorder="1"/>
    <xf numFmtId="0" fontId="0" fillId="0" borderId="22" xfId="9" applyFont="1" applyBorder="1" applyAlignment="1">
      <alignment horizontal="center" vertical="center" wrapText="1"/>
    </xf>
    <xf numFmtId="9" fontId="0" fillId="0" borderId="36" xfId="4" applyFont="1" applyBorder="1" applyAlignment="1">
      <alignment horizontal="center" vertical="center"/>
    </xf>
    <xf numFmtId="9" fontId="0" fillId="0" borderId="37" xfId="4" applyFont="1" applyBorder="1" applyAlignment="1">
      <alignment horizontal="center" vertical="center"/>
    </xf>
    <xf numFmtId="0" fontId="0" fillId="14" borderId="14" xfId="9" applyFont="1" applyFill="1" applyBorder="1" applyAlignment="1">
      <alignment horizontal="center" vertical="center"/>
    </xf>
    <xf numFmtId="0" fontId="0" fillId="14" borderId="31" xfId="9" applyFont="1" applyFill="1" applyBorder="1" applyAlignment="1">
      <alignment horizontal="center" vertical="center"/>
    </xf>
    <xf numFmtId="0" fontId="0" fillId="6" borderId="5" xfId="9" applyFont="1" applyFill="1" applyBorder="1" applyAlignment="1">
      <alignment horizontal="center" vertical="center"/>
    </xf>
    <xf numFmtId="0" fontId="0" fillId="6" borderId="6" xfId="9" applyFont="1" applyFill="1" applyBorder="1" applyAlignment="1">
      <alignment horizontal="center" vertical="center"/>
    </xf>
    <xf numFmtId="0" fontId="0" fillId="6" borderId="22" xfId="9" applyFont="1" applyFill="1" applyBorder="1" applyAlignment="1">
      <alignment horizontal="center" vertical="center"/>
    </xf>
    <xf numFmtId="0" fontId="0" fillId="6" borderId="5" xfId="9" applyFont="1" applyFill="1" applyBorder="1" applyAlignment="1">
      <alignment horizontal="center"/>
    </xf>
    <xf numFmtId="0" fontId="0" fillId="6" borderId="6" xfId="9" applyFont="1" applyFill="1" applyBorder="1" applyAlignment="1">
      <alignment horizontal="center"/>
    </xf>
    <xf numFmtId="0" fontId="0" fillId="6" borderId="22" xfId="9" applyFont="1" applyFill="1" applyBorder="1" applyAlignment="1">
      <alignment horizontal="center"/>
    </xf>
    <xf numFmtId="0" fontId="0" fillId="0" borderId="0" xfId="0" quotePrefix="1"/>
  </cellXfs>
  <cellStyles count="10">
    <cellStyle name="20% - Accent1 10" xfId="9"/>
    <cellStyle name="20% - Accent1 10 2" xfId="1"/>
    <cellStyle name="20% - Accent1 3 2" xfId="2"/>
    <cellStyle name="Good 2" xfId="3"/>
    <cellStyle name="Good 2 2" xfId="4"/>
    <cellStyle name="Good 4" xfId="5"/>
    <cellStyle name="Good 4 2" xfId="6"/>
    <cellStyle name="Normal" xfId="0" builtinId="0"/>
    <cellStyle name="Output 10 2 3 2" xfId="7"/>
    <cellStyle name="Обычный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30" workbookViewId="0">
      <selection activeCell="B38" sqref="B38:C41"/>
    </sheetView>
  </sheetViews>
  <sheetFormatPr defaultRowHeight="15" x14ac:dyDescent="0.25"/>
  <cols>
    <col min="1" max="1" width="28" bestFit="1" customWidth="1" collapsed="1"/>
    <col min="2" max="2" width="60.5703125" bestFit="1" customWidth="1" collapsed="1"/>
    <col min="3" max="3" width="18.85546875" customWidth="1"/>
  </cols>
  <sheetData>
    <row r="1" spans="1:13" x14ac:dyDescent="0.25">
      <c r="A1" t="s">
        <v>185</v>
      </c>
    </row>
    <row r="2" spans="1:13" x14ac:dyDescent="0.25">
      <c r="A2" t="s">
        <v>186</v>
      </c>
      <c r="E2" t="s">
        <v>187</v>
      </c>
      <c r="G2" t="s">
        <v>188</v>
      </c>
    </row>
    <row r="3" spans="1:13" x14ac:dyDescent="0.25">
      <c r="E3" t="s">
        <v>189</v>
      </c>
    </row>
    <row r="4" spans="1:13" x14ac:dyDescent="0.25">
      <c r="A4" t="s">
        <v>1</v>
      </c>
    </row>
    <row r="5" spans="1:13" s="1" customFormat="1" x14ac:dyDescent="0.2">
      <c r="A5" s="25" t="s">
        <v>2</v>
      </c>
      <c r="B5" s="26"/>
      <c r="C5" s="26"/>
      <c r="D5" s="27"/>
      <c r="E5" s="19"/>
      <c r="G5" s="19"/>
      <c r="I5" s="19"/>
      <c r="K5" s="19"/>
      <c r="M5" s="19"/>
    </row>
    <row r="6" spans="1:13" s="1" customFormat="1" x14ac:dyDescent="0.2">
      <c r="A6" s="28" t="s">
        <v>56</v>
      </c>
      <c r="B6" s="29"/>
      <c r="C6" s="29"/>
      <c r="D6" s="29"/>
    </row>
    <row r="7" spans="1:13" s="1" customFormat="1" x14ac:dyDescent="0.2">
      <c r="A7" s="52" t="s">
        <v>49</v>
      </c>
      <c r="B7" s="53" t="s">
        <v>50</v>
      </c>
      <c r="C7" s="53"/>
      <c r="D7" s="54"/>
    </row>
    <row r="8" spans="1:13" s="1" customFormat="1" ht="15.75" thickBot="1" x14ac:dyDescent="0.25">
      <c r="A8" s="46">
        <v>1</v>
      </c>
      <c r="B8" s="48" t="s">
        <v>3</v>
      </c>
      <c r="C8" s="48" t="s">
        <v>40</v>
      </c>
      <c r="D8" s="48"/>
    </row>
    <row r="9" spans="1:13" s="1" customFormat="1" ht="15.75" thickBot="1" x14ac:dyDescent="0.25">
      <c r="A9" s="14">
        <v>2</v>
      </c>
      <c r="B9" s="4" t="s">
        <v>10</v>
      </c>
      <c r="C9" s="4" t="s">
        <v>40</v>
      </c>
      <c r="D9" s="18"/>
    </row>
    <row r="10" spans="1:13" s="1" customFormat="1" ht="15.75" thickBot="1" x14ac:dyDescent="0.25">
      <c r="A10" s="14">
        <v>3</v>
      </c>
      <c r="B10" s="4" t="s">
        <v>4</v>
      </c>
      <c r="C10" s="4" t="s">
        <v>40</v>
      </c>
      <c r="D10" s="18"/>
    </row>
    <row r="11" spans="1:13" s="1" customFormat="1" ht="15.75" thickBot="1" x14ac:dyDescent="0.25">
      <c r="A11" s="14">
        <v>4</v>
      </c>
      <c r="B11" s="4" t="s">
        <v>5</v>
      </c>
      <c r="C11" s="4" t="s">
        <v>40</v>
      </c>
      <c r="D11" s="18"/>
    </row>
    <row r="12" spans="1:13" s="1" customFormat="1" ht="15.75" thickBot="1" x14ac:dyDescent="0.25">
      <c r="A12" s="14">
        <v>5</v>
      </c>
      <c r="B12" s="4" t="s">
        <v>41</v>
      </c>
      <c r="C12" s="4" t="s">
        <v>40</v>
      </c>
      <c r="D12" s="18"/>
    </row>
    <row r="13" spans="1:13" s="1" customFormat="1" ht="15.75" thickBot="1" x14ac:dyDescent="0.25">
      <c r="A13" s="14">
        <v>6</v>
      </c>
      <c r="B13" s="4" t="s">
        <v>39</v>
      </c>
      <c r="C13" s="4" t="s">
        <v>44</v>
      </c>
      <c r="D13" s="18"/>
    </row>
    <row r="14" spans="1:13" s="1" customFormat="1" ht="15.75" thickBot="1" x14ac:dyDescent="0.25">
      <c r="A14" s="32" t="s">
        <v>7</v>
      </c>
      <c r="B14" s="38"/>
      <c r="C14" s="38"/>
      <c r="D14" s="41"/>
    </row>
    <row r="15" spans="1:13" s="1" customFormat="1" ht="36.75" customHeight="1" thickBot="1" x14ac:dyDescent="0.25">
      <c r="A15" s="120">
        <v>7</v>
      </c>
      <c r="B15" s="121" t="s">
        <v>43</v>
      </c>
      <c r="C15" s="68"/>
      <c r="D15" s="15"/>
      <c r="E15" s="16"/>
      <c r="F15" s="20"/>
      <c r="G15" s="16"/>
      <c r="H15" s="20"/>
      <c r="I15" s="16"/>
      <c r="K15" s="16"/>
      <c r="M15" s="16"/>
    </row>
    <row r="16" spans="1:13" s="1" customFormat="1" ht="16.5" thickBot="1" x14ac:dyDescent="0.25">
      <c r="A16" s="49"/>
      <c r="B16" s="36"/>
      <c r="C16" s="36"/>
      <c r="D16" s="4"/>
      <c r="E16" s="21"/>
      <c r="F16" s="20"/>
      <c r="G16" s="21"/>
      <c r="H16" s="20"/>
      <c r="I16" s="21"/>
      <c r="K16" s="21"/>
      <c r="M16" s="21"/>
    </row>
    <row r="17" spans="1:13" s="1" customFormat="1" ht="16.5" thickBot="1" x14ac:dyDescent="0.25">
      <c r="A17" s="6" t="s">
        <v>54</v>
      </c>
      <c r="B17" s="36"/>
      <c r="C17" s="36"/>
      <c r="D17" s="4"/>
      <c r="E17" s="21"/>
      <c r="F17" s="20"/>
      <c r="G17" s="21"/>
      <c r="H17" s="20"/>
      <c r="I17" s="21"/>
      <c r="K17" s="21"/>
      <c r="M17" s="21"/>
    </row>
    <row r="18" spans="1:13" s="1" customFormat="1" ht="57" customHeight="1" thickBot="1" x14ac:dyDescent="0.25">
      <c r="A18" s="120">
        <v>8</v>
      </c>
      <c r="B18" s="121" t="s">
        <v>11</v>
      </c>
      <c r="C18" s="68"/>
      <c r="D18" s="8"/>
      <c r="E18" s="22"/>
      <c r="F18" s="20"/>
      <c r="G18" s="22"/>
      <c r="H18" s="20"/>
      <c r="I18" s="22"/>
      <c r="K18" s="22"/>
      <c r="M18" s="22"/>
    </row>
    <row r="19" spans="1:13" s="1" customFormat="1" ht="15.75" thickBot="1" x14ac:dyDescent="0.25">
      <c r="A19" s="42">
        <v>9</v>
      </c>
      <c r="B19" s="4" t="s">
        <v>12</v>
      </c>
      <c r="C19" s="4"/>
      <c r="D19" s="4"/>
      <c r="E19" s="21"/>
      <c r="F19" s="20"/>
      <c r="G19" s="21"/>
      <c r="H19" s="20"/>
      <c r="I19" s="21"/>
      <c r="K19" s="21"/>
      <c r="M19" s="21"/>
    </row>
    <row r="20" spans="1:13" s="1" customFormat="1" ht="15.75" thickBot="1" x14ac:dyDescent="0.25">
      <c r="A20" s="42">
        <v>10</v>
      </c>
      <c r="B20" s="4" t="s">
        <v>13</v>
      </c>
      <c r="C20" s="4"/>
      <c r="D20" s="4"/>
      <c r="E20" s="21"/>
      <c r="F20" s="20"/>
      <c r="G20" s="21"/>
      <c r="H20" s="20"/>
      <c r="I20" s="21"/>
      <c r="K20" s="21"/>
      <c r="M20" s="21"/>
    </row>
    <row r="21" spans="1:13" s="1" customFormat="1" ht="15.75" thickBot="1" x14ac:dyDescent="0.25">
      <c r="A21" s="42">
        <v>11</v>
      </c>
      <c r="B21" s="4" t="s">
        <v>55</v>
      </c>
      <c r="C21" s="4"/>
      <c r="D21" s="4"/>
      <c r="E21" s="21"/>
      <c r="F21" s="20"/>
      <c r="G21" s="21"/>
      <c r="H21" s="20"/>
      <c r="I21" s="21"/>
      <c r="K21" s="21"/>
      <c r="M21" s="21"/>
    </row>
    <row r="22" spans="1:13" s="1" customFormat="1" ht="15.75" thickBot="1" x14ac:dyDescent="0.25">
      <c r="A22" s="42">
        <v>12</v>
      </c>
      <c r="B22" s="10" t="s">
        <v>46</v>
      </c>
      <c r="C22" s="10"/>
      <c r="D22" s="5"/>
      <c r="E22" s="22"/>
      <c r="F22" s="20"/>
      <c r="G22" s="22"/>
      <c r="H22" s="20"/>
      <c r="I22" s="22"/>
      <c r="K22" s="22"/>
      <c r="M22" s="22"/>
    </row>
    <row r="23" spans="1:13" s="1" customFormat="1" ht="16.5" thickBot="1" x14ac:dyDescent="0.25">
      <c r="A23" s="49"/>
      <c r="B23" s="30"/>
      <c r="C23" s="30"/>
      <c r="D23" s="5"/>
      <c r="E23" s="22"/>
      <c r="F23" s="20"/>
      <c r="G23" s="22"/>
      <c r="H23" s="20"/>
      <c r="I23" s="22"/>
      <c r="K23" s="22"/>
      <c r="M23" s="22"/>
    </row>
    <row r="24" spans="1:13" s="1" customFormat="1" ht="16.5" thickBot="1" x14ac:dyDescent="0.25">
      <c r="A24" s="6" t="s">
        <v>51</v>
      </c>
      <c r="B24" s="36"/>
      <c r="C24" s="36"/>
      <c r="D24" s="5"/>
      <c r="E24" s="22"/>
      <c r="F24" s="20"/>
      <c r="G24" s="22"/>
      <c r="H24" s="20"/>
      <c r="I24" s="22"/>
      <c r="K24" s="22"/>
      <c r="M24" s="22"/>
    </row>
    <row r="25" spans="1:13" s="1" customFormat="1" ht="36.75" customHeight="1" thickBot="1" x14ac:dyDescent="0.25">
      <c r="A25" s="122">
        <v>13</v>
      </c>
      <c r="B25" s="123" t="s">
        <v>57</v>
      </c>
      <c r="C25" s="69"/>
      <c r="D25" s="44"/>
      <c r="E25" s="23"/>
      <c r="F25" s="20"/>
      <c r="G25" s="23"/>
      <c r="H25" s="20"/>
      <c r="I25" s="23"/>
      <c r="K25" s="23"/>
      <c r="M25" s="23"/>
    </row>
    <row r="26" spans="1:13" s="1" customFormat="1" ht="16.5" thickBot="1" x14ac:dyDescent="0.25">
      <c r="A26" s="49" t="s">
        <v>42</v>
      </c>
      <c r="B26" s="30"/>
      <c r="C26" s="30"/>
      <c r="D26" s="4"/>
      <c r="E26" s="21"/>
      <c r="F26" s="20"/>
      <c r="G26" s="21"/>
      <c r="H26" s="20"/>
      <c r="I26" s="21"/>
      <c r="K26" s="21"/>
      <c r="M26" s="21"/>
    </row>
    <row r="27" spans="1:13" s="1" customFormat="1" ht="36.75" customHeight="1" thickBot="1" x14ac:dyDescent="0.25">
      <c r="A27" s="124">
        <v>14</v>
      </c>
      <c r="B27" s="125" t="s">
        <v>45</v>
      </c>
      <c r="C27" s="70"/>
      <c r="D27" s="33"/>
      <c r="E27" s="23"/>
      <c r="F27" s="20"/>
      <c r="G27" s="23"/>
      <c r="H27" s="20"/>
      <c r="I27" s="23"/>
      <c r="K27" s="23"/>
      <c r="M27" s="23"/>
    </row>
    <row r="28" spans="1:13" s="1" customFormat="1" ht="16.5" thickBot="1" x14ac:dyDescent="0.25">
      <c r="A28" s="49"/>
      <c r="B28" s="30"/>
      <c r="C28" s="30"/>
      <c r="D28" s="4"/>
      <c r="E28" s="21"/>
      <c r="F28" s="20"/>
      <c r="G28" s="21"/>
      <c r="H28" s="20"/>
      <c r="I28" s="21"/>
      <c r="K28" s="21"/>
      <c r="M28" s="21"/>
    </row>
    <row r="29" spans="1:13" s="1" customFormat="1" ht="15.75" thickBot="1" x14ac:dyDescent="0.25">
      <c r="A29" s="17" t="s">
        <v>58</v>
      </c>
      <c r="B29" s="13"/>
      <c r="C29" s="13"/>
      <c r="D29" s="13"/>
      <c r="E29" s="21"/>
      <c r="F29" s="20"/>
      <c r="G29" s="21"/>
      <c r="H29" s="20"/>
      <c r="I29" s="21"/>
      <c r="K29" s="21"/>
      <c r="M29" s="21"/>
    </row>
    <row r="30" spans="1:13" s="1" customFormat="1" ht="36" customHeight="1" thickBot="1" x14ac:dyDescent="0.25">
      <c r="A30" s="118">
        <v>15</v>
      </c>
      <c r="B30" s="119" t="s">
        <v>14</v>
      </c>
      <c r="C30" s="71"/>
      <c r="D30" s="7"/>
      <c r="E30" s="22"/>
      <c r="F30" s="20"/>
      <c r="G30" s="22"/>
      <c r="H30" s="20"/>
      <c r="I30" s="22"/>
      <c r="K30" s="22"/>
      <c r="M30" s="22"/>
    </row>
    <row r="31" spans="1:13" s="1" customFormat="1" ht="15.75" thickBot="1" x14ac:dyDescent="0.25">
      <c r="A31" s="42">
        <v>16</v>
      </c>
      <c r="B31" s="4" t="s">
        <v>70</v>
      </c>
      <c r="C31" s="4"/>
      <c r="D31" s="4"/>
      <c r="E31" s="21"/>
      <c r="F31" s="20"/>
      <c r="G31" s="21"/>
      <c r="H31" s="20"/>
      <c r="I31" s="21"/>
      <c r="K31" s="21"/>
      <c r="M31" s="21"/>
    </row>
    <row r="32" spans="1:13" s="1" customFormat="1" ht="15.75" thickBot="1" x14ac:dyDescent="0.25">
      <c r="A32" s="42">
        <v>17</v>
      </c>
      <c r="B32" s="4" t="s">
        <v>0</v>
      </c>
      <c r="C32" s="4"/>
      <c r="D32" s="4"/>
      <c r="E32" s="21"/>
      <c r="F32" s="20"/>
      <c r="G32" s="21"/>
      <c r="H32" s="20"/>
      <c r="I32" s="21"/>
      <c r="K32" s="21"/>
      <c r="M32" s="21"/>
    </row>
    <row r="33" spans="1:13" s="1" customFormat="1" ht="15.75" thickBot="1" x14ac:dyDescent="0.25">
      <c r="A33" s="42">
        <v>18</v>
      </c>
      <c r="B33" s="4" t="s">
        <v>48</v>
      </c>
      <c r="C33" s="4"/>
      <c r="D33" s="4"/>
      <c r="E33" s="21"/>
      <c r="F33" s="20"/>
      <c r="G33" s="21"/>
      <c r="H33" s="20"/>
      <c r="I33" s="21"/>
      <c r="K33" s="21"/>
      <c r="M33" s="21"/>
    </row>
    <row r="34" spans="1:13" s="1" customFormat="1" ht="15.75" x14ac:dyDescent="0.2">
      <c r="A34" s="47" t="s">
        <v>52</v>
      </c>
      <c r="B34" s="40"/>
      <c r="C34" s="40"/>
      <c r="D34" s="13"/>
      <c r="E34" s="21"/>
      <c r="F34" s="20"/>
      <c r="G34" s="21"/>
      <c r="H34" s="20"/>
      <c r="I34" s="21"/>
      <c r="K34" s="21"/>
      <c r="M34" s="21"/>
    </row>
    <row r="35" spans="1:13" s="1" customFormat="1" ht="33" customHeight="1" x14ac:dyDescent="0.25">
      <c r="A35" s="34">
        <v>19</v>
      </c>
      <c r="B35" s="31" t="s">
        <v>59</v>
      </c>
      <c r="C35" s="72"/>
      <c r="D35" s="35"/>
      <c r="E35" s="24"/>
      <c r="F35" s="20"/>
      <c r="G35" s="24"/>
      <c r="H35" s="20"/>
      <c r="I35" s="24"/>
      <c r="K35" s="24"/>
      <c r="M35" s="24"/>
    </row>
    <row r="36" spans="1:13" s="1" customFormat="1" ht="18.75" thickBot="1" x14ac:dyDescent="0.25">
      <c r="A36" s="49"/>
      <c r="B36" s="39"/>
      <c r="C36" s="39"/>
      <c r="D36" s="4"/>
      <c r="E36" s="21"/>
      <c r="F36" s="20"/>
      <c r="G36" s="21"/>
      <c r="H36" s="20"/>
      <c r="I36" s="21"/>
      <c r="K36" s="21"/>
      <c r="M36" s="21"/>
    </row>
    <row r="38" spans="1:13" x14ac:dyDescent="0.25">
      <c r="B38" s="322" t="s">
        <v>389</v>
      </c>
      <c r="C38" s="322"/>
    </row>
    <row r="39" spans="1:13" x14ac:dyDescent="0.25">
      <c r="B39" s="320" t="s">
        <v>390</v>
      </c>
      <c r="C39" s="320" t="s">
        <v>391</v>
      </c>
    </row>
    <row r="40" spans="1:13" x14ac:dyDescent="0.25">
      <c r="B40" s="320" t="s">
        <v>132</v>
      </c>
      <c r="C40" s="321">
        <v>43185</v>
      </c>
    </row>
    <row r="41" spans="1:13" x14ac:dyDescent="0.25">
      <c r="B41" s="320" t="s">
        <v>392</v>
      </c>
      <c r="C41" s="321" t="s">
        <v>393</v>
      </c>
    </row>
  </sheetData>
  <mergeCells count="1"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2" sqref="D12"/>
    </sheetView>
  </sheetViews>
  <sheetFormatPr defaultRowHeight="15" x14ac:dyDescent="0.25"/>
  <cols>
    <col min="1" max="1" width="16.140625" customWidth="1" collapsed="1"/>
    <col min="2" max="2" width="18.5703125" customWidth="1" collapsed="1"/>
    <col min="3" max="3" width="23.7109375" customWidth="1" collapsed="1"/>
    <col min="4" max="4" width="26.7109375" customWidth="1" collapsed="1"/>
  </cols>
  <sheetData>
    <row r="1" spans="1:4" ht="17.25" x14ac:dyDescent="0.3">
      <c r="A1" s="55" t="s">
        <v>71</v>
      </c>
      <c r="B1" s="56"/>
      <c r="C1" s="56"/>
      <c r="D1" s="56"/>
    </row>
    <row r="2" spans="1:4" x14ac:dyDescent="0.25">
      <c r="A2" s="57" t="s">
        <v>72</v>
      </c>
      <c r="B2" s="58" t="s">
        <v>73</v>
      </c>
      <c r="C2" s="58" t="s">
        <v>74</v>
      </c>
      <c r="D2" s="58" t="s">
        <v>75</v>
      </c>
    </row>
    <row r="3" spans="1:4" ht="36.75" x14ac:dyDescent="0.25">
      <c r="A3" s="59">
        <v>42485</v>
      </c>
      <c r="B3" s="59" t="s">
        <v>78</v>
      </c>
      <c r="C3" s="59" t="s">
        <v>77</v>
      </c>
      <c r="D3" s="59" t="s">
        <v>76</v>
      </c>
    </row>
    <row r="7" spans="1:4" x14ac:dyDescent="0.25">
      <c r="B7" t="s">
        <v>395</v>
      </c>
    </row>
    <row r="8" spans="1:4" x14ac:dyDescent="0.25">
      <c r="B8" t="s">
        <v>94</v>
      </c>
      <c r="C8" t="s">
        <v>400</v>
      </c>
      <c r="D8" t="s">
        <v>399</v>
      </c>
    </row>
    <row r="9" spans="1:4" x14ac:dyDescent="0.25">
      <c r="B9" t="s">
        <v>396</v>
      </c>
      <c r="C9" s="425" t="s">
        <v>403</v>
      </c>
      <c r="D9" s="425" t="s">
        <v>401</v>
      </c>
    </row>
    <row r="10" spans="1:4" x14ac:dyDescent="0.25">
      <c r="B10" t="s">
        <v>397</v>
      </c>
      <c r="C10" s="425" t="s">
        <v>398</v>
      </c>
      <c r="D10" s="425" t="s">
        <v>402</v>
      </c>
    </row>
    <row r="11" spans="1:4" x14ac:dyDescent="0.25">
      <c r="B11" t="s">
        <v>404</v>
      </c>
      <c r="C11" s="425" t="s">
        <v>405</v>
      </c>
      <c r="D11" s="425" t="s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9"/>
  <sheetViews>
    <sheetView topLeftCell="A10" workbookViewId="0">
      <selection activeCell="C22" sqref="C22"/>
    </sheetView>
  </sheetViews>
  <sheetFormatPr defaultRowHeight="15" x14ac:dyDescent="0.25"/>
  <cols>
    <col min="2" max="2" width="37.42578125" customWidth="1" collapsed="1"/>
    <col min="3" max="3" width="14.7109375" customWidth="1" collapsed="1"/>
    <col min="4" max="4" width="25.7109375" customWidth="1" collapsed="1"/>
    <col min="5" max="6" width="14.5703125" customWidth="1" collapsed="1"/>
    <col min="7" max="7" width="15.140625" customWidth="1" collapsed="1"/>
  </cols>
  <sheetData>
    <row r="1" spans="2:4" s="145" customFormat="1" x14ac:dyDescent="0.25"/>
    <row r="2" spans="2:4" s="145" customFormat="1" ht="15.75" thickBot="1" x14ac:dyDescent="0.3"/>
    <row r="3" spans="2:4" s="145" customFormat="1" ht="15.75" thickBot="1" x14ac:dyDescent="0.3">
      <c r="B3" s="323" t="s">
        <v>109</v>
      </c>
      <c r="C3" s="326"/>
      <c r="D3" s="327"/>
    </row>
    <row r="4" spans="2:4" s="145" customFormat="1" x14ac:dyDescent="0.25">
      <c r="B4" s="99" t="s">
        <v>181</v>
      </c>
      <c r="C4" s="164" t="s">
        <v>229</v>
      </c>
      <c r="D4" s="111"/>
    </row>
    <row r="5" spans="2:4" s="145" customFormat="1" x14ac:dyDescent="0.25">
      <c r="B5" s="82" t="s">
        <v>110</v>
      </c>
      <c r="C5" s="164" t="s">
        <v>130</v>
      </c>
      <c r="D5" s="169" t="s">
        <v>96</v>
      </c>
    </row>
    <row r="6" spans="2:4" s="145" customFormat="1" x14ac:dyDescent="0.25">
      <c r="B6" s="82" t="s">
        <v>114</v>
      </c>
      <c r="C6" s="61" t="s">
        <v>131</v>
      </c>
      <c r="D6" s="91" t="s">
        <v>61</v>
      </c>
    </row>
    <row r="7" spans="2:4" s="145" customFormat="1" x14ac:dyDescent="0.25">
      <c r="B7" s="82" t="s">
        <v>72</v>
      </c>
      <c r="C7" s="61" t="s">
        <v>132</v>
      </c>
      <c r="D7" s="92">
        <v>43374</v>
      </c>
    </row>
    <row r="8" spans="2:4" s="145" customFormat="1" x14ac:dyDescent="0.25">
      <c r="B8" s="82" t="s">
        <v>72</v>
      </c>
      <c r="C8" s="61" t="s">
        <v>133</v>
      </c>
      <c r="D8" s="83" t="s">
        <v>119</v>
      </c>
    </row>
    <row r="9" spans="2:4" s="145" customFormat="1" x14ac:dyDescent="0.25">
      <c r="B9" s="82" t="s">
        <v>126</v>
      </c>
      <c r="C9" s="61" t="s">
        <v>125</v>
      </c>
      <c r="D9" s="83"/>
    </row>
    <row r="10" spans="2:4" s="145" customFormat="1" ht="15.75" thickBot="1" x14ac:dyDescent="0.3">
      <c r="B10" s="84" t="s">
        <v>142</v>
      </c>
      <c r="C10" s="90" t="s">
        <v>144</v>
      </c>
      <c r="D10" s="85"/>
    </row>
    <row r="11" spans="2:4" s="145" customFormat="1" x14ac:dyDescent="0.25"/>
    <row r="12" spans="2:4" s="145" customFormat="1" ht="15.75" thickBot="1" x14ac:dyDescent="0.3"/>
    <row r="13" spans="2:4" s="145" customFormat="1" ht="15.75" thickBot="1" x14ac:dyDescent="0.3">
      <c r="B13" s="323" t="s">
        <v>104</v>
      </c>
      <c r="C13" s="324"/>
      <c r="D13" s="325"/>
    </row>
    <row r="14" spans="2:4" s="145" customFormat="1" x14ac:dyDescent="0.25">
      <c r="B14" s="82" t="s">
        <v>181</v>
      </c>
      <c r="C14" s="61" t="s">
        <v>227</v>
      </c>
      <c r="D14" s="116"/>
    </row>
    <row r="15" spans="2:4" s="145" customFormat="1" x14ac:dyDescent="0.25">
      <c r="B15" s="82" t="s">
        <v>105</v>
      </c>
      <c r="C15" s="61" t="s">
        <v>135</v>
      </c>
      <c r="D15" s="83" t="s">
        <v>17</v>
      </c>
    </row>
    <row r="16" spans="2:4" s="145" customFormat="1" x14ac:dyDescent="0.25">
      <c r="B16" s="82" t="s">
        <v>106</v>
      </c>
      <c r="C16" s="61" t="s">
        <v>269</v>
      </c>
      <c r="D16" s="83">
        <v>2015</v>
      </c>
    </row>
    <row r="17" spans="2:4" s="145" customFormat="1" x14ac:dyDescent="0.25">
      <c r="B17" s="82" t="s">
        <v>106</v>
      </c>
      <c r="C17" s="61" t="s">
        <v>134</v>
      </c>
      <c r="D17" s="83">
        <v>30000</v>
      </c>
    </row>
    <row r="18" spans="2:4" s="145" customFormat="1" x14ac:dyDescent="0.25">
      <c r="B18" s="82" t="s">
        <v>112</v>
      </c>
      <c r="C18" s="61" t="s">
        <v>136</v>
      </c>
      <c r="D18" s="83" t="s">
        <v>34</v>
      </c>
    </row>
    <row r="19" spans="2:4" x14ac:dyDescent="0.25">
      <c r="B19" s="82" t="s">
        <v>107</v>
      </c>
      <c r="C19" s="61" t="s">
        <v>137</v>
      </c>
      <c r="D19" s="83" t="s">
        <v>53</v>
      </c>
    </row>
    <row r="20" spans="2:4" ht="16.5" customHeight="1" x14ac:dyDescent="0.25">
      <c r="B20" s="82" t="s">
        <v>107</v>
      </c>
      <c r="C20" s="61" t="s">
        <v>138</v>
      </c>
      <c r="D20" s="83" t="s">
        <v>53</v>
      </c>
    </row>
    <row r="21" spans="2:4" x14ac:dyDescent="0.25">
      <c r="B21" s="82" t="s">
        <v>127</v>
      </c>
      <c r="C21" s="61" t="s">
        <v>128</v>
      </c>
      <c r="D21" s="83"/>
    </row>
    <row r="22" spans="2:4" ht="15.75" thickBot="1" x14ac:dyDescent="0.3">
      <c r="B22" s="84" t="s">
        <v>142</v>
      </c>
      <c r="C22" s="90" t="s">
        <v>143</v>
      </c>
      <c r="D22" s="85" t="s">
        <v>87</v>
      </c>
    </row>
    <row r="23" spans="2:4" x14ac:dyDescent="0.25">
      <c r="B23" s="145"/>
      <c r="C23" s="145"/>
      <c r="D23" s="145"/>
    </row>
    <row r="24" spans="2:4" ht="15.75" thickBot="1" x14ac:dyDescent="0.3">
      <c r="B24" s="145"/>
      <c r="C24" s="145"/>
      <c r="D24" s="145"/>
    </row>
    <row r="25" spans="2:4" ht="15.75" thickBot="1" x14ac:dyDescent="0.3">
      <c r="B25" s="323" t="s">
        <v>123</v>
      </c>
      <c r="C25" s="326"/>
      <c r="D25" s="327"/>
    </row>
    <row r="26" spans="2:4" x14ac:dyDescent="0.25">
      <c r="B26" s="82" t="s">
        <v>181</v>
      </c>
      <c r="C26" s="61" t="s">
        <v>230</v>
      </c>
      <c r="D26" s="83"/>
    </row>
    <row r="27" spans="2:4" x14ac:dyDescent="0.25">
      <c r="B27" s="82" t="s">
        <v>79</v>
      </c>
      <c r="C27" s="61" t="s">
        <v>129</v>
      </c>
      <c r="D27" s="83"/>
    </row>
    <row r="28" spans="2:4" x14ac:dyDescent="0.25">
      <c r="B28" s="82" t="s">
        <v>181</v>
      </c>
      <c r="C28" s="61" t="s">
        <v>184</v>
      </c>
      <c r="D28" s="83"/>
    </row>
    <row r="29" spans="2:4" x14ac:dyDescent="0.25">
      <c r="B29" s="82" t="s">
        <v>124</v>
      </c>
      <c r="C29" s="73" t="s">
        <v>139</v>
      </c>
      <c r="D29" s="83"/>
    </row>
    <row r="30" spans="2:4" ht="15.75" thickBot="1" x14ac:dyDescent="0.3">
      <c r="B30" s="84" t="s">
        <v>124</v>
      </c>
      <c r="C30" s="93" t="s">
        <v>140</v>
      </c>
      <c r="D30" s="85"/>
    </row>
    <row r="32" spans="2:4" ht="15.75" thickBot="1" x14ac:dyDescent="0.3"/>
    <row r="33" spans="2:2" x14ac:dyDescent="0.25">
      <c r="B33" s="74" t="s">
        <v>108</v>
      </c>
    </row>
    <row r="34" spans="2:2" x14ac:dyDescent="0.25">
      <c r="B34" s="80" t="s">
        <v>218</v>
      </c>
    </row>
    <row r="35" spans="2:2" ht="15.75" thickBot="1" x14ac:dyDescent="0.3">
      <c r="B35" s="81" t="s">
        <v>96</v>
      </c>
    </row>
    <row r="36" spans="2:2" x14ac:dyDescent="0.25">
      <c r="B36" s="66"/>
    </row>
    <row r="37" spans="2:2" ht="15.75" thickBot="1" x14ac:dyDescent="0.3">
      <c r="B37" s="66"/>
    </row>
    <row r="38" spans="2:2" ht="15.75" thickBot="1" x14ac:dyDescent="0.3">
      <c r="B38" s="97" t="s">
        <v>115</v>
      </c>
    </row>
    <row r="39" spans="2:2" x14ac:dyDescent="0.25">
      <c r="B39" s="88" t="s">
        <v>61</v>
      </c>
    </row>
    <row r="40" spans="2:2" x14ac:dyDescent="0.25">
      <c r="B40" s="88" t="s">
        <v>62</v>
      </c>
    </row>
    <row r="41" spans="2:2" x14ac:dyDescent="0.25">
      <c r="B41" s="88" t="s">
        <v>63</v>
      </c>
    </row>
    <row r="42" spans="2:2" x14ac:dyDescent="0.25">
      <c r="B42" s="88" t="s">
        <v>64</v>
      </c>
    </row>
    <row r="43" spans="2:2" x14ac:dyDescent="0.25">
      <c r="B43" s="88" t="s">
        <v>65</v>
      </c>
    </row>
    <row r="44" spans="2:2" x14ac:dyDescent="0.25">
      <c r="B44" s="88" t="s">
        <v>118</v>
      </c>
    </row>
    <row r="45" spans="2:2" x14ac:dyDescent="0.25">
      <c r="B45" s="88" t="s">
        <v>116</v>
      </c>
    </row>
    <row r="46" spans="2:2" x14ac:dyDescent="0.25">
      <c r="B46" s="88" t="s">
        <v>117</v>
      </c>
    </row>
    <row r="47" spans="2:2" x14ac:dyDescent="0.25">
      <c r="B47" s="88" t="s">
        <v>67</v>
      </c>
    </row>
    <row r="48" spans="2:2" x14ac:dyDescent="0.25">
      <c r="B48" s="88" t="s">
        <v>68</v>
      </c>
    </row>
    <row r="49" spans="2:4" ht="15.75" thickBot="1" x14ac:dyDescent="0.3">
      <c r="B49" s="89" t="s">
        <v>69</v>
      </c>
    </row>
    <row r="50" spans="2:4" x14ac:dyDescent="0.25">
      <c r="B50" s="66"/>
    </row>
    <row r="51" spans="2:4" ht="15.75" thickBot="1" x14ac:dyDescent="0.3"/>
    <row r="52" spans="2:4" ht="15.75" thickBot="1" x14ac:dyDescent="0.3">
      <c r="B52" s="97" t="s">
        <v>111</v>
      </c>
    </row>
    <row r="53" spans="2:4" x14ac:dyDescent="0.25">
      <c r="B53" s="78" t="s">
        <v>17</v>
      </c>
    </row>
    <row r="54" spans="2:4" x14ac:dyDescent="0.25">
      <c r="B54" s="78" t="s">
        <v>18</v>
      </c>
    </row>
    <row r="55" spans="2:4" ht="15.75" thickBot="1" x14ac:dyDescent="0.3">
      <c r="B55" s="79" t="s">
        <v>19</v>
      </c>
    </row>
    <row r="57" spans="2:4" ht="15.75" thickBot="1" x14ac:dyDescent="0.3"/>
    <row r="58" spans="2:4" ht="15.75" thickBot="1" x14ac:dyDescent="0.3">
      <c r="B58" s="97" t="s">
        <v>113</v>
      </c>
    </row>
    <row r="59" spans="2:4" x14ac:dyDescent="0.25">
      <c r="B59" s="75" t="s">
        <v>22</v>
      </c>
    </row>
    <row r="60" spans="2:4" x14ac:dyDescent="0.25">
      <c r="B60" s="76" t="s">
        <v>33</v>
      </c>
    </row>
    <row r="61" spans="2:4" ht="15.75" thickBot="1" x14ac:dyDescent="0.3">
      <c r="B61" s="77" t="s">
        <v>34</v>
      </c>
    </row>
    <row r="62" spans="2:4" x14ac:dyDescent="0.25">
      <c r="B62" s="94"/>
    </row>
    <row r="63" spans="2:4" ht="15.75" thickBot="1" x14ac:dyDescent="0.3">
      <c r="B63" s="61" t="s">
        <v>87</v>
      </c>
      <c r="C63" s="61"/>
      <c r="D63" s="61"/>
    </row>
    <row r="64" spans="2:4" ht="15.75" thickBot="1" x14ac:dyDescent="0.3">
      <c r="B64" s="97" t="s">
        <v>93</v>
      </c>
      <c r="C64" s="61"/>
      <c r="D64" s="61"/>
    </row>
    <row r="65" spans="2:2" x14ac:dyDescent="0.25">
      <c r="B65" s="78" t="s">
        <v>80</v>
      </c>
    </row>
    <row r="66" spans="2:2" x14ac:dyDescent="0.25">
      <c r="B66" s="78" t="s">
        <v>81</v>
      </c>
    </row>
    <row r="67" spans="2:2" x14ac:dyDescent="0.25">
      <c r="B67" s="78" t="s">
        <v>92</v>
      </c>
    </row>
    <row r="68" spans="2:2" x14ac:dyDescent="0.25">
      <c r="B68" s="78" t="s">
        <v>82</v>
      </c>
    </row>
    <row r="69" spans="2:2" ht="15.75" thickBot="1" x14ac:dyDescent="0.3">
      <c r="B69" s="79" t="s">
        <v>83</v>
      </c>
    </row>
  </sheetData>
  <mergeCells count="3">
    <mergeCell ref="B13:D13"/>
    <mergeCell ref="B3:D3"/>
    <mergeCell ref="B25:D25"/>
  </mergeCells>
  <pageMargins left="0.7" right="0.7" top="0.75" bottom="0.75" header="0.3" footer="0.3"/>
  <pageSetup paperSize="9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  <pageSetUpPr fitToPage="1"/>
  </sheetPr>
  <dimension ref="A1:N45"/>
  <sheetViews>
    <sheetView topLeftCell="A13" zoomScaleNormal="100" workbookViewId="0">
      <selection activeCell="B27" sqref="B27"/>
    </sheetView>
  </sheetViews>
  <sheetFormatPr defaultColWidth="9.140625" defaultRowHeight="15" x14ac:dyDescent="0.2"/>
  <cols>
    <col min="1" max="1" width="4.28515625" style="1" customWidth="1" collapsed="1"/>
    <col min="2" max="2" width="26.42578125" style="1" bestFit="1" customWidth="1" collapsed="1"/>
    <col min="3" max="3" width="43.5703125" style="1" bestFit="1" customWidth="1" collapsed="1"/>
    <col min="4" max="4" width="78.28515625" style="1" bestFit="1" customWidth="1" collapsed="1"/>
    <col min="5" max="5" width="26.28515625" style="1" customWidth="1" collapsed="1"/>
    <col min="6" max="6" width="18.42578125" style="1" customWidth="1" collapsed="1"/>
    <col min="7" max="7" width="5" style="1" customWidth="1" collapsed="1"/>
    <col min="8" max="8" width="18.140625" style="1" customWidth="1" collapsed="1"/>
    <col min="9" max="9" width="5" style="1" customWidth="1" collapsed="1"/>
    <col min="10" max="10" width="18" style="1" customWidth="1" collapsed="1"/>
    <col min="11" max="11" width="5" style="1" customWidth="1" collapsed="1"/>
    <col min="12" max="12" width="17.7109375" style="1" customWidth="1" collapsed="1"/>
    <col min="13" max="13" width="5" style="1" customWidth="1" collapsed="1"/>
    <col min="14" max="14" width="15.42578125" style="1" customWidth="1" collapsed="1"/>
    <col min="15" max="16384" width="9.140625" style="1" collapsed="1"/>
  </cols>
  <sheetData>
    <row r="1" spans="1:14" ht="16.5" thickBot="1" x14ac:dyDescent="0.3">
      <c r="A1" s="2"/>
      <c r="B1" s="86"/>
      <c r="C1" s="86"/>
      <c r="D1" s="87"/>
      <c r="F1" s="43"/>
      <c r="H1"/>
      <c r="J1"/>
      <c r="L1"/>
      <c r="N1"/>
    </row>
    <row r="2" spans="1:14" ht="40.5" customHeight="1" thickBot="1" x14ac:dyDescent="0.3">
      <c r="A2" s="2"/>
      <c r="B2" s="331" t="s">
        <v>211</v>
      </c>
      <c r="C2" s="332"/>
      <c r="D2" s="333"/>
      <c r="F2" s="43"/>
      <c r="H2"/>
      <c r="J2"/>
      <c r="L2"/>
      <c r="N2"/>
    </row>
    <row r="3" spans="1:14" ht="15.75" x14ac:dyDescent="0.25">
      <c r="A3" s="2"/>
      <c r="B3" s="95" t="s">
        <v>94</v>
      </c>
      <c r="C3" s="185" t="s">
        <v>50</v>
      </c>
      <c r="D3" s="186" t="s">
        <v>301</v>
      </c>
      <c r="F3" s="43"/>
      <c r="H3"/>
      <c r="J3"/>
      <c r="L3"/>
      <c r="N3"/>
    </row>
    <row r="4" spans="1:14" ht="15.75" x14ac:dyDescent="0.25">
      <c r="A4" s="2"/>
      <c r="B4" s="163" t="s">
        <v>203</v>
      </c>
      <c r="C4" s="189" t="s">
        <v>250</v>
      </c>
      <c r="D4" s="162" t="s">
        <v>369</v>
      </c>
      <c r="F4" s="43"/>
      <c r="H4" s="145"/>
      <c r="J4" s="145"/>
      <c r="L4" s="145"/>
      <c r="N4" s="145"/>
    </row>
    <row r="5" spans="1:14" ht="45.75" x14ac:dyDescent="0.25">
      <c r="A5" s="2"/>
      <c r="B5" s="163" t="s">
        <v>330</v>
      </c>
      <c r="C5" s="304" t="s">
        <v>372</v>
      </c>
      <c r="D5" s="162" t="s">
        <v>333</v>
      </c>
      <c r="F5" s="43"/>
      <c r="H5" s="194"/>
      <c r="J5" s="194"/>
      <c r="L5" s="194"/>
      <c r="N5" s="194"/>
    </row>
    <row r="6" spans="1:14" ht="15.75" x14ac:dyDescent="0.25">
      <c r="A6" s="2"/>
      <c r="B6" s="163" t="s">
        <v>247</v>
      </c>
      <c r="C6" s="189" t="s">
        <v>251</v>
      </c>
      <c r="D6" s="162" t="s">
        <v>302</v>
      </c>
      <c r="F6" s="43"/>
      <c r="H6"/>
      <c r="J6"/>
      <c r="L6"/>
      <c r="N6"/>
    </row>
    <row r="7" spans="1:14" ht="15.75" x14ac:dyDescent="0.25">
      <c r="A7" s="2"/>
      <c r="B7" s="163" t="s">
        <v>209</v>
      </c>
      <c r="C7" s="189" t="s">
        <v>252</v>
      </c>
      <c r="D7" s="162" t="s">
        <v>210</v>
      </c>
      <c r="F7" s="43"/>
      <c r="H7" s="145"/>
      <c r="J7" s="145"/>
      <c r="L7" s="145"/>
      <c r="N7" s="145"/>
    </row>
    <row r="8" spans="1:14" ht="15.75" x14ac:dyDescent="0.25">
      <c r="A8" s="2"/>
      <c r="B8" s="163" t="s">
        <v>97</v>
      </c>
      <c r="C8" s="189" t="s">
        <v>253</v>
      </c>
      <c r="D8" s="162" t="s">
        <v>213</v>
      </c>
      <c r="F8" s="43"/>
      <c r="H8"/>
      <c r="J8"/>
      <c r="L8"/>
      <c r="N8"/>
    </row>
    <row r="9" spans="1:14" ht="15.75" x14ac:dyDescent="0.25">
      <c r="A9" s="2"/>
      <c r="B9" s="163" t="s">
        <v>99</v>
      </c>
      <c r="C9" s="189" t="s">
        <v>254</v>
      </c>
      <c r="D9" s="162" t="s">
        <v>206</v>
      </c>
      <c r="F9" s="43"/>
      <c r="H9"/>
      <c r="J9"/>
      <c r="L9"/>
      <c r="N9"/>
    </row>
    <row r="10" spans="1:14" ht="15.75" x14ac:dyDescent="0.25">
      <c r="A10" s="2"/>
      <c r="B10" s="163" t="s">
        <v>98</v>
      </c>
      <c r="C10" s="189" t="s">
        <v>254</v>
      </c>
      <c r="D10" s="162" t="s">
        <v>208</v>
      </c>
      <c r="F10" s="43"/>
      <c r="H10"/>
      <c r="J10"/>
      <c r="L10"/>
      <c r="N10"/>
    </row>
    <row r="11" spans="1:14" ht="15.75" x14ac:dyDescent="0.25">
      <c r="A11" s="2"/>
      <c r="B11" s="163" t="s">
        <v>100</v>
      </c>
      <c r="C11" s="189" t="s">
        <v>255</v>
      </c>
      <c r="D11" s="162" t="s">
        <v>101</v>
      </c>
      <c r="F11" s="43"/>
      <c r="H11"/>
      <c r="J11"/>
      <c r="L11"/>
      <c r="N11"/>
    </row>
    <row r="12" spans="1:14" ht="16.5" thickBot="1" x14ac:dyDescent="0.3">
      <c r="A12" s="2"/>
      <c r="B12" s="187" t="s">
        <v>102</v>
      </c>
      <c r="C12" s="190" t="s">
        <v>256</v>
      </c>
      <c r="D12" s="188" t="s">
        <v>248</v>
      </c>
      <c r="F12" s="43"/>
      <c r="H12"/>
      <c r="J12"/>
      <c r="L12"/>
      <c r="N12"/>
    </row>
    <row r="13" spans="1:14" ht="15.75" x14ac:dyDescent="0.25">
      <c r="A13" s="2"/>
      <c r="B13" s="160"/>
      <c r="C13" s="154"/>
      <c r="D13" s="161"/>
      <c r="F13" s="43"/>
      <c r="H13" s="145"/>
      <c r="J13" s="145"/>
      <c r="L13" s="145"/>
      <c r="N13" s="145"/>
    </row>
    <row r="14" spans="1:14" ht="16.5" thickBot="1" x14ac:dyDescent="0.3">
      <c r="A14" s="2"/>
      <c r="B14" s="3"/>
      <c r="C14" s="3"/>
      <c r="D14" s="67"/>
      <c r="F14" s="43"/>
      <c r="H14"/>
      <c r="J14"/>
      <c r="L14"/>
      <c r="N14"/>
    </row>
    <row r="15" spans="1:14" ht="33.75" customHeight="1" thickBot="1" x14ac:dyDescent="0.3">
      <c r="A15" s="2"/>
      <c r="B15" s="328" t="s">
        <v>367</v>
      </c>
      <c r="C15" s="329"/>
      <c r="D15" s="330"/>
      <c r="F15" s="43"/>
      <c r="H15"/>
      <c r="J15"/>
      <c r="L15"/>
      <c r="N15"/>
    </row>
    <row r="16" spans="1:14" ht="15.75" x14ac:dyDescent="0.25">
      <c r="B16" s="150" t="s">
        <v>94</v>
      </c>
      <c r="C16" s="151" t="s">
        <v>50</v>
      </c>
      <c r="D16" s="152" t="s">
        <v>301</v>
      </c>
      <c r="E16" s="98"/>
      <c r="F16" s="98"/>
    </row>
    <row r="17" spans="2:6" x14ac:dyDescent="0.2">
      <c r="B17" s="153" t="s">
        <v>190</v>
      </c>
      <c r="C17" s="189" t="s">
        <v>257</v>
      </c>
      <c r="D17" s="155" t="s">
        <v>191</v>
      </c>
      <c r="E17" s="98"/>
      <c r="F17" s="98"/>
    </row>
    <row r="18" spans="2:6" x14ac:dyDescent="0.2">
      <c r="B18" s="153" t="s">
        <v>193</v>
      </c>
      <c r="C18" s="189" t="s">
        <v>258</v>
      </c>
      <c r="D18" s="156" t="s">
        <v>270</v>
      </c>
      <c r="E18" s="98"/>
      <c r="F18" s="98"/>
    </row>
    <row r="19" spans="2:6" x14ac:dyDescent="0.2">
      <c r="B19" s="153" t="s">
        <v>194</v>
      </c>
      <c r="C19" s="189" t="s">
        <v>259</v>
      </c>
      <c r="D19" s="156" t="s">
        <v>192</v>
      </c>
      <c r="E19" s="98"/>
      <c r="F19" s="98"/>
    </row>
    <row r="20" spans="2:6" ht="30" x14ac:dyDescent="0.2">
      <c r="B20" s="153" t="s">
        <v>195</v>
      </c>
      <c r="C20" s="191" t="s">
        <v>371</v>
      </c>
      <c r="D20" s="156" t="s">
        <v>246</v>
      </c>
      <c r="E20" s="98"/>
      <c r="F20" s="98"/>
    </row>
    <row r="21" spans="2:6" x14ac:dyDescent="0.2">
      <c r="B21" s="153" t="s">
        <v>351</v>
      </c>
      <c r="C21" s="189" t="s">
        <v>260</v>
      </c>
      <c r="D21" s="156" t="s">
        <v>196</v>
      </c>
      <c r="E21" s="98"/>
      <c r="F21" s="98"/>
    </row>
    <row r="22" spans="2:6" x14ac:dyDescent="0.2">
      <c r="B22" s="153" t="s">
        <v>198</v>
      </c>
      <c r="C22" s="189" t="s">
        <v>261</v>
      </c>
      <c r="D22" s="156" t="s">
        <v>352</v>
      </c>
      <c r="E22" s="98"/>
      <c r="F22" s="98"/>
    </row>
    <row r="23" spans="2:6" x14ac:dyDescent="0.2">
      <c r="B23" s="153" t="s">
        <v>200</v>
      </c>
      <c r="C23" s="189" t="s">
        <v>262</v>
      </c>
      <c r="D23" s="156" t="s">
        <v>319</v>
      </c>
      <c r="E23" s="98"/>
      <c r="F23" s="98"/>
    </row>
    <row r="24" spans="2:6" x14ac:dyDescent="0.2">
      <c r="B24" s="153" t="s">
        <v>201</v>
      </c>
      <c r="C24" s="189" t="s">
        <v>263</v>
      </c>
      <c r="D24" s="156" t="s">
        <v>202</v>
      </c>
      <c r="E24" s="98"/>
      <c r="F24" s="98"/>
    </row>
    <row r="25" spans="2:6" x14ac:dyDescent="0.2">
      <c r="B25" s="153" t="s">
        <v>312</v>
      </c>
      <c r="C25" s="189" t="s">
        <v>317</v>
      </c>
      <c r="D25" s="156" t="s">
        <v>315</v>
      </c>
      <c r="E25" s="98"/>
      <c r="F25" s="156"/>
    </row>
    <row r="26" spans="2:6" x14ac:dyDescent="0.2">
      <c r="B26" s="153" t="s">
        <v>95</v>
      </c>
      <c r="C26" s="189" t="s">
        <v>264</v>
      </c>
      <c r="D26" s="156" t="s">
        <v>394</v>
      </c>
      <c r="E26" s="98"/>
    </row>
    <row r="27" spans="2:6" ht="30" x14ac:dyDescent="0.2">
      <c r="B27" s="153" t="s">
        <v>203</v>
      </c>
      <c r="C27" s="191" t="s">
        <v>318</v>
      </c>
      <c r="D27" s="156" t="s">
        <v>249</v>
      </c>
      <c r="E27" s="98"/>
      <c r="F27" s="98"/>
    </row>
    <row r="28" spans="2:6" x14ac:dyDescent="0.2">
      <c r="B28" s="153" t="s">
        <v>204</v>
      </c>
      <c r="C28" s="189" t="s">
        <v>265</v>
      </c>
      <c r="D28" s="156" t="s">
        <v>205</v>
      </c>
      <c r="E28" s="98"/>
      <c r="F28" s="98"/>
    </row>
    <row r="29" spans="2:6" ht="15.75" thickBot="1" x14ac:dyDescent="0.25">
      <c r="B29" s="157"/>
      <c r="C29" s="96"/>
      <c r="D29" s="158"/>
      <c r="E29" s="98"/>
      <c r="F29" s="98"/>
    </row>
    <row r="30" spans="2:6" x14ac:dyDescent="0.2">
      <c r="B30" s="98"/>
      <c r="C30" s="98"/>
      <c r="D30" s="126"/>
      <c r="E30" s="98"/>
      <c r="F30" s="98"/>
    </row>
    <row r="44" spans="5:13" x14ac:dyDescent="0.2">
      <c r="E44" s="20"/>
      <c r="F44" s="20"/>
      <c r="G44" s="20"/>
      <c r="H44" s="20"/>
      <c r="I44" s="20"/>
      <c r="K44" s="20"/>
      <c r="M44" s="20"/>
    </row>
    <row r="45" spans="5:13" x14ac:dyDescent="0.2">
      <c r="E45" s="20"/>
      <c r="F45" s="20"/>
      <c r="G45" s="20"/>
      <c r="H45" s="20"/>
      <c r="I45" s="20"/>
      <c r="K45" s="20"/>
      <c r="M45" s="20"/>
    </row>
  </sheetData>
  <mergeCells count="2">
    <mergeCell ref="B15:D15"/>
    <mergeCell ref="B2:D2"/>
  </mergeCells>
  <pageMargins left="0.7" right="0.7" top="0.75" bottom="0.75" header="0.3" footer="0.3"/>
  <pageSetup scale="3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workbookViewId="0">
      <selection activeCell="D25" sqref="D25"/>
    </sheetView>
  </sheetViews>
  <sheetFormatPr defaultRowHeight="15" x14ac:dyDescent="0.25"/>
  <cols>
    <col min="2" max="2" width="18.28515625" bestFit="1" customWidth="1" collapsed="1"/>
    <col min="3" max="3" width="22.28515625" bestFit="1" customWidth="1" collapsed="1"/>
    <col min="4" max="4" width="44.85546875" customWidth="1" collapsed="1"/>
    <col min="9" max="9" width="18.28515625" bestFit="1" customWidth="1" collapsed="1"/>
    <col min="10" max="10" width="49.85546875" bestFit="1" customWidth="1" collapsed="1"/>
  </cols>
  <sheetData>
    <row r="1" spans="2:5" s="194" customFormat="1" x14ac:dyDescent="0.25"/>
    <row r="2" spans="2:5" s="194" customFormat="1" ht="15.75" thickBot="1" x14ac:dyDescent="0.3"/>
    <row r="3" spans="2:5" s="194" customFormat="1" ht="30.75" customHeight="1" thickBot="1" x14ac:dyDescent="0.3">
      <c r="B3" s="336" t="s">
        <v>348</v>
      </c>
      <c r="C3" s="337"/>
      <c r="D3" s="338"/>
    </row>
    <row r="4" spans="2:5" s="194" customFormat="1" ht="15.75" x14ac:dyDescent="0.25">
      <c r="B4" s="95" t="s">
        <v>94</v>
      </c>
      <c r="C4" s="185" t="s">
        <v>50</v>
      </c>
      <c r="D4" s="186" t="s">
        <v>301</v>
      </c>
    </row>
    <row r="5" spans="2:5" s="194" customFormat="1" ht="75" x14ac:dyDescent="0.25">
      <c r="B5" s="142" t="s">
        <v>344</v>
      </c>
      <c r="C5" s="309" t="s">
        <v>370</v>
      </c>
      <c r="D5" s="310" t="s">
        <v>350</v>
      </c>
    </row>
    <row r="6" spans="2:5" s="194" customFormat="1" x14ac:dyDescent="0.25">
      <c r="B6" s="142" t="s">
        <v>199</v>
      </c>
      <c r="C6" s="311" t="s">
        <v>199</v>
      </c>
      <c r="D6" s="310" t="s">
        <v>349</v>
      </c>
    </row>
    <row r="7" spans="2:5" s="194" customFormat="1" ht="15.75" thickBot="1" x14ac:dyDescent="0.3">
      <c r="B7" s="84" t="s">
        <v>183</v>
      </c>
      <c r="C7" s="248" t="s">
        <v>345</v>
      </c>
      <c r="D7" s="312" t="s">
        <v>346</v>
      </c>
    </row>
    <row r="8" spans="2:5" s="194" customFormat="1" x14ac:dyDescent="0.25"/>
    <row r="9" spans="2:5" ht="15.75" thickBot="1" x14ac:dyDescent="0.3"/>
    <row r="10" spans="2:5" ht="27.75" customHeight="1" thickBot="1" x14ac:dyDescent="0.3">
      <c r="B10" s="339" t="s">
        <v>347</v>
      </c>
      <c r="C10" s="340"/>
      <c r="D10" s="341"/>
    </row>
    <row r="11" spans="2:5" x14ac:dyDescent="0.25">
      <c r="B11" s="99" t="s">
        <v>120</v>
      </c>
      <c r="C11" s="255" t="s">
        <v>197</v>
      </c>
      <c r="D11" s="301" t="b">
        <v>1</v>
      </c>
    </row>
    <row r="12" spans="2:5" x14ac:dyDescent="0.25">
      <c r="B12" s="205" t="s">
        <v>84</v>
      </c>
      <c r="C12" s="342" t="s">
        <v>85</v>
      </c>
      <c r="D12" s="343"/>
    </row>
    <row r="13" spans="2:5" x14ac:dyDescent="0.25">
      <c r="B13" s="297" t="s">
        <v>129</v>
      </c>
      <c r="C13" s="334" t="s">
        <v>385</v>
      </c>
      <c r="D13" s="335"/>
    </row>
    <row r="14" spans="2:5" ht="15.75" thickBot="1" x14ac:dyDescent="0.3">
      <c r="B14" s="297" t="s">
        <v>79</v>
      </c>
      <c r="C14" s="313" t="s">
        <v>383</v>
      </c>
      <c r="D14" s="313" t="s">
        <v>384</v>
      </c>
      <c r="E14" s="197"/>
    </row>
    <row r="15" spans="2:5" x14ac:dyDescent="0.25">
      <c r="B15" s="285" t="s">
        <v>79</v>
      </c>
      <c r="C15" s="298" t="s">
        <v>379</v>
      </c>
      <c r="D15" s="316" t="s">
        <v>16</v>
      </c>
      <c r="E15" s="197"/>
    </row>
    <row r="16" spans="2:5" x14ac:dyDescent="0.25">
      <c r="B16" s="142" t="s">
        <v>80</v>
      </c>
      <c r="C16" s="317">
        <v>150</v>
      </c>
      <c r="D16" s="313" t="s">
        <v>380</v>
      </c>
      <c r="E16" s="302"/>
    </row>
    <row r="17" spans="2:5" x14ac:dyDescent="0.25">
      <c r="B17" s="142" t="s">
        <v>81</v>
      </c>
      <c r="C17" s="317">
        <v>130</v>
      </c>
      <c r="D17" s="313" t="s">
        <v>381</v>
      </c>
      <c r="E17" s="314"/>
    </row>
    <row r="18" spans="2:5" x14ac:dyDescent="0.25">
      <c r="B18" s="142" t="s">
        <v>92</v>
      </c>
      <c r="C18" s="317">
        <v>45</v>
      </c>
      <c r="D18" s="313" t="s">
        <v>382</v>
      </c>
      <c r="E18" s="314"/>
    </row>
    <row r="19" spans="2:5" x14ac:dyDescent="0.25">
      <c r="B19" s="142" t="s">
        <v>82</v>
      </c>
      <c r="C19" s="317">
        <v>50</v>
      </c>
      <c r="D19" s="313" t="s">
        <v>388</v>
      </c>
      <c r="E19" s="302"/>
    </row>
    <row r="20" spans="2:5" ht="15.75" thickBot="1" x14ac:dyDescent="0.3">
      <c r="B20" s="84" t="s">
        <v>83</v>
      </c>
      <c r="C20" s="318">
        <v>225</v>
      </c>
      <c r="D20" s="315" t="s">
        <v>388</v>
      </c>
      <c r="E20" s="302"/>
    </row>
  </sheetData>
  <mergeCells count="4">
    <mergeCell ref="C13:D13"/>
    <mergeCell ref="B3:D3"/>
    <mergeCell ref="B10:D10"/>
    <mergeCell ref="C12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activeCell="D5" sqref="D5:F5"/>
    </sheetView>
  </sheetViews>
  <sheetFormatPr defaultRowHeight="15" x14ac:dyDescent="0.25"/>
  <cols>
    <col min="1" max="1" width="9" style="194" collapsed="1"/>
    <col min="2" max="2" width="26.5703125" customWidth="1" collapsed="1"/>
    <col min="3" max="3" width="15.42578125" bestFit="1" customWidth="1" collapsed="1"/>
    <col min="4" max="4" width="29.140625" customWidth="1" collapsed="1"/>
    <col min="5" max="6" width="13.85546875" bestFit="1" customWidth="1" collapsed="1"/>
    <col min="7" max="7" width="22.140625" customWidth="1" collapsed="1"/>
    <col min="8" max="8" width="16.42578125" customWidth="1" collapsed="1"/>
  </cols>
  <sheetData>
    <row r="1" spans="2:8" ht="40.5" customHeight="1" x14ac:dyDescent="0.35">
      <c r="B1" s="9" t="s">
        <v>8</v>
      </c>
      <c r="C1" s="9"/>
      <c r="G1" s="9"/>
    </row>
    <row r="2" spans="2:8" ht="15.75" thickBot="1" x14ac:dyDescent="0.3"/>
    <row r="3" spans="2:8" x14ac:dyDescent="0.25">
      <c r="B3" s="344" t="s">
        <v>8</v>
      </c>
      <c r="C3" s="345"/>
      <c r="D3" s="345"/>
      <c r="E3" s="345"/>
      <c r="F3" s="346"/>
      <c r="G3" s="197"/>
      <c r="H3" s="197"/>
    </row>
    <row r="4" spans="2:8" x14ac:dyDescent="0.25">
      <c r="B4" s="142" t="s">
        <v>145</v>
      </c>
      <c r="C4" s="197" t="s">
        <v>146</v>
      </c>
      <c r="D4" s="197" t="s">
        <v>147</v>
      </c>
      <c r="E4" s="197" t="s">
        <v>148</v>
      </c>
      <c r="F4" s="250" t="s">
        <v>149</v>
      </c>
      <c r="G4" s="197"/>
      <c r="H4" s="197"/>
    </row>
    <row r="5" spans="2:8" ht="15.75" thickBot="1" x14ac:dyDescent="0.3">
      <c r="B5" s="84" t="s">
        <v>150</v>
      </c>
      <c r="C5" s="248" t="s">
        <v>151</v>
      </c>
      <c r="D5" s="248" t="s">
        <v>152</v>
      </c>
      <c r="E5" s="248" t="s">
        <v>153</v>
      </c>
      <c r="F5" s="249" t="s">
        <v>154</v>
      </c>
      <c r="G5" s="197"/>
      <c r="H5" s="197"/>
    </row>
    <row r="10" spans="2:8" x14ac:dyDescent="0.25">
      <c r="B10" s="195"/>
    </row>
    <row r="11" spans="2:8" x14ac:dyDescent="0.25">
      <c r="B11" s="195"/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workbookViewId="0">
      <selection activeCell="F2" sqref="F2:G2"/>
    </sheetView>
  </sheetViews>
  <sheetFormatPr defaultRowHeight="15" x14ac:dyDescent="0.25"/>
  <cols>
    <col min="1" max="1" width="9" style="194" collapsed="1"/>
    <col min="2" max="2" width="15.42578125" customWidth="1" collapsed="1"/>
    <col min="3" max="3" width="11.42578125" customWidth="1" collapsed="1"/>
    <col min="4" max="4" width="37.5703125" customWidth="1" collapsed="1"/>
    <col min="6" max="6" width="23.42578125" customWidth="1" collapsed="1"/>
  </cols>
  <sheetData>
    <row r="1" spans="2:15" ht="24" thickBot="1" x14ac:dyDescent="0.4">
      <c r="B1" s="11"/>
    </row>
    <row r="2" spans="2:15" ht="31.5" customHeight="1" thickBot="1" x14ac:dyDescent="0.3">
      <c r="B2" s="355" t="s">
        <v>376</v>
      </c>
      <c r="C2" s="333"/>
      <c r="D2" s="356"/>
      <c r="F2" s="352" t="s">
        <v>377</v>
      </c>
      <c r="G2" s="353"/>
    </row>
    <row r="3" spans="2:15" x14ac:dyDescent="0.25">
      <c r="B3" s="344" t="s">
        <v>120</v>
      </c>
      <c r="C3" s="255" t="s">
        <v>197</v>
      </c>
      <c r="D3" s="241" t="b">
        <v>1</v>
      </c>
      <c r="F3" s="207" t="s">
        <v>280</v>
      </c>
      <c r="G3" s="208" t="s">
        <v>243</v>
      </c>
    </row>
    <row r="4" spans="2:15" s="194" customFormat="1" ht="15.75" thickBot="1" x14ac:dyDescent="0.3">
      <c r="B4" s="354"/>
      <c r="C4" s="90" t="s">
        <v>122</v>
      </c>
      <c r="D4" s="242" t="s">
        <v>272</v>
      </c>
      <c r="F4" s="253" t="s">
        <v>281</v>
      </c>
      <c r="G4" s="254" t="s">
        <v>244</v>
      </c>
    </row>
    <row r="5" spans="2:15" x14ac:dyDescent="0.25">
      <c r="B5" s="270" t="s">
        <v>180</v>
      </c>
      <c r="C5" s="357" t="s">
        <v>16</v>
      </c>
      <c r="D5" s="358"/>
      <c r="F5" s="142" t="s">
        <v>155</v>
      </c>
      <c r="G5" s="287">
        <v>1</v>
      </c>
    </row>
    <row r="6" spans="2:15" x14ac:dyDescent="0.25">
      <c r="B6" s="142" t="s">
        <v>155</v>
      </c>
      <c r="C6" s="359">
        <v>1</v>
      </c>
      <c r="D6" s="349"/>
      <c r="F6" s="142" t="s">
        <v>164</v>
      </c>
      <c r="G6" s="287">
        <v>1.19</v>
      </c>
      <c r="H6" s="194"/>
      <c r="I6" s="194"/>
      <c r="J6" s="194"/>
      <c r="K6" s="194"/>
      <c r="L6" s="194"/>
      <c r="M6" s="194"/>
      <c r="N6" s="194"/>
      <c r="O6" s="194"/>
    </row>
    <row r="7" spans="2:15" ht="15.75" thickBot="1" x14ac:dyDescent="0.3">
      <c r="B7" s="142" t="s">
        <v>156</v>
      </c>
      <c r="C7" s="348">
        <v>1.1100000000000001</v>
      </c>
      <c r="D7" s="349"/>
      <c r="F7" s="84" t="s">
        <v>179</v>
      </c>
      <c r="G7" s="286">
        <v>1.34</v>
      </c>
      <c r="H7" s="194"/>
      <c r="I7" s="194"/>
      <c r="J7" s="194"/>
      <c r="K7" s="194"/>
      <c r="L7" s="194"/>
      <c r="M7" s="194"/>
      <c r="N7" s="194"/>
      <c r="O7" s="194"/>
    </row>
    <row r="8" spans="2:15" x14ac:dyDescent="0.25">
      <c r="B8" s="142" t="s">
        <v>157</v>
      </c>
      <c r="C8" s="348">
        <v>1.1200000000000001</v>
      </c>
      <c r="D8" s="349"/>
      <c r="F8" s="194"/>
      <c r="G8" s="194"/>
      <c r="H8" s="194"/>
      <c r="I8" s="194"/>
      <c r="J8" s="194"/>
      <c r="K8" s="194"/>
      <c r="L8" s="194"/>
      <c r="M8" s="194"/>
      <c r="N8" s="194"/>
      <c r="O8" s="194"/>
    </row>
    <row r="9" spans="2:15" x14ac:dyDescent="0.25">
      <c r="B9" s="142" t="s">
        <v>158</v>
      </c>
      <c r="C9" s="348">
        <v>1.1299999999999999</v>
      </c>
      <c r="D9" s="349"/>
      <c r="F9" s="194"/>
      <c r="G9" s="194"/>
      <c r="H9" s="194"/>
      <c r="I9" s="194"/>
      <c r="J9" s="194"/>
      <c r="K9" s="194"/>
      <c r="L9" s="194"/>
      <c r="M9" s="194"/>
      <c r="N9" s="194"/>
      <c r="O9" s="194"/>
    </row>
    <row r="10" spans="2:15" x14ac:dyDescent="0.25">
      <c r="B10" s="142" t="s">
        <v>159</v>
      </c>
      <c r="C10" s="348">
        <v>1.1399999999999999</v>
      </c>
      <c r="D10" s="349"/>
      <c r="F10" s="194"/>
      <c r="G10" s="194"/>
      <c r="H10" s="194"/>
      <c r="I10" s="194"/>
      <c r="J10" s="194"/>
      <c r="K10" s="197"/>
      <c r="L10" s="347"/>
      <c r="M10" s="347"/>
      <c r="N10" s="194"/>
      <c r="O10" s="194"/>
    </row>
    <row r="11" spans="2:15" x14ac:dyDescent="0.25">
      <c r="B11" s="142" t="s">
        <v>160</v>
      </c>
      <c r="C11" s="348">
        <v>1.1499999999999999</v>
      </c>
      <c r="D11" s="349"/>
      <c r="H11" s="194"/>
      <c r="I11" s="194"/>
      <c r="J11" s="194"/>
      <c r="K11" s="197"/>
      <c r="L11" s="347"/>
      <c r="M11" s="347"/>
      <c r="N11" s="194"/>
      <c r="O11" s="194"/>
    </row>
    <row r="12" spans="2:15" x14ac:dyDescent="0.25">
      <c r="B12" s="142" t="s">
        <v>161</v>
      </c>
      <c r="C12" s="348">
        <v>1.1599999999999999</v>
      </c>
      <c r="D12" s="349"/>
      <c r="H12" s="194"/>
      <c r="I12" s="194"/>
      <c r="J12" s="194"/>
      <c r="K12" s="197"/>
      <c r="L12" s="347"/>
      <c r="M12" s="347"/>
      <c r="N12" s="194"/>
      <c r="O12" s="194"/>
    </row>
    <row r="13" spans="2:15" x14ac:dyDescent="0.25">
      <c r="B13" s="142" t="s">
        <v>162</v>
      </c>
      <c r="C13" s="348">
        <v>1.17</v>
      </c>
      <c r="D13" s="349"/>
      <c r="H13" s="194"/>
      <c r="I13" s="194"/>
      <c r="J13" s="194"/>
      <c r="K13" s="194"/>
      <c r="L13" s="194"/>
      <c r="M13" s="194"/>
      <c r="N13" s="194"/>
      <c r="O13" s="194"/>
    </row>
    <row r="14" spans="2:15" ht="16.5" customHeight="1" x14ac:dyDescent="0.25">
      <c r="B14" s="142" t="s">
        <v>163</v>
      </c>
      <c r="C14" s="348">
        <v>1.18</v>
      </c>
      <c r="D14" s="349"/>
      <c r="H14" s="194"/>
      <c r="I14" s="194"/>
      <c r="J14" s="194"/>
      <c r="K14" s="194"/>
      <c r="L14" s="194"/>
      <c r="M14" s="194"/>
      <c r="N14" s="194"/>
      <c r="O14" s="194"/>
    </row>
    <row r="15" spans="2:15" x14ac:dyDescent="0.25">
      <c r="B15" s="142" t="s">
        <v>164</v>
      </c>
      <c r="C15" s="348">
        <v>1.19</v>
      </c>
      <c r="D15" s="349"/>
      <c r="H15" s="194"/>
      <c r="I15" s="194"/>
      <c r="J15" s="194"/>
      <c r="K15" s="194"/>
      <c r="L15" s="194"/>
      <c r="M15" s="194"/>
      <c r="N15" s="194"/>
      <c r="O15" s="194"/>
    </row>
    <row r="16" spans="2:15" x14ac:dyDescent="0.25">
      <c r="B16" s="142" t="s">
        <v>165</v>
      </c>
      <c r="C16" s="348">
        <v>1.2</v>
      </c>
      <c r="D16" s="349"/>
      <c r="H16" s="194"/>
      <c r="I16" s="194"/>
      <c r="J16" s="194"/>
      <c r="K16" s="194"/>
      <c r="L16" s="194"/>
      <c r="M16" s="194"/>
      <c r="N16" s="194"/>
      <c r="O16" s="194"/>
    </row>
    <row r="17" spans="2:13" x14ac:dyDescent="0.25">
      <c r="B17" s="142" t="s">
        <v>166</v>
      </c>
      <c r="C17" s="348">
        <v>1.21</v>
      </c>
      <c r="D17" s="349"/>
      <c r="G17" s="194"/>
    </row>
    <row r="18" spans="2:13" x14ac:dyDescent="0.25">
      <c r="B18" s="142" t="s">
        <v>167</v>
      </c>
      <c r="C18" s="348">
        <v>1.22</v>
      </c>
      <c r="D18" s="349"/>
      <c r="G18" s="194"/>
    </row>
    <row r="19" spans="2:13" x14ac:dyDescent="0.25">
      <c r="B19" s="142" t="s">
        <v>168</v>
      </c>
      <c r="C19" s="348">
        <v>1.23</v>
      </c>
      <c r="D19" s="349"/>
    </row>
    <row r="20" spans="2:13" x14ac:dyDescent="0.25">
      <c r="B20" s="142" t="s">
        <v>169</v>
      </c>
      <c r="C20" s="348">
        <v>1.24</v>
      </c>
      <c r="D20" s="349"/>
    </row>
    <row r="21" spans="2:13" x14ac:dyDescent="0.25">
      <c r="B21" s="142" t="s">
        <v>170</v>
      </c>
      <c r="C21" s="348">
        <v>1.25</v>
      </c>
      <c r="D21" s="349"/>
      <c r="K21" s="197"/>
      <c r="L21" s="347"/>
      <c r="M21" s="347"/>
    </row>
    <row r="22" spans="2:13" x14ac:dyDescent="0.25">
      <c r="B22" s="142" t="s">
        <v>171</v>
      </c>
      <c r="C22" s="348">
        <v>1.26</v>
      </c>
      <c r="D22" s="349"/>
      <c r="K22" s="197"/>
      <c r="L22" s="347"/>
      <c r="M22" s="347"/>
    </row>
    <row r="23" spans="2:13" x14ac:dyDescent="0.25">
      <c r="B23" s="142" t="s">
        <v>172</v>
      </c>
      <c r="C23" s="348">
        <v>1.27</v>
      </c>
      <c r="D23" s="349"/>
      <c r="K23" s="197"/>
      <c r="L23" s="347"/>
      <c r="M23" s="347"/>
    </row>
    <row r="24" spans="2:13" x14ac:dyDescent="0.25">
      <c r="B24" s="142" t="s">
        <v>173</v>
      </c>
      <c r="C24" s="348">
        <v>1.28</v>
      </c>
      <c r="D24" s="349"/>
      <c r="K24" s="197"/>
      <c r="L24" s="347"/>
      <c r="M24" s="347"/>
    </row>
    <row r="25" spans="2:13" x14ac:dyDescent="0.25">
      <c r="B25" s="142" t="s">
        <v>174</v>
      </c>
      <c r="C25" s="348">
        <v>1.29</v>
      </c>
      <c r="D25" s="349"/>
      <c r="K25" s="197"/>
      <c r="L25" s="347"/>
      <c r="M25" s="347"/>
    </row>
    <row r="26" spans="2:13" x14ac:dyDescent="0.25">
      <c r="B26" s="142" t="s">
        <v>175</v>
      </c>
      <c r="C26" s="348">
        <v>1.3</v>
      </c>
      <c r="D26" s="349"/>
    </row>
    <row r="27" spans="2:13" x14ac:dyDescent="0.25">
      <c r="B27" s="142" t="s">
        <v>176</v>
      </c>
      <c r="C27" s="348">
        <v>1.31</v>
      </c>
      <c r="D27" s="349"/>
    </row>
    <row r="28" spans="2:13" x14ac:dyDescent="0.25">
      <c r="B28" s="142" t="s">
        <v>177</v>
      </c>
      <c r="C28" s="348">
        <v>1.32</v>
      </c>
      <c r="D28" s="349"/>
    </row>
    <row r="29" spans="2:13" x14ac:dyDescent="0.25">
      <c r="B29" s="142" t="s">
        <v>178</v>
      </c>
      <c r="C29" s="348">
        <v>1.33</v>
      </c>
      <c r="D29" s="349"/>
    </row>
    <row r="30" spans="2:13" ht="15.75" thickBot="1" x14ac:dyDescent="0.3">
      <c r="B30" s="84" t="s">
        <v>179</v>
      </c>
      <c r="C30" s="350">
        <v>1.34</v>
      </c>
      <c r="D30" s="351"/>
    </row>
    <row r="31" spans="2:13" x14ac:dyDescent="0.25">
      <c r="B31" s="60"/>
      <c r="C31" s="60"/>
      <c r="D31" s="60"/>
    </row>
    <row r="32" spans="2:13" x14ac:dyDescent="0.25">
      <c r="B32" s="60"/>
      <c r="C32" s="60"/>
      <c r="D32" s="60"/>
    </row>
    <row r="33" spans="2:4" ht="15.75" thickBot="1" x14ac:dyDescent="0.3">
      <c r="B33" s="12" t="s">
        <v>10</v>
      </c>
      <c r="C33" s="12"/>
      <c r="D33" s="12"/>
    </row>
    <row r="34" spans="2:4" x14ac:dyDescent="0.25">
      <c r="B34" s="99" t="s">
        <v>145</v>
      </c>
      <c r="C34" s="113"/>
    </row>
    <row r="35" spans="2:4" x14ac:dyDescent="0.25">
      <c r="B35" s="82" t="s">
        <v>15</v>
      </c>
      <c r="C35" s="83" t="s">
        <v>16</v>
      </c>
    </row>
    <row r="36" spans="2:4" x14ac:dyDescent="0.25">
      <c r="B36" s="82" t="s">
        <v>155</v>
      </c>
      <c r="C36" s="83">
        <v>1</v>
      </c>
    </row>
    <row r="37" spans="2:4" x14ac:dyDescent="0.25">
      <c r="B37" s="82" t="s">
        <v>156</v>
      </c>
      <c r="C37" s="83">
        <v>1.1100000000000001</v>
      </c>
    </row>
    <row r="38" spans="2:4" x14ac:dyDescent="0.25">
      <c r="B38" s="82" t="s">
        <v>157</v>
      </c>
      <c r="C38" s="83">
        <v>1.1200000000000001</v>
      </c>
    </row>
    <row r="39" spans="2:4" x14ac:dyDescent="0.25">
      <c r="B39" s="82" t="s">
        <v>158</v>
      </c>
      <c r="C39" s="83">
        <v>1.1299999999999999</v>
      </c>
    </row>
    <row r="40" spans="2:4" x14ac:dyDescent="0.25">
      <c r="B40" s="82" t="s">
        <v>159</v>
      </c>
      <c r="C40" s="83">
        <v>1.1399999999999999</v>
      </c>
    </row>
    <row r="41" spans="2:4" x14ac:dyDescent="0.25">
      <c r="B41" s="82" t="s">
        <v>160</v>
      </c>
      <c r="C41" s="83">
        <v>1.1499999999999999</v>
      </c>
    </row>
    <row r="42" spans="2:4" x14ac:dyDescent="0.25">
      <c r="B42" s="82" t="s">
        <v>161</v>
      </c>
      <c r="C42" s="83">
        <v>1.1599999999999999</v>
      </c>
    </row>
    <row r="43" spans="2:4" x14ac:dyDescent="0.25">
      <c r="B43" s="82" t="s">
        <v>162</v>
      </c>
      <c r="C43" s="83">
        <v>1.17</v>
      </c>
    </row>
    <row r="44" spans="2:4" x14ac:dyDescent="0.25">
      <c r="B44" s="82" t="s">
        <v>163</v>
      </c>
      <c r="C44" s="83">
        <v>1.18</v>
      </c>
    </row>
    <row r="45" spans="2:4" x14ac:dyDescent="0.25">
      <c r="B45" s="82" t="s">
        <v>164</v>
      </c>
      <c r="C45" s="83">
        <v>1.19</v>
      </c>
    </row>
    <row r="46" spans="2:4" x14ac:dyDescent="0.25">
      <c r="B46" s="82" t="s">
        <v>165</v>
      </c>
      <c r="C46" s="83">
        <v>1.2</v>
      </c>
    </row>
    <row r="47" spans="2:4" x14ac:dyDescent="0.25">
      <c r="B47" s="82" t="s">
        <v>166</v>
      </c>
      <c r="C47" s="83">
        <v>1.21</v>
      </c>
    </row>
    <row r="48" spans="2:4" x14ac:dyDescent="0.25">
      <c r="B48" s="82" t="s">
        <v>167</v>
      </c>
      <c r="C48" s="83">
        <v>1.22</v>
      </c>
    </row>
    <row r="49" spans="2:4" x14ac:dyDescent="0.25">
      <c r="B49" s="82" t="s">
        <v>168</v>
      </c>
      <c r="C49" s="83">
        <v>1.23</v>
      </c>
    </row>
    <row r="50" spans="2:4" x14ac:dyDescent="0.25">
      <c r="B50" s="82" t="s">
        <v>169</v>
      </c>
      <c r="C50" s="83">
        <v>1.24</v>
      </c>
    </row>
    <row r="51" spans="2:4" x14ac:dyDescent="0.25">
      <c r="B51" s="82" t="s">
        <v>170</v>
      </c>
      <c r="C51" s="83">
        <v>1.25</v>
      </c>
    </row>
    <row r="52" spans="2:4" x14ac:dyDescent="0.25">
      <c r="B52" s="82" t="s">
        <v>171</v>
      </c>
      <c r="C52" s="83">
        <v>1.26</v>
      </c>
    </row>
    <row r="53" spans="2:4" x14ac:dyDescent="0.25">
      <c r="B53" s="82" t="s">
        <v>172</v>
      </c>
      <c r="C53" s="83">
        <v>1.27</v>
      </c>
    </row>
    <row r="54" spans="2:4" x14ac:dyDescent="0.25">
      <c r="B54" s="82" t="s">
        <v>173</v>
      </c>
      <c r="C54" s="83">
        <v>1.28</v>
      </c>
    </row>
    <row r="55" spans="2:4" x14ac:dyDescent="0.25">
      <c r="B55" s="82" t="s">
        <v>174</v>
      </c>
      <c r="C55" s="83">
        <v>1.29</v>
      </c>
    </row>
    <row r="56" spans="2:4" x14ac:dyDescent="0.25">
      <c r="B56" s="82" t="s">
        <v>175</v>
      </c>
      <c r="C56" s="83">
        <v>1.3</v>
      </c>
    </row>
    <row r="57" spans="2:4" x14ac:dyDescent="0.25">
      <c r="B57" s="82" t="s">
        <v>176</v>
      </c>
      <c r="C57" s="83">
        <v>1.31</v>
      </c>
    </row>
    <row r="58" spans="2:4" x14ac:dyDescent="0.25">
      <c r="B58" s="82" t="s">
        <v>177</v>
      </c>
      <c r="C58" s="83">
        <v>1.32</v>
      </c>
    </row>
    <row r="59" spans="2:4" x14ac:dyDescent="0.25">
      <c r="B59" s="82" t="s">
        <v>178</v>
      </c>
      <c r="C59" s="83">
        <v>1.33</v>
      </c>
    </row>
    <row r="60" spans="2:4" ht="15.75" thickBot="1" x14ac:dyDescent="0.3">
      <c r="B60" s="84" t="s">
        <v>179</v>
      </c>
      <c r="C60" s="85">
        <v>1.34</v>
      </c>
    </row>
    <row r="62" spans="2:4" x14ac:dyDescent="0.25">
      <c r="C62" s="132"/>
      <c r="D62" s="131"/>
    </row>
  </sheetData>
  <mergeCells count="37">
    <mergeCell ref="C16:D16"/>
    <mergeCell ref="C11:D11"/>
    <mergeCell ref="C12:D12"/>
    <mergeCell ref="C13:D13"/>
    <mergeCell ref="C14:D14"/>
    <mergeCell ref="C15:D15"/>
    <mergeCell ref="F2:G2"/>
    <mergeCell ref="C8:D8"/>
    <mergeCell ref="B3:B4"/>
    <mergeCell ref="C9:D9"/>
    <mergeCell ref="C10:D10"/>
    <mergeCell ref="B2:D2"/>
    <mergeCell ref="C5:D5"/>
    <mergeCell ref="C6:D6"/>
    <mergeCell ref="C7:D7"/>
    <mergeCell ref="C17:D17"/>
    <mergeCell ref="C18:D18"/>
    <mergeCell ref="C19:D19"/>
    <mergeCell ref="C20:D20"/>
    <mergeCell ref="C21:D21"/>
    <mergeCell ref="C29:D29"/>
    <mergeCell ref="C30:D30"/>
    <mergeCell ref="C24:D24"/>
    <mergeCell ref="C25:D25"/>
    <mergeCell ref="C26:D26"/>
    <mergeCell ref="C27:D27"/>
    <mergeCell ref="C28:D28"/>
    <mergeCell ref="L23:M23"/>
    <mergeCell ref="L24:M24"/>
    <mergeCell ref="L25:M25"/>
    <mergeCell ref="C22:D22"/>
    <mergeCell ref="C23:D23"/>
    <mergeCell ref="L10:M10"/>
    <mergeCell ref="L11:M11"/>
    <mergeCell ref="L12:M12"/>
    <mergeCell ref="L21:M21"/>
    <mergeCell ref="L22:M22"/>
  </mergeCells>
  <pageMargins left="0.7" right="0.7" top="0.75" bottom="0.75" header="0.3" footer="0.3"/>
  <pageSetup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6"/>
  <sheetViews>
    <sheetView workbookViewId="0">
      <selection activeCell="G3" sqref="G3:H3"/>
    </sheetView>
  </sheetViews>
  <sheetFormatPr defaultRowHeight="15" x14ac:dyDescent="0.25"/>
  <cols>
    <col min="1" max="1" width="9" style="194" collapsed="1"/>
    <col min="3" max="3" width="9.42578125" bestFit="1" customWidth="1" collapsed="1"/>
    <col min="4" max="4" width="37.42578125" customWidth="1" collapsed="1"/>
    <col min="6" max="6" width="10.42578125" customWidth="1" collapsed="1"/>
    <col min="7" max="7" width="34.5703125" customWidth="1" collapsed="1"/>
  </cols>
  <sheetData>
    <row r="2" spans="2:8" ht="15.75" thickBot="1" x14ac:dyDescent="0.3"/>
    <row r="3" spans="2:8" ht="28.5" customHeight="1" thickBot="1" x14ac:dyDescent="0.3">
      <c r="B3" s="355" t="s">
        <v>375</v>
      </c>
      <c r="C3" s="362"/>
      <c r="D3" s="363"/>
      <c r="G3" s="352" t="s">
        <v>378</v>
      </c>
      <c r="H3" s="353"/>
    </row>
    <row r="4" spans="2:8" x14ac:dyDescent="0.25">
      <c r="B4" s="360" t="s">
        <v>120</v>
      </c>
      <c r="C4" s="255" t="s">
        <v>197</v>
      </c>
      <c r="D4" s="241" t="b">
        <v>1</v>
      </c>
      <c r="G4" s="207" t="s">
        <v>280</v>
      </c>
      <c r="H4" s="208" t="s">
        <v>243</v>
      </c>
    </row>
    <row r="5" spans="2:8" s="194" customFormat="1" ht="15.75" thickBot="1" x14ac:dyDescent="0.3">
      <c r="B5" s="361"/>
      <c r="C5" s="90" t="s">
        <v>122</v>
      </c>
      <c r="D5" s="242" t="s">
        <v>272</v>
      </c>
      <c r="G5" s="253" t="s">
        <v>281</v>
      </c>
      <c r="H5" s="254" t="s">
        <v>244</v>
      </c>
    </row>
    <row r="6" spans="2:8" x14ac:dyDescent="0.25">
      <c r="B6" s="270" t="s">
        <v>15</v>
      </c>
      <c r="C6" s="357" t="s">
        <v>16</v>
      </c>
      <c r="D6" s="357"/>
      <c r="G6" s="177">
        <v>5000</v>
      </c>
      <c r="H6" s="210">
        <v>1</v>
      </c>
    </row>
    <row r="7" spans="2:8" x14ac:dyDescent="0.25">
      <c r="B7" s="177">
        <v>5000</v>
      </c>
      <c r="C7" s="348">
        <v>1</v>
      </c>
      <c r="D7" s="349"/>
      <c r="G7" s="177">
        <v>75000</v>
      </c>
      <c r="H7" s="210">
        <v>1.18</v>
      </c>
    </row>
    <row r="8" spans="2:8" ht="15.75" thickBot="1" x14ac:dyDescent="0.3">
      <c r="B8" s="177">
        <v>10000</v>
      </c>
      <c r="C8" s="348">
        <v>1.1000000000000001</v>
      </c>
      <c r="D8" s="349"/>
      <c r="G8" s="112">
        <v>1000000</v>
      </c>
      <c r="H8" s="211">
        <v>1.26</v>
      </c>
    </row>
    <row r="9" spans="2:8" x14ac:dyDescent="0.25">
      <c r="B9" s="177">
        <v>20000</v>
      </c>
      <c r="C9" s="348">
        <v>1.1100000000000001</v>
      </c>
      <c r="D9" s="349"/>
    </row>
    <row r="10" spans="2:8" x14ac:dyDescent="0.25">
      <c r="B10" s="177">
        <v>25000</v>
      </c>
      <c r="C10" s="348">
        <v>1.1200000000000001</v>
      </c>
      <c r="D10" s="349"/>
    </row>
    <row r="11" spans="2:8" x14ac:dyDescent="0.25">
      <c r="B11" s="177">
        <v>30000</v>
      </c>
      <c r="C11" s="348">
        <v>1.1299999999999999</v>
      </c>
      <c r="D11" s="349"/>
    </row>
    <row r="12" spans="2:8" x14ac:dyDescent="0.25">
      <c r="B12" s="177">
        <v>35000</v>
      </c>
      <c r="C12" s="348">
        <v>1.1399999999999999</v>
      </c>
      <c r="D12" s="349"/>
    </row>
    <row r="13" spans="2:8" x14ac:dyDescent="0.25">
      <c r="B13" s="177">
        <v>40000</v>
      </c>
      <c r="C13" s="348">
        <v>1.1499999999999999</v>
      </c>
      <c r="D13" s="349"/>
    </row>
    <row r="14" spans="2:8" x14ac:dyDescent="0.25">
      <c r="B14" s="177">
        <v>50000</v>
      </c>
      <c r="C14" s="348">
        <v>1.1599999999999999</v>
      </c>
      <c r="D14" s="349"/>
    </row>
    <row r="15" spans="2:8" x14ac:dyDescent="0.25">
      <c r="B15" s="177">
        <v>60000</v>
      </c>
      <c r="C15" s="348">
        <v>1.17</v>
      </c>
      <c r="D15" s="349"/>
    </row>
    <row r="16" spans="2:8" x14ac:dyDescent="0.25">
      <c r="B16" s="177">
        <v>75000</v>
      </c>
      <c r="C16" s="348">
        <v>1.18</v>
      </c>
      <c r="D16" s="349"/>
    </row>
    <row r="17" spans="2:10" x14ac:dyDescent="0.25">
      <c r="B17" s="177">
        <v>100000</v>
      </c>
      <c r="C17" s="348">
        <v>1.19</v>
      </c>
      <c r="D17" s="349"/>
    </row>
    <row r="18" spans="2:10" x14ac:dyDescent="0.25">
      <c r="B18" s="177">
        <v>200000</v>
      </c>
      <c r="C18" s="348">
        <v>1.2</v>
      </c>
      <c r="D18" s="349"/>
      <c r="J18" t="s">
        <v>87</v>
      </c>
    </row>
    <row r="19" spans="2:10" x14ac:dyDescent="0.25">
      <c r="B19" s="177">
        <v>250000</v>
      </c>
      <c r="C19" s="348">
        <v>1.21</v>
      </c>
      <c r="D19" s="349"/>
    </row>
    <row r="20" spans="2:10" x14ac:dyDescent="0.25">
      <c r="B20" s="177">
        <v>300000</v>
      </c>
      <c r="C20" s="348">
        <v>1.22</v>
      </c>
      <c r="D20" s="349"/>
    </row>
    <row r="21" spans="2:10" x14ac:dyDescent="0.25">
      <c r="B21" s="177">
        <v>500000</v>
      </c>
      <c r="C21" s="348">
        <v>1.23</v>
      </c>
      <c r="D21" s="349"/>
    </row>
    <row r="22" spans="2:10" x14ac:dyDescent="0.25">
      <c r="B22" s="177">
        <v>600000</v>
      </c>
      <c r="C22" s="348">
        <v>1.24</v>
      </c>
      <c r="D22" s="349"/>
    </row>
    <row r="23" spans="2:10" x14ac:dyDescent="0.25">
      <c r="B23" s="177">
        <v>750000</v>
      </c>
      <c r="C23" s="348">
        <v>1.25</v>
      </c>
      <c r="D23" s="349"/>
    </row>
    <row r="24" spans="2:10" ht="15.75" thickBot="1" x14ac:dyDescent="0.3">
      <c r="B24" s="112">
        <v>1000000</v>
      </c>
      <c r="C24" s="350">
        <v>1.26</v>
      </c>
      <c r="D24" s="351"/>
    </row>
    <row r="26" spans="2:10" ht="15.75" thickBot="1" x14ac:dyDescent="0.3"/>
    <row r="27" spans="2:10" x14ac:dyDescent="0.25">
      <c r="B27" s="115" t="s">
        <v>146</v>
      </c>
      <c r="C27" s="113"/>
    </row>
    <row r="28" spans="2:10" x14ac:dyDescent="0.25">
      <c r="B28" s="82" t="s">
        <v>15</v>
      </c>
      <c r="C28" s="83" t="s">
        <v>16</v>
      </c>
    </row>
    <row r="29" spans="2:10" x14ac:dyDescent="0.25">
      <c r="B29" s="82">
        <v>5000</v>
      </c>
      <c r="C29" s="83">
        <v>1</v>
      </c>
    </row>
    <row r="30" spans="2:10" x14ac:dyDescent="0.25">
      <c r="B30" s="82">
        <v>10000</v>
      </c>
      <c r="C30" s="83">
        <v>1.1000000000000001</v>
      </c>
    </row>
    <row r="31" spans="2:10" x14ac:dyDescent="0.25">
      <c r="B31" s="82">
        <v>20000</v>
      </c>
      <c r="C31" s="83">
        <v>1.1100000000000001</v>
      </c>
    </row>
    <row r="32" spans="2:10" x14ac:dyDescent="0.25">
      <c r="B32" s="82">
        <v>25000</v>
      </c>
      <c r="C32" s="83">
        <v>1.1200000000000001</v>
      </c>
    </row>
    <row r="33" spans="2:3" x14ac:dyDescent="0.25">
      <c r="B33" s="82">
        <v>30000</v>
      </c>
      <c r="C33" s="83">
        <v>1.1299999999999999</v>
      </c>
    </row>
    <row r="34" spans="2:3" x14ac:dyDescent="0.25">
      <c r="B34" s="82">
        <v>35000</v>
      </c>
      <c r="C34" s="83">
        <v>1.1399999999999999</v>
      </c>
    </row>
    <row r="35" spans="2:3" x14ac:dyDescent="0.25">
      <c r="B35" s="82">
        <v>40000</v>
      </c>
      <c r="C35" s="83">
        <v>1.1499999999999999</v>
      </c>
    </row>
    <row r="36" spans="2:3" x14ac:dyDescent="0.25">
      <c r="B36" s="82">
        <v>50000</v>
      </c>
      <c r="C36" s="83">
        <v>1.1599999999999999</v>
      </c>
    </row>
    <row r="37" spans="2:3" x14ac:dyDescent="0.25">
      <c r="B37" s="82">
        <v>60000</v>
      </c>
      <c r="C37" s="83">
        <v>1.17</v>
      </c>
    </row>
    <row r="38" spans="2:3" x14ac:dyDescent="0.25">
      <c r="B38" s="82">
        <v>75000</v>
      </c>
      <c r="C38" s="83">
        <v>1.18</v>
      </c>
    </row>
    <row r="39" spans="2:3" x14ac:dyDescent="0.25">
      <c r="B39" s="82">
        <v>100000</v>
      </c>
      <c r="C39" s="83">
        <v>1.19</v>
      </c>
    </row>
    <row r="40" spans="2:3" x14ac:dyDescent="0.25">
      <c r="B40" s="82">
        <v>200000</v>
      </c>
      <c r="C40" s="83">
        <v>1.2</v>
      </c>
    </row>
    <row r="41" spans="2:3" x14ac:dyDescent="0.25">
      <c r="B41" s="82">
        <v>250000</v>
      </c>
      <c r="C41" s="83">
        <v>1.21</v>
      </c>
    </row>
    <row r="42" spans="2:3" x14ac:dyDescent="0.25">
      <c r="B42" s="82">
        <v>300000</v>
      </c>
      <c r="C42" s="83">
        <v>1.22</v>
      </c>
    </row>
    <row r="43" spans="2:3" x14ac:dyDescent="0.25">
      <c r="B43" s="82">
        <v>500000</v>
      </c>
      <c r="C43" s="83">
        <v>1.23</v>
      </c>
    </row>
    <row r="44" spans="2:3" x14ac:dyDescent="0.25">
      <c r="B44" s="82">
        <v>600000</v>
      </c>
      <c r="C44" s="83">
        <v>1.24</v>
      </c>
    </row>
    <row r="45" spans="2:3" x14ac:dyDescent="0.25">
      <c r="B45" s="82">
        <v>750000</v>
      </c>
      <c r="C45" s="83">
        <v>1.25</v>
      </c>
    </row>
    <row r="46" spans="2:3" ht="15.75" thickBot="1" x14ac:dyDescent="0.3">
      <c r="B46" s="84">
        <v>1000000</v>
      </c>
      <c r="C46" s="85">
        <v>1.26</v>
      </c>
    </row>
  </sheetData>
  <mergeCells count="22">
    <mergeCell ref="C15:D15"/>
    <mergeCell ref="G3:H3"/>
    <mergeCell ref="C23:D23"/>
    <mergeCell ref="C24:D24"/>
    <mergeCell ref="C17:D17"/>
    <mergeCell ref="C18:D18"/>
    <mergeCell ref="C19:D19"/>
    <mergeCell ref="C20:D20"/>
    <mergeCell ref="C21:D21"/>
    <mergeCell ref="C22:D22"/>
    <mergeCell ref="C16:D16"/>
    <mergeCell ref="B3:D3"/>
    <mergeCell ref="C6:D6"/>
    <mergeCell ref="C7:D7"/>
    <mergeCell ref="C8:D8"/>
    <mergeCell ref="C9:D9"/>
    <mergeCell ref="B4:B5"/>
    <mergeCell ref="C11:D11"/>
    <mergeCell ref="C12:D12"/>
    <mergeCell ref="C13:D13"/>
    <mergeCell ref="C14:D14"/>
    <mergeCell ref="C10:D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workbookViewId="0">
      <selection activeCell="F33" sqref="F33"/>
    </sheetView>
  </sheetViews>
  <sheetFormatPr defaultRowHeight="15" x14ac:dyDescent="0.25"/>
  <cols>
    <col min="1" max="1" width="9" style="194" collapsed="1"/>
    <col min="2" max="2" width="9.28515625" customWidth="1" collapsed="1"/>
    <col min="3" max="3" width="9.42578125" bestFit="1" customWidth="1" collapsed="1"/>
    <col min="4" max="4" width="38.28515625" customWidth="1" collapsed="1"/>
    <col min="6" max="6" width="32.7109375" customWidth="1" collapsed="1"/>
  </cols>
  <sheetData>
    <row r="2" spans="2:8" ht="15.75" thickBot="1" x14ac:dyDescent="0.3"/>
    <row r="3" spans="2:8" ht="28.5" customHeight="1" thickBot="1" x14ac:dyDescent="0.3">
      <c r="B3" s="355" t="s">
        <v>374</v>
      </c>
      <c r="C3" s="362"/>
      <c r="D3" s="363"/>
      <c r="F3" s="352" t="s">
        <v>373</v>
      </c>
      <c r="G3" s="353"/>
    </row>
    <row r="4" spans="2:8" x14ac:dyDescent="0.25">
      <c r="B4" s="344" t="s">
        <v>120</v>
      </c>
      <c r="C4" s="255" t="s">
        <v>197</v>
      </c>
      <c r="D4" s="241" t="b">
        <v>1</v>
      </c>
      <c r="F4" s="207" t="s">
        <v>280</v>
      </c>
      <c r="G4" s="208" t="s">
        <v>243</v>
      </c>
    </row>
    <row r="5" spans="2:8" s="194" customFormat="1" ht="15.75" thickBot="1" x14ac:dyDescent="0.3">
      <c r="B5" s="354"/>
      <c r="C5" s="90" t="s">
        <v>122</v>
      </c>
      <c r="D5" s="242" t="s">
        <v>272</v>
      </c>
      <c r="F5" s="253" t="s">
        <v>281</v>
      </c>
      <c r="G5" s="254" t="s">
        <v>244</v>
      </c>
    </row>
    <row r="6" spans="2:8" x14ac:dyDescent="0.25">
      <c r="B6" s="270" t="s">
        <v>15</v>
      </c>
      <c r="C6" s="357" t="s">
        <v>16</v>
      </c>
      <c r="D6" s="357"/>
      <c r="F6" s="177">
        <v>500</v>
      </c>
      <c r="G6" s="210">
        <v>1</v>
      </c>
      <c r="H6" s="199"/>
    </row>
    <row r="7" spans="2:8" x14ac:dyDescent="0.25">
      <c r="B7" s="177">
        <v>500</v>
      </c>
      <c r="C7" s="348">
        <v>1</v>
      </c>
      <c r="D7" s="349"/>
      <c r="F7" s="177">
        <v>5000</v>
      </c>
      <c r="G7" s="210">
        <v>1.1200000000000001</v>
      </c>
      <c r="H7" s="199"/>
    </row>
    <row r="8" spans="2:8" ht="15.75" thickBot="1" x14ac:dyDescent="0.3">
      <c r="B8" s="177">
        <v>1000</v>
      </c>
      <c r="C8" s="348">
        <v>1.1000000000000001</v>
      </c>
      <c r="D8" s="349"/>
      <c r="F8" s="112">
        <v>25000</v>
      </c>
      <c r="G8" s="211">
        <v>1.1399999999999999</v>
      </c>
      <c r="H8" s="199"/>
    </row>
    <row r="9" spans="2:8" x14ac:dyDescent="0.25">
      <c r="B9" s="177">
        <v>2000</v>
      </c>
      <c r="C9" s="348">
        <v>1.1100000000000001</v>
      </c>
      <c r="D9" s="349"/>
    </row>
    <row r="10" spans="2:8" x14ac:dyDescent="0.25">
      <c r="B10" s="177">
        <v>5000</v>
      </c>
      <c r="C10" s="348">
        <v>1.1200000000000001</v>
      </c>
      <c r="D10" s="349"/>
    </row>
    <row r="11" spans="2:8" x14ac:dyDescent="0.25">
      <c r="B11" s="177">
        <v>10000</v>
      </c>
      <c r="C11" s="348">
        <v>1.1299999999999999</v>
      </c>
      <c r="D11" s="349"/>
    </row>
    <row r="12" spans="2:8" ht="15.75" thickBot="1" x14ac:dyDescent="0.3">
      <c r="B12" s="112">
        <v>25000</v>
      </c>
      <c r="C12" s="350">
        <v>1.1399999999999999</v>
      </c>
      <c r="D12" s="351"/>
    </row>
    <row r="14" spans="2:8" ht="15.75" thickBot="1" x14ac:dyDescent="0.3"/>
    <row r="15" spans="2:8" x14ac:dyDescent="0.25">
      <c r="B15" s="178" t="s">
        <v>15</v>
      </c>
      <c r="C15" s="364" t="s">
        <v>16</v>
      </c>
      <c r="D15" s="365"/>
    </row>
    <row r="16" spans="2:8" x14ac:dyDescent="0.25">
      <c r="B16" s="177">
        <v>500</v>
      </c>
      <c r="C16" s="348">
        <v>1</v>
      </c>
      <c r="D16" s="349"/>
    </row>
    <row r="17" spans="2:8" x14ac:dyDescent="0.25">
      <c r="B17" s="177">
        <v>1000</v>
      </c>
      <c r="C17" s="348">
        <v>1.1000000000000001</v>
      </c>
      <c r="D17" s="349"/>
      <c r="H17" t="s">
        <v>87</v>
      </c>
    </row>
    <row r="18" spans="2:8" x14ac:dyDescent="0.25">
      <c r="B18" s="177">
        <v>2000</v>
      </c>
      <c r="C18" s="348">
        <v>1.1100000000000001</v>
      </c>
      <c r="D18" s="349"/>
      <c r="H18" t="s">
        <v>87</v>
      </c>
    </row>
    <row r="19" spans="2:8" x14ac:dyDescent="0.25">
      <c r="B19" s="177">
        <v>5000</v>
      </c>
      <c r="C19" s="348">
        <v>1.1200000000000001</v>
      </c>
      <c r="D19" s="349"/>
    </row>
    <row r="20" spans="2:8" x14ac:dyDescent="0.25">
      <c r="B20" s="177">
        <v>10000</v>
      </c>
      <c r="C20" s="348">
        <v>1.1299999999999999</v>
      </c>
      <c r="D20" s="349"/>
    </row>
    <row r="21" spans="2:8" ht="15.75" thickBot="1" x14ac:dyDescent="0.3">
      <c r="B21" s="112">
        <v>25000</v>
      </c>
      <c r="C21" s="350">
        <v>1.1399999999999999</v>
      </c>
      <c r="D21" s="351"/>
    </row>
  </sheetData>
  <mergeCells count="17">
    <mergeCell ref="C9:D9"/>
    <mergeCell ref="B4:B5"/>
    <mergeCell ref="F3:G3"/>
    <mergeCell ref="C19:D19"/>
    <mergeCell ref="C20:D20"/>
    <mergeCell ref="C10:D10"/>
    <mergeCell ref="B3:D3"/>
    <mergeCell ref="C6:D6"/>
    <mergeCell ref="C7:D7"/>
    <mergeCell ref="C8:D8"/>
    <mergeCell ref="C21:D21"/>
    <mergeCell ref="C11:D11"/>
    <mergeCell ref="C12:D12"/>
    <mergeCell ref="C15:D15"/>
    <mergeCell ref="C16:D16"/>
    <mergeCell ref="C17:D17"/>
    <mergeCell ref="C18:D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9"/>
  <sheetViews>
    <sheetView workbookViewId="0">
      <selection activeCell="A16" sqref="A16:XFD30"/>
    </sheetView>
  </sheetViews>
  <sheetFormatPr defaultRowHeight="15" x14ac:dyDescent="0.25"/>
  <cols>
    <col min="2" max="2" width="12" customWidth="1" collapsed="1"/>
    <col min="3" max="3" width="11.42578125" customWidth="1" collapsed="1"/>
    <col min="4" max="4" width="54.42578125" customWidth="1" collapsed="1"/>
    <col min="6" max="6" width="21.5703125" customWidth="1" collapsed="1"/>
    <col min="7" max="7" width="18.42578125" customWidth="1" collapsed="1"/>
  </cols>
  <sheetData>
    <row r="2" spans="2:9" ht="15.75" thickBot="1" x14ac:dyDescent="0.3"/>
    <row r="3" spans="2:9" ht="29.25" customHeight="1" thickBot="1" x14ac:dyDescent="0.3">
      <c r="B3" s="355" t="s">
        <v>386</v>
      </c>
      <c r="C3" s="329"/>
      <c r="D3" s="330"/>
      <c r="F3" s="352" t="s">
        <v>387</v>
      </c>
      <c r="G3" s="353"/>
    </row>
    <row r="4" spans="2:9" s="145" customFormat="1" ht="15.75" thickBot="1" x14ac:dyDescent="0.3">
      <c r="B4" s="305" t="s">
        <v>120</v>
      </c>
      <c r="C4" s="306" t="s">
        <v>197</v>
      </c>
      <c r="D4" s="279" t="b">
        <v>1</v>
      </c>
      <c r="F4" s="207" t="s">
        <v>139</v>
      </c>
      <c r="G4" s="208" t="s">
        <v>243</v>
      </c>
    </row>
    <row r="5" spans="2:9" x14ac:dyDescent="0.25">
      <c r="B5" s="270" t="s">
        <v>36</v>
      </c>
      <c r="C5" s="357" t="s">
        <v>16</v>
      </c>
      <c r="D5" s="357"/>
      <c r="F5" s="258" t="s">
        <v>282</v>
      </c>
      <c r="G5" s="259" t="s">
        <v>244</v>
      </c>
      <c r="H5" s="209"/>
    </row>
    <row r="6" spans="2:9" x14ac:dyDescent="0.25">
      <c r="B6" s="177">
        <v>50</v>
      </c>
      <c r="C6" s="368">
        <v>1</v>
      </c>
      <c r="D6" s="369"/>
      <c r="F6" s="177">
        <v>50</v>
      </c>
      <c r="G6" s="210">
        <v>1</v>
      </c>
      <c r="H6" s="209"/>
    </row>
    <row r="7" spans="2:9" x14ac:dyDescent="0.25">
      <c r="B7" s="177">
        <v>100</v>
      </c>
      <c r="C7" s="368">
        <v>1.1000000000000001</v>
      </c>
      <c r="D7" s="369"/>
      <c r="F7" s="177">
        <v>750</v>
      </c>
      <c r="G7" s="210">
        <v>1.1399999999999999</v>
      </c>
      <c r="H7" s="199"/>
    </row>
    <row r="8" spans="2:9" ht="15.75" thickBot="1" x14ac:dyDescent="0.3">
      <c r="B8" s="177">
        <v>200</v>
      </c>
      <c r="C8" s="368">
        <v>1.1100000000000001</v>
      </c>
      <c r="D8" s="369"/>
      <c r="F8" s="112">
        <v>5000</v>
      </c>
      <c r="G8" s="211">
        <v>1.17</v>
      </c>
      <c r="I8" t="s">
        <v>87</v>
      </c>
    </row>
    <row r="9" spans="2:9" x14ac:dyDescent="0.25">
      <c r="B9" s="177">
        <v>250</v>
      </c>
      <c r="C9" s="368">
        <v>1.1200000000000001</v>
      </c>
      <c r="D9" s="369"/>
    </row>
    <row r="10" spans="2:9" x14ac:dyDescent="0.25">
      <c r="B10" s="177">
        <v>500</v>
      </c>
      <c r="C10" s="368">
        <v>1.1299999999999999</v>
      </c>
      <c r="D10" s="369"/>
    </row>
    <row r="11" spans="2:9" x14ac:dyDescent="0.25">
      <c r="B11" s="177">
        <v>750</v>
      </c>
      <c r="C11" s="368">
        <v>1.1399999999999999</v>
      </c>
      <c r="D11" s="369"/>
    </row>
    <row r="12" spans="2:9" x14ac:dyDescent="0.25">
      <c r="B12" s="177">
        <v>1000</v>
      </c>
      <c r="C12" s="368">
        <v>1.1499999999999999</v>
      </c>
      <c r="D12" s="369"/>
    </row>
    <row r="13" spans="2:9" x14ac:dyDescent="0.25">
      <c r="B13" s="177">
        <v>2500</v>
      </c>
      <c r="C13" s="368">
        <v>1.1599999999999999</v>
      </c>
      <c r="D13" s="369"/>
    </row>
    <row r="14" spans="2:9" ht="15.75" thickBot="1" x14ac:dyDescent="0.3">
      <c r="B14" s="112">
        <v>5000</v>
      </c>
      <c r="C14" s="366">
        <v>1.17</v>
      </c>
      <c r="D14" s="367"/>
    </row>
    <row r="15" spans="2:9" s="194" customFormat="1" x14ac:dyDescent="0.25">
      <c r="B15" s="307"/>
      <c r="C15" s="308"/>
      <c r="D15" s="197"/>
    </row>
    <row r="16" spans="2:9" s="194" customFormat="1" x14ac:dyDescent="0.25">
      <c r="B16" s="307"/>
      <c r="C16" s="308"/>
      <c r="D16" s="197"/>
    </row>
    <row r="17" spans="2:5" s="194" customFormat="1" x14ac:dyDescent="0.25">
      <c r="B17" s="307"/>
      <c r="C17" s="308"/>
      <c r="D17" s="197"/>
    </row>
    <row r="18" spans="2:5" s="194" customFormat="1" x14ac:dyDescent="0.25">
      <c r="B18" s="307"/>
      <c r="C18" s="308"/>
      <c r="D18" s="197"/>
    </row>
    <row r="19" spans="2:5" s="194" customFormat="1" x14ac:dyDescent="0.25">
      <c r="B19" s="307"/>
      <c r="C19" s="308"/>
      <c r="D19" s="197"/>
    </row>
    <row r="20" spans="2:5" s="194" customFormat="1" x14ac:dyDescent="0.25">
      <c r="B20" s="307"/>
      <c r="C20" s="308"/>
      <c r="D20" s="197"/>
    </row>
    <row r="21" spans="2:5" s="194" customFormat="1" x14ac:dyDescent="0.25">
      <c r="B21" s="307"/>
      <c r="C21" s="308"/>
      <c r="D21" s="197"/>
    </row>
    <row r="22" spans="2:5" s="194" customFormat="1" x14ac:dyDescent="0.25">
      <c r="B22" s="307"/>
      <c r="C22" s="308"/>
      <c r="D22" s="197"/>
    </row>
    <row r="23" spans="2:5" s="194" customFormat="1" x14ac:dyDescent="0.25">
      <c r="B23" s="307"/>
      <c r="C23" s="308"/>
      <c r="D23" s="197"/>
    </row>
    <row r="24" spans="2:5" x14ac:dyDescent="0.25">
      <c r="B24" s="194"/>
      <c r="C24" s="193"/>
      <c r="D24" s="192"/>
    </row>
    <row r="25" spans="2:5" ht="15.75" thickBot="1" x14ac:dyDescent="0.3"/>
    <row r="26" spans="2:5" x14ac:dyDescent="0.25">
      <c r="B26" s="114" t="s">
        <v>148</v>
      </c>
      <c r="C26" s="113"/>
      <c r="E26" s="238"/>
    </row>
    <row r="27" spans="2:5" x14ac:dyDescent="0.25">
      <c r="B27" s="82" t="s">
        <v>36</v>
      </c>
      <c r="C27" s="83" t="s">
        <v>16</v>
      </c>
      <c r="E27" s="197"/>
    </row>
    <row r="28" spans="2:5" x14ac:dyDescent="0.25">
      <c r="B28" s="82">
        <v>50</v>
      </c>
      <c r="C28" s="83">
        <v>1</v>
      </c>
      <c r="E28" s="197"/>
    </row>
    <row r="29" spans="2:5" x14ac:dyDescent="0.25">
      <c r="B29" s="82">
        <v>100</v>
      </c>
      <c r="C29" s="83">
        <v>1.1000000000000001</v>
      </c>
      <c r="E29" s="197"/>
    </row>
    <row r="30" spans="2:5" x14ac:dyDescent="0.25">
      <c r="B30" s="82">
        <v>200</v>
      </c>
      <c r="C30" s="83">
        <v>1.1100000000000001</v>
      </c>
      <c r="E30" s="197"/>
    </row>
    <row r="31" spans="2:5" x14ac:dyDescent="0.25">
      <c r="B31" s="82">
        <v>250</v>
      </c>
      <c r="C31" s="83">
        <v>1.1200000000000001</v>
      </c>
      <c r="E31" s="197"/>
    </row>
    <row r="32" spans="2:5" x14ac:dyDescent="0.25">
      <c r="B32" s="82">
        <v>500</v>
      </c>
      <c r="C32" s="83">
        <v>1.1299999999999999</v>
      </c>
      <c r="E32" s="197"/>
    </row>
    <row r="33" spans="2:5" x14ac:dyDescent="0.25">
      <c r="B33" s="82">
        <v>750</v>
      </c>
      <c r="C33" s="83">
        <v>1.1399999999999999</v>
      </c>
      <c r="E33" s="197"/>
    </row>
    <row r="34" spans="2:5" x14ac:dyDescent="0.25">
      <c r="B34" s="82">
        <v>1000</v>
      </c>
      <c r="C34" s="83">
        <v>1.1499999999999999</v>
      </c>
      <c r="E34" s="197"/>
    </row>
    <row r="35" spans="2:5" x14ac:dyDescent="0.25">
      <c r="B35" s="82">
        <v>2500</v>
      </c>
      <c r="C35" s="83">
        <v>1.1599999999999999</v>
      </c>
      <c r="E35" s="197"/>
    </row>
    <row r="36" spans="2:5" ht="15.75" thickBot="1" x14ac:dyDescent="0.3">
      <c r="B36" s="84">
        <v>5000</v>
      </c>
      <c r="C36" s="85">
        <v>1.17</v>
      </c>
      <c r="E36" s="197"/>
    </row>
    <row r="38" spans="2:5" ht="15.75" thickBot="1" x14ac:dyDescent="0.3"/>
    <row r="39" spans="2:5" x14ac:dyDescent="0.25">
      <c r="B39" s="114" t="s">
        <v>149</v>
      </c>
      <c r="C39" s="113"/>
    </row>
    <row r="40" spans="2:5" x14ac:dyDescent="0.25">
      <c r="B40" s="82" t="s">
        <v>36</v>
      </c>
      <c r="C40" s="83" t="s">
        <v>16</v>
      </c>
    </row>
    <row r="41" spans="2:5" x14ac:dyDescent="0.25">
      <c r="B41" s="82">
        <v>50</v>
      </c>
      <c r="C41" s="83">
        <v>1</v>
      </c>
    </row>
    <row r="42" spans="2:5" x14ac:dyDescent="0.25">
      <c r="B42" s="82">
        <v>100</v>
      </c>
      <c r="C42" s="83">
        <v>1.1000000000000001</v>
      </c>
    </row>
    <row r="43" spans="2:5" x14ac:dyDescent="0.25">
      <c r="B43" s="82">
        <v>200</v>
      </c>
      <c r="C43" s="83">
        <v>1.1100000000000001</v>
      </c>
    </row>
    <row r="44" spans="2:5" x14ac:dyDescent="0.25">
      <c r="B44" s="82">
        <v>250</v>
      </c>
      <c r="C44" s="83">
        <v>1.1200000000000001</v>
      </c>
    </row>
    <row r="45" spans="2:5" x14ac:dyDescent="0.25">
      <c r="B45" s="82">
        <v>500</v>
      </c>
      <c r="C45" s="83">
        <v>1.1299999999999999</v>
      </c>
    </row>
    <row r="46" spans="2:5" x14ac:dyDescent="0.25">
      <c r="B46" s="82">
        <v>750</v>
      </c>
      <c r="C46" s="83">
        <v>1.1399999999999999</v>
      </c>
    </row>
    <row r="47" spans="2:5" x14ac:dyDescent="0.25">
      <c r="B47" s="82">
        <v>1000</v>
      </c>
      <c r="C47" s="83">
        <v>1.1499999999999999</v>
      </c>
    </row>
    <row r="48" spans="2:5" x14ac:dyDescent="0.25">
      <c r="B48" s="82">
        <v>2500</v>
      </c>
      <c r="C48" s="83">
        <v>1.1599999999999999</v>
      </c>
    </row>
    <row r="49" spans="2:3" ht="15.75" thickBot="1" x14ac:dyDescent="0.3">
      <c r="B49" s="84">
        <v>5000</v>
      </c>
      <c r="C49" s="85">
        <v>1.17</v>
      </c>
    </row>
  </sheetData>
  <mergeCells count="12">
    <mergeCell ref="F3:G3"/>
    <mergeCell ref="B3:D3"/>
    <mergeCell ref="C14:D14"/>
    <mergeCell ref="C13:D13"/>
    <mergeCell ref="C12:D12"/>
    <mergeCell ref="C11:D11"/>
    <mergeCell ref="C10:D10"/>
    <mergeCell ref="C9:D9"/>
    <mergeCell ref="C8:D8"/>
    <mergeCell ref="C7:D7"/>
    <mergeCell ref="C6:D6"/>
    <mergeCell ref="C5:D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F35" sqref="F35"/>
    </sheetView>
  </sheetViews>
  <sheetFormatPr defaultRowHeight="15" x14ac:dyDescent="0.25"/>
  <cols>
    <col min="1" max="1" width="9" style="194" collapsed="1"/>
    <col min="2" max="2" width="21.7109375" customWidth="1" collapsed="1"/>
    <col min="3" max="3" width="18.42578125" customWidth="1" collapsed="1"/>
    <col min="4" max="4" width="35.28515625" customWidth="1" collapsed="1"/>
  </cols>
  <sheetData>
    <row r="1" spans="2:4" s="194" customFormat="1" x14ac:dyDescent="0.25"/>
    <row r="2" spans="2:4" ht="15.75" thickBot="1" x14ac:dyDescent="0.3"/>
    <row r="3" spans="2:4" ht="28.5" customHeight="1" thickBot="1" x14ac:dyDescent="0.3">
      <c r="B3" s="355" t="s">
        <v>182</v>
      </c>
      <c r="C3" s="370"/>
      <c r="D3" s="363"/>
    </row>
    <row r="4" spans="2:4" x14ac:dyDescent="0.25">
      <c r="B4" s="375" t="s">
        <v>120</v>
      </c>
      <c r="C4" s="256" t="s">
        <v>197</v>
      </c>
      <c r="D4" s="241" t="b">
        <v>1</v>
      </c>
    </row>
    <row r="5" spans="2:4" ht="15.75" thickBot="1" x14ac:dyDescent="0.3">
      <c r="B5" s="376"/>
      <c r="C5" s="257" t="s">
        <v>122</v>
      </c>
      <c r="D5" s="242" t="s">
        <v>121</v>
      </c>
    </row>
    <row r="6" spans="2:4" x14ac:dyDescent="0.25">
      <c r="B6" s="270" t="s">
        <v>20</v>
      </c>
      <c r="C6" s="357" t="s">
        <v>9</v>
      </c>
      <c r="D6" s="358"/>
    </row>
    <row r="7" spans="2:4" x14ac:dyDescent="0.25">
      <c r="B7" s="142" t="s">
        <v>17</v>
      </c>
      <c r="C7" s="373">
        <v>1</v>
      </c>
      <c r="D7" s="374"/>
    </row>
    <row r="8" spans="2:4" x14ac:dyDescent="0.25">
      <c r="B8" s="142" t="s">
        <v>18</v>
      </c>
      <c r="C8" s="373">
        <v>1.5</v>
      </c>
      <c r="D8" s="374"/>
    </row>
    <row r="9" spans="2:4" ht="15.75" thickBot="1" x14ac:dyDescent="0.3">
      <c r="B9" s="84" t="s">
        <v>19</v>
      </c>
      <c r="C9" s="371">
        <v>1.2</v>
      </c>
      <c r="D9" s="372"/>
    </row>
    <row r="10" spans="2:4" x14ac:dyDescent="0.25">
      <c r="B10" s="145"/>
      <c r="C10" s="144"/>
      <c r="D10" s="143"/>
    </row>
    <row r="11" spans="2:4" ht="15.75" thickBot="1" x14ac:dyDescent="0.3"/>
    <row r="12" spans="2:4" x14ac:dyDescent="0.25">
      <c r="B12" s="352" t="s">
        <v>295</v>
      </c>
      <c r="C12" s="353"/>
    </row>
    <row r="13" spans="2:4" x14ac:dyDescent="0.25">
      <c r="B13" s="228" t="s">
        <v>135</v>
      </c>
      <c r="C13" s="229" t="s">
        <v>243</v>
      </c>
    </row>
    <row r="14" spans="2:4" x14ac:dyDescent="0.25">
      <c r="B14" s="260" t="s">
        <v>296</v>
      </c>
      <c r="C14" s="261" t="s">
        <v>244</v>
      </c>
      <c r="D14" s="197"/>
    </row>
    <row r="15" spans="2:4" x14ac:dyDescent="0.25">
      <c r="B15" s="142" t="s">
        <v>17</v>
      </c>
      <c r="C15" s="225">
        <v>1</v>
      </c>
      <c r="D15" s="199"/>
    </row>
    <row r="16" spans="2:4" x14ac:dyDescent="0.25">
      <c r="B16" s="142" t="s">
        <v>18</v>
      </c>
      <c r="C16" s="225">
        <v>1.5</v>
      </c>
      <c r="D16" s="199"/>
    </row>
    <row r="17" spans="2:4" ht="15.75" thickBot="1" x14ac:dyDescent="0.3">
      <c r="B17" s="84" t="s">
        <v>19</v>
      </c>
      <c r="C17" s="230">
        <v>1.2</v>
      </c>
      <c r="D17" s="199"/>
    </row>
  </sheetData>
  <mergeCells count="7">
    <mergeCell ref="B12:C12"/>
    <mergeCell ref="B3:D3"/>
    <mergeCell ref="C9:D9"/>
    <mergeCell ref="C8:D8"/>
    <mergeCell ref="C7:D7"/>
    <mergeCell ref="C6:D6"/>
    <mergeCell ref="B4:B5"/>
  </mergeCells>
  <pageMargins left="0.7" right="0.7" top="0.75" bottom="0.75" header="0.3" footer="0.3"/>
  <pageSetup paperSize="9" orientation="portrait" horizontalDpi="4294967294" vertic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I13" sqref="I13"/>
    </sheetView>
  </sheetViews>
  <sheetFormatPr defaultRowHeight="15" x14ac:dyDescent="0.25"/>
  <cols>
    <col min="1" max="1" width="9" style="194" collapsed="1"/>
    <col min="2" max="3" width="27.5703125" customWidth="1" collapsed="1"/>
    <col min="4" max="4" width="11.5703125" customWidth="1" collapsed="1"/>
  </cols>
  <sheetData>
    <row r="1" spans="2:4" ht="15.75" thickBot="1" x14ac:dyDescent="0.3"/>
    <row r="2" spans="2:4" ht="27.75" customHeight="1" thickBot="1" x14ac:dyDescent="0.3">
      <c r="B2" s="383" t="s">
        <v>266</v>
      </c>
      <c r="C2" s="384"/>
      <c r="D2" s="363"/>
    </row>
    <row r="3" spans="2:4" x14ac:dyDescent="0.25">
      <c r="B3" s="99" t="s">
        <v>120</v>
      </c>
      <c r="C3" s="255" t="s">
        <v>197</v>
      </c>
      <c r="D3" s="241" t="b">
        <v>1</v>
      </c>
    </row>
    <row r="4" spans="2:4" x14ac:dyDescent="0.25">
      <c r="B4" s="273" t="s">
        <v>84</v>
      </c>
      <c r="C4" s="385" t="s">
        <v>85</v>
      </c>
      <c r="D4" s="386"/>
    </row>
    <row r="5" spans="2:4" ht="30" x14ac:dyDescent="0.25">
      <c r="B5" s="271" t="s">
        <v>267</v>
      </c>
      <c r="C5" s="387"/>
      <c r="D5" s="386"/>
    </row>
    <row r="6" spans="2:4" ht="15.75" thickBot="1" x14ac:dyDescent="0.3">
      <c r="B6" s="272" t="s">
        <v>86</v>
      </c>
      <c r="C6" s="388" t="s">
        <v>87</v>
      </c>
      <c r="D6" s="367"/>
    </row>
    <row r="7" spans="2:4" x14ac:dyDescent="0.25">
      <c r="B7" s="100" t="s">
        <v>35</v>
      </c>
      <c r="C7" s="389" t="s">
        <v>9</v>
      </c>
      <c r="D7" s="379"/>
    </row>
    <row r="8" spans="2:4" x14ac:dyDescent="0.25">
      <c r="B8" s="108">
        <v>0</v>
      </c>
      <c r="C8" s="378">
        <v>0.9</v>
      </c>
      <c r="D8" s="379"/>
    </row>
    <row r="9" spans="2:4" ht="15.75" thickBot="1" x14ac:dyDescent="0.3">
      <c r="B9" s="109" t="s">
        <v>88</v>
      </c>
      <c r="C9" s="380" t="s">
        <v>268</v>
      </c>
      <c r="D9" s="379"/>
    </row>
    <row r="10" spans="2:4" x14ac:dyDescent="0.25">
      <c r="B10" s="110" t="s">
        <v>89</v>
      </c>
      <c r="C10" s="381">
        <v>1.35</v>
      </c>
      <c r="D10" s="382"/>
    </row>
    <row r="11" spans="2:4" x14ac:dyDescent="0.25">
      <c r="B11" s="62"/>
      <c r="C11" s="62"/>
    </row>
    <row r="12" spans="2:4" ht="15.75" thickBot="1" x14ac:dyDescent="0.3"/>
    <row r="13" spans="2:4" x14ac:dyDescent="0.25">
      <c r="B13" s="352" t="s">
        <v>292</v>
      </c>
      <c r="C13" s="377"/>
      <c r="D13" s="353"/>
    </row>
    <row r="14" spans="2:4" x14ac:dyDescent="0.25">
      <c r="B14" s="220" t="s">
        <v>269</v>
      </c>
      <c r="C14" s="221" t="s">
        <v>132</v>
      </c>
      <c r="D14" s="222" t="s">
        <v>243</v>
      </c>
    </row>
    <row r="15" spans="2:4" x14ac:dyDescent="0.25">
      <c r="B15" s="262" t="s">
        <v>293</v>
      </c>
      <c r="C15" s="263" t="s">
        <v>294</v>
      </c>
      <c r="D15" s="264" t="s">
        <v>244</v>
      </c>
    </row>
    <row r="16" spans="2:4" x14ac:dyDescent="0.25">
      <c r="B16" s="223">
        <v>2018</v>
      </c>
      <c r="C16" s="224">
        <v>43104</v>
      </c>
      <c r="D16" s="225">
        <v>0.9</v>
      </c>
    </row>
    <row r="17" spans="2:4" x14ac:dyDescent="0.25">
      <c r="B17" s="205">
        <v>2014</v>
      </c>
      <c r="C17" s="224">
        <v>43104</v>
      </c>
      <c r="D17" s="225">
        <v>1.2</v>
      </c>
    </row>
    <row r="18" spans="2:4" ht="15.75" thickBot="1" x14ac:dyDescent="0.3">
      <c r="B18" s="226">
        <v>2010</v>
      </c>
      <c r="C18" s="227">
        <v>43104</v>
      </c>
      <c r="D18" s="206">
        <v>1.35</v>
      </c>
    </row>
  </sheetData>
  <mergeCells count="9">
    <mergeCell ref="B13:D13"/>
    <mergeCell ref="C8:D8"/>
    <mergeCell ref="C9:D9"/>
    <mergeCell ref="C10:D10"/>
    <mergeCell ref="B2:D2"/>
    <mergeCell ref="C4:D4"/>
    <mergeCell ref="C5:D5"/>
    <mergeCell ref="C6:D6"/>
    <mergeCell ref="C7:D7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D28" sqref="D28"/>
    </sheetView>
  </sheetViews>
  <sheetFormatPr defaultColWidth="17.5703125" defaultRowHeight="15" x14ac:dyDescent="0.25"/>
  <cols>
    <col min="1" max="1" width="9" style="194" collapsed="1"/>
    <col min="3" max="3" width="20.7109375" customWidth="1" collapsed="1"/>
    <col min="4" max="4" width="39.42578125" customWidth="1" collapsed="1"/>
  </cols>
  <sheetData>
    <row r="1" spans="2:8" ht="24" thickBot="1" x14ac:dyDescent="0.4">
      <c r="B1" s="63"/>
    </row>
    <row r="2" spans="2:8" ht="29.25" customHeight="1" thickBot="1" x14ac:dyDescent="0.3">
      <c r="B2" s="355" t="s">
        <v>141</v>
      </c>
      <c r="C2" s="390"/>
      <c r="D2" s="333"/>
      <c r="F2" s="352" t="s">
        <v>283</v>
      </c>
      <c r="G2" s="353"/>
    </row>
    <row r="3" spans="2:8" x14ac:dyDescent="0.25">
      <c r="B3" s="375" t="s">
        <v>120</v>
      </c>
      <c r="C3" s="256" t="s">
        <v>197</v>
      </c>
      <c r="D3" s="274" t="b">
        <v>1</v>
      </c>
      <c r="F3" s="207" t="s">
        <v>134</v>
      </c>
      <c r="G3" s="208" t="s">
        <v>243</v>
      </c>
    </row>
    <row r="4" spans="2:8" ht="18" customHeight="1" thickBot="1" x14ac:dyDescent="0.3">
      <c r="B4" s="376"/>
      <c r="C4" s="257" t="s">
        <v>122</v>
      </c>
      <c r="D4" s="275" t="s">
        <v>290</v>
      </c>
      <c r="F4" s="258" t="s">
        <v>284</v>
      </c>
      <c r="G4" s="259" t="s">
        <v>244</v>
      </c>
      <c r="H4" s="197"/>
    </row>
    <row r="5" spans="2:8" x14ac:dyDescent="0.25">
      <c r="B5" s="100" t="s">
        <v>21</v>
      </c>
      <c r="C5" s="395" t="s">
        <v>9</v>
      </c>
      <c r="D5" s="394"/>
      <c r="F5" s="218">
        <v>3000</v>
      </c>
      <c r="G5" s="213">
        <v>1</v>
      </c>
      <c r="H5" s="212"/>
    </row>
    <row r="6" spans="2:8" x14ac:dyDescent="0.25">
      <c r="B6" s="101" t="s">
        <v>37</v>
      </c>
      <c r="C6" s="393">
        <v>1</v>
      </c>
      <c r="D6" s="394"/>
      <c r="F6" s="218">
        <v>40000</v>
      </c>
      <c r="G6" s="213">
        <v>1.1599999999999999</v>
      </c>
      <c r="H6" s="212"/>
    </row>
    <row r="7" spans="2:8" ht="15.75" thickBot="1" x14ac:dyDescent="0.3">
      <c r="B7" s="101" t="s">
        <v>23</v>
      </c>
      <c r="C7" s="393">
        <v>1.1000000000000001</v>
      </c>
      <c r="D7" s="394"/>
      <c r="F7" s="219">
        <v>199999</v>
      </c>
      <c r="G7" s="214">
        <v>1.19</v>
      </c>
      <c r="H7" s="199"/>
    </row>
    <row r="8" spans="2:8" x14ac:dyDescent="0.25">
      <c r="B8" s="101" t="s">
        <v>24</v>
      </c>
      <c r="C8" s="393">
        <v>1.1100000000000001</v>
      </c>
      <c r="D8" s="394"/>
    </row>
    <row r="9" spans="2:8" x14ac:dyDescent="0.25">
      <c r="B9" s="101" t="s">
        <v>25</v>
      </c>
      <c r="C9" s="393">
        <v>1.1200000000000001</v>
      </c>
      <c r="D9" s="394"/>
    </row>
    <row r="10" spans="2:8" x14ac:dyDescent="0.25">
      <c r="B10" s="101" t="s">
        <v>26</v>
      </c>
      <c r="C10" s="393">
        <v>1.1299999999999999</v>
      </c>
      <c r="D10" s="394"/>
    </row>
    <row r="11" spans="2:8" x14ac:dyDescent="0.25">
      <c r="B11" s="101" t="s">
        <v>27</v>
      </c>
      <c r="C11" s="393">
        <v>1.1399999999999999</v>
      </c>
      <c r="D11" s="394"/>
    </row>
    <row r="12" spans="2:8" x14ac:dyDescent="0.25">
      <c r="B12" s="101" t="s">
        <v>28</v>
      </c>
      <c r="C12" s="393">
        <v>1.1499999999999999</v>
      </c>
      <c r="D12" s="394"/>
    </row>
    <row r="13" spans="2:8" x14ac:dyDescent="0.25">
      <c r="B13" s="101" t="s">
        <v>29</v>
      </c>
      <c r="C13" s="393">
        <v>1.1599999999999999</v>
      </c>
      <c r="D13" s="394"/>
    </row>
    <row r="14" spans="2:8" x14ac:dyDescent="0.25">
      <c r="B14" s="101" t="s">
        <v>30</v>
      </c>
      <c r="C14" s="393">
        <v>1.17</v>
      </c>
      <c r="D14" s="394"/>
    </row>
    <row r="15" spans="2:8" x14ac:dyDescent="0.25">
      <c r="B15" s="101" t="s">
        <v>31</v>
      </c>
      <c r="C15" s="393">
        <v>1.18</v>
      </c>
      <c r="D15" s="394"/>
    </row>
    <row r="16" spans="2:8" ht="15.75" thickBot="1" x14ac:dyDescent="0.3">
      <c r="B16" s="102" t="s">
        <v>90</v>
      </c>
      <c r="C16" s="391">
        <v>1.19</v>
      </c>
      <c r="D16" s="392"/>
    </row>
    <row r="17" spans="2:4" x14ac:dyDescent="0.25">
      <c r="B17" s="135"/>
      <c r="C17" s="134"/>
      <c r="D17" s="133"/>
    </row>
  </sheetData>
  <mergeCells count="15">
    <mergeCell ref="F2:G2"/>
    <mergeCell ref="B2:D2"/>
    <mergeCell ref="C16:D16"/>
    <mergeCell ref="C15:D15"/>
    <mergeCell ref="C14:D14"/>
    <mergeCell ref="C13:D13"/>
    <mergeCell ref="C12:D12"/>
    <mergeCell ref="C11:D11"/>
    <mergeCell ref="C10:D10"/>
    <mergeCell ref="C9:D9"/>
    <mergeCell ref="C8:D8"/>
    <mergeCell ref="C7:D7"/>
    <mergeCell ref="C6:D6"/>
    <mergeCell ref="C5:D5"/>
    <mergeCell ref="B3:B4"/>
  </mergeCells>
  <pageMargins left="0.7" right="0.7" top="0.75" bottom="0.75" header="0.3" footer="0.3"/>
  <pageSetup paperSize="9" orientation="portrait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C22" sqref="C22:D22"/>
    </sheetView>
  </sheetViews>
  <sheetFormatPr defaultRowHeight="15" x14ac:dyDescent="0.25"/>
  <cols>
    <col min="1" max="1" width="9" style="194" collapsed="1"/>
    <col min="2" max="2" width="31.28515625" customWidth="1" collapsed="1"/>
    <col min="4" max="4" width="21.28515625" customWidth="1" collapsed="1"/>
    <col min="5" max="5" width="14.85546875" customWidth="1" collapsed="1"/>
    <col min="6" max="6" width="18.85546875" bestFit="1" customWidth="1" collapsed="1"/>
    <col min="7" max="7" width="41.5703125" customWidth="1" collapsed="1"/>
    <col min="8" max="8" width="24.28515625" customWidth="1" collapsed="1"/>
  </cols>
  <sheetData>
    <row r="1" spans="2:11" x14ac:dyDescent="0.25">
      <c r="D1" s="50"/>
      <c r="E1" s="51"/>
      <c r="G1" s="141"/>
      <c r="H1" s="140"/>
    </row>
    <row r="2" spans="2:11" ht="15.75" thickBot="1" x14ac:dyDescent="0.3"/>
    <row r="3" spans="2:11" ht="29.25" customHeight="1" thickBot="1" x14ac:dyDescent="0.3">
      <c r="B3" s="355" t="s">
        <v>314</v>
      </c>
      <c r="C3" s="362"/>
      <c r="D3" s="363"/>
      <c r="F3" s="352" t="s">
        <v>316</v>
      </c>
      <c r="G3" s="353"/>
    </row>
    <row r="4" spans="2:11" x14ac:dyDescent="0.25">
      <c r="B4" s="142" t="s">
        <v>120</v>
      </c>
      <c r="C4" s="197" t="s">
        <v>197</v>
      </c>
      <c r="D4" s="198" t="b">
        <v>1</v>
      </c>
      <c r="F4" s="251" t="s">
        <v>138</v>
      </c>
      <c r="G4" s="252" t="s">
        <v>243</v>
      </c>
    </row>
    <row r="5" spans="2:11" x14ac:dyDescent="0.25">
      <c r="B5" s="265" t="s">
        <v>32</v>
      </c>
      <c r="C5" s="396" t="s">
        <v>103</v>
      </c>
      <c r="D5" s="386"/>
      <c r="F5" s="266" t="s">
        <v>279</v>
      </c>
      <c r="G5" s="267" t="s">
        <v>244</v>
      </c>
      <c r="K5" s="37"/>
    </row>
    <row r="6" spans="2:11" x14ac:dyDescent="0.25">
      <c r="B6" s="202" t="s">
        <v>6</v>
      </c>
      <c r="C6" s="399">
        <v>0.03</v>
      </c>
      <c r="D6" s="400"/>
      <c r="F6" s="202" t="s">
        <v>6</v>
      </c>
      <c r="G6" s="203">
        <v>0.03</v>
      </c>
      <c r="H6" s="199"/>
      <c r="K6" s="37"/>
    </row>
    <row r="7" spans="2:11" ht="15.75" thickBot="1" x14ac:dyDescent="0.3">
      <c r="B7" s="103" t="s">
        <v>53</v>
      </c>
      <c r="C7" s="401">
        <v>0</v>
      </c>
      <c r="D7" s="402"/>
      <c r="F7" s="103" t="s">
        <v>53</v>
      </c>
      <c r="G7" s="204">
        <v>0</v>
      </c>
      <c r="H7" s="199"/>
    </row>
    <row r="9" spans="2:11" ht="15.75" thickBot="1" x14ac:dyDescent="0.3"/>
    <row r="10" spans="2:11" ht="27.75" customHeight="1" thickBot="1" x14ac:dyDescent="0.3">
      <c r="B10" s="355" t="s">
        <v>274</v>
      </c>
      <c r="C10" s="370"/>
      <c r="D10" s="356"/>
      <c r="F10" s="352" t="s">
        <v>275</v>
      </c>
      <c r="G10" s="353"/>
    </row>
    <row r="11" spans="2:11" x14ac:dyDescent="0.25">
      <c r="B11" s="142" t="s">
        <v>120</v>
      </c>
      <c r="C11" s="146" t="s">
        <v>197</v>
      </c>
      <c r="D11" s="147" t="b">
        <v>1</v>
      </c>
      <c r="F11" s="200" t="s">
        <v>136</v>
      </c>
      <c r="G11" s="201" t="s">
        <v>243</v>
      </c>
    </row>
    <row r="12" spans="2:11" x14ac:dyDescent="0.25">
      <c r="B12" s="148" t="s">
        <v>91</v>
      </c>
      <c r="C12" s="403" t="s">
        <v>38</v>
      </c>
      <c r="D12" s="349"/>
      <c r="F12" s="268" t="s">
        <v>276</v>
      </c>
      <c r="G12" s="269" t="s">
        <v>244</v>
      </c>
    </row>
    <row r="13" spans="2:11" x14ac:dyDescent="0.25">
      <c r="B13" s="149" t="s">
        <v>22</v>
      </c>
      <c r="C13" s="404">
        <v>0</v>
      </c>
      <c r="D13" s="405"/>
      <c r="F13" s="149" t="s">
        <v>22</v>
      </c>
      <c r="G13" s="203">
        <v>0</v>
      </c>
    </row>
    <row r="14" spans="2:11" x14ac:dyDescent="0.25">
      <c r="B14" s="196" t="s">
        <v>33</v>
      </c>
      <c r="C14" s="404">
        <v>0.1</v>
      </c>
      <c r="D14" s="405"/>
      <c r="F14" s="196" t="s">
        <v>33</v>
      </c>
      <c r="G14" s="203">
        <v>0.1</v>
      </c>
    </row>
    <row r="15" spans="2:11" ht="15.75" thickBot="1" x14ac:dyDescent="0.3">
      <c r="B15" s="105" t="s">
        <v>34</v>
      </c>
      <c r="C15" s="401">
        <v>0.15</v>
      </c>
      <c r="D15" s="406"/>
      <c r="F15" s="105" t="s">
        <v>34</v>
      </c>
      <c r="G15" s="204">
        <v>0.15</v>
      </c>
    </row>
    <row r="16" spans="2:11" x14ac:dyDescent="0.25">
      <c r="B16" s="128"/>
      <c r="C16" s="127"/>
    </row>
    <row r="17" spans="2:8" ht="15.75" thickBot="1" x14ac:dyDescent="0.3"/>
    <row r="18" spans="2:8" ht="27.75" customHeight="1" thickBot="1" x14ac:dyDescent="0.3">
      <c r="B18" s="323" t="s">
        <v>273</v>
      </c>
      <c r="C18" s="397"/>
      <c r="D18" s="398"/>
      <c r="F18" s="352" t="s">
        <v>277</v>
      </c>
      <c r="G18" s="353"/>
    </row>
    <row r="19" spans="2:8" x14ac:dyDescent="0.25">
      <c r="B19" s="142" t="s">
        <v>120</v>
      </c>
      <c r="C19" s="197" t="s">
        <v>197</v>
      </c>
      <c r="D19" s="198" t="b">
        <v>1</v>
      </c>
      <c r="F19" s="251" t="s">
        <v>137</v>
      </c>
      <c r="G19" s="252" t="s">
        <v>243</v>
      </c>
    </row>
    <row r="20" spans="2:8" x14ac:dyDescent="0.25">
      <c r="B20" s="148" t="s">
        <v>32</v>
      </c>
      <c r="C20" s="396" t="s">
        <v>38</v>
      </c>
      <c r="D20" s="386"/>
      <c r="F20" s="266" t="s">
        <v>278</v>
      </c>
      <c r="G20" s="267" t="s">
        <v>244</v>
      </c>
    </row>
    <row r="21" spans="2:8" x14ac:dyDescent="0.25">
      <c r="B21" s="202" t="s">
        <v>6</v>
      </c>
      <c r="C21" s="399">
        <v>0</v>
      </c>
      <c r="D21" s="400"/>
      <c r="F21" s="202" t="s">
        <v>6</v>
      </c>
      <c r="G21" s="203">
        <v>0</v>
      </c>
      <c r="H21" s="199"/>
    </row>
    <row r="22" spans="2:8" ht="15.75" thickBot="1" x14ac:dyDescent="0.3">
      <c r="B22" s="103" t="s">
        <v>53</v>
      </c>
      <c r="C22" s="401">
        <v>0.05</v>
      </c>
      <c r="D22" s="402"/>
      <c r="F22" s="103" t="s">
        <v>53</v>
      </c>
      <c r="G22" s="204">
        <v>0.05</v>
      </c>
      <c r="H22" s="199"/>
    </row>
    <row r="23" spans="2:8" x14ac:dyDescent="0.25">
      <c r="B23" s="130"/>
      <c r="C23" s="129"/>
    </row>
  </sheetData>
  <mergeCells count="16">
    <mergeCell ref="C20:D20"/>
    <mergeCell ref="F18:G18"/>
    <mergeCell ref="C21:D21"/>
    <mergeCell ref="C22:D22"/>
    <mergeCell ref="C6:D6"/>
    <mergeCell ref="C7:D7"/>
    <mergeCell ref="B10:D10"/>
    <mergeCell ref="C12:D12"/>
    <mergeCell ref="C13:D13"/>
    <mergeCell ref="C14:D14"/>
    <mergeCell ref="C15:D15"/>
    <mergeCell ref="F3:G3"/>
    <mergeCell ref="B3:D3"/>
    <mergeCell ref="C5:D5"/>
    <mergeCell ref="F10:G10"/>
    <mergeCell ref="B18:D18"/>
  </mergeCells>
  <pageMargins left="0.7" right="0.7" top="0.75" bottom="0.75" header="0.3" footer="0.3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16" workbookViewId="0">
      <selection activeCell="I23" sqref="I23"/>
    </sheetView>
  </sheetViews>
  <sheetFormatPr defaultRowHeight="15" x14ac:dyDescent="0.25"/>
  <cols>
    <col min="1" max="1" width="9" style="194" collapsed="1"/>
    <col min="2" max="2" width="33.28515625" customWidth="1" collapsed="1"/>
    <col min="3" max="3" width="30.28515625" customWidth="1" collapsed="1"/>
    <col min="6" max="6" width="30.140625" customWidth="1" collapsed="1"/>
    <col min="7" max="7" width="19.28515625" customWidth="1" collapsed="1"/>
  </cols>
  <sheetData>
    <row r="1" spans="2:8" ht="15.75" thickBot="1" x14ac:dyDescent="0.3"/>
    <row r="2" spans="2:8" ht="31.5" customHeight="1" thickBot="1" x14ac:dyDescent="0.3">
      <c r="B2" s="355" t="s">
        <v>212</v>
      </c>
      <c r="C2" s="362"/>
      <c r="D2" s="363"/>
      <c r="F2" s="352" t="s">
        <v>287</v>
      </c>
      <c r="G2" s="353"/>
    </row>
    <row r="3" spans="2:8" ht="15.75" thickBot="1" x14ac:dyDescent="0.3">
      <c r="B3" s="277" t="s">
        <v>120</v>
      </c>
      <c r="C3" s="278" t="s">
        <v>197</v>
      </c>
      <c r="D3" s="279" t="b">
        <v>1</v>
      </c>
      <c r="F3" s="207" t="s">
        <v>288</v>
      </c>
      <c r="G3" s="208" t="s">
        <v>243</v>
      </c>
    </row>
    <row r="4" spans="2:8" x14ac:dyDescent="0.25">
      <c r="B4" s="265" t="s">
        <v>47</v>
      </c>
      <c r="C4" s="396" t="s">
        <v>38</v>
      </c>
      <c r="D4" s="386"/>
      <c r="F4" s="258" t="s">
        <v>289</v>
      </c>
      <c r="G4" s="259" t="s">
        <v>244</v>
      </c>
      <c r="H4" s="197"/>
    </row>
    <row r="5" spans="2:8" x14ac:dyDescent="0.25">
      <c r="B5" s="104">
        <v>1</v>
      </c>
      <c r="C5" s="410">
        <v>0</v>
      </c>
      <c r="D5" s="411"/>
      <c r="F5" s="149">
        <v>1</v>
      </c>
      <c r="G5" s="215">
        <v>0</v>
      </c>
      <c r="H5" s="199"/>
    </row>
    <row r="6" spans="2:8" x14ac:dyDescent="0.25">
      <c r="B6" s="104">
        <v>2</v>
      </c>
      <c r="C6" s="410">
        <v>0.02</v>
      </c>
      <c r="D6" s="411"/>
      <c r="F6" s="149">
        <v>2</v>
      </c>
      <c r="G6" s="215">
        <v>0.02</v>
      </c>
      <c r="H6" s="199"/>
    </row>
    <row r="7" spans="2:8" ht="15.75" thickBot="1" x14ac:dyDescent="0.3">
      <c r="B7" s="105" t="s">
        <v>87</v>
      </c>
      <c r="C7" s="412">
        <v>0.03</v>
      </c>
      <c r="D7" s="413"/>
      <c r="F7" s="105" t="s">
        <v>291</v>
      </c>
      <c r="G7" s="216">
        <v>0.03</v>
      </c>
      <c r="H7" s="199"/>
    </row>
    <row r="8" spans="2:8" x14ac:dyDescent="0.25">
      <c r="B8" s="65"/>
      <c r="C8" s="64"/>
    </row>
    <row r="9" spans="2:8" ht="15.75" thickBot="1" x14ac:dyDescent="0.3"/>
    <row r="10" spans="2:8" ht="30" customHeight="1" thickBot="1" x14ac:dyDescent="0.3">
      <c r="B10" s="355" t="s">
        <v>207</v>
      </c>
      <c r="C10" s="414"/>
      <c r="D10" s="363"/>
    </row>
    <row r="11" spans="2:8" ht="15" customHeight="1" thickBot="1" x14ac:dyDescent="0.3">
      <c r="B11" s="277" t="s">
        <v>120</v>
      </c>
      <c r="C11" s="278" t="s">
        <v>197</v>
      </c>
      <c r="D11" s="279" t="b">
        <v>1</v>
      </c>
    </row>
    <row r="12" spans="2:8" x14ac:dyDescent="0.25">
      <c r="B12" s="265" t="s">
        <v>110</v>
      </c>
      <c r="C12" s="396" t="s">
        <v>38</v>
      </c>
      <c r="D12" s="386"/>
      <c r="H12" s="197"/>
    </row>
    <row r="13" spans="2:8" x14ac:dyDescent="0.25">
      <c r="B13" s="159" t="s">
        <v>218</v>
      </c>
      <c r="C13" s="415">
        <v>0.1</v>
      </c>
      <c r="D13" s="349"/>
      <c r="H13" s="199"/>
    </row>
    <row r="14" spans="2:8" ht="15.75" thickBot="1" x14ac:dyDescent="0.3">
      <c r="B14" s="106" t="s">
        <v>96</v>
      </c>
      <c r="C14" s="416">
        <v>0.05</v>
      </c>
      <c r="D14" s="351"/>
      <c r="H14" s="199"/>
    </row>
    <row r="15" spans="2:8" x14ac:dyDescent="0.25">
      <c r="B15" s="45"/>
      <c r="C15" s="45"/>
      <c r="D15" s="45"/>
    </row>
    <row r="16" spans="2:8" ht="15.75" thickBot="1" x14ac:dyDescent="0.3">
      <c r="D16" s="37"/>
    </row>
    <row r="17" spans="2:8" ht="28.5" customHeight="1" thickBot="1" x14ac:dyDescent="0.3">
      <c r="B17" s="355" t="s">
        <v>271</v>
      </c>
      <c r="C17" s="362"/>
      <c r="D17" s="363"/>
      <c r="F17" s="352" t="s">
        <v>285</v>
      </c>
      <c r="G17" s="353"/>
    </row>
    <row r="18" spans="2:8" x14ac:dyDescent="0.25">
      <c r="B18" s="138" t="s">
        <v>120</v>
      </c>
      <c r="C18" t="s">
        <v>197</v>
      </c>
      <c r="D18" s="139" t="b">
        <v>1</v>
      </c>
      <c r="F18" s="207" t="s">
        <v>131</v>
      </c>
      <c r="G18" s="208" t="s">
        <v>243</v>
      </c>
    </row>
    <row r="19" spans="2:8" ht="15.75" thickBot="1" x14ac:dyDescent="0.3">
      <c r="B19" s="265" t="s">
        <v>60</v>
      </c>
      <c r="C19" s="396" t="s">
        <v>38</v>
      </c>
      <c r="D19" s="386"/>
      <c r="F19" s="258" t="s">
        <v>286</v>
      </c>
      <c r="G19" s="259" t="s">
        <v>244</v>
      </c>
      <c r="H19" s="197"/>
    </row>
    <row r="20" spans="2:8" x14ac:dyDescent="0.25">
      <c r="B20" s="276" t="s">
        <v>61</v>
      </c>
      <c r="C20" s="408">
        <v>0.02</v>
      </c>
      <c r="D20" s="409"/>
      <c r="F20" s="217" t="s">
        <v>61</v>
      </c>
      <c r="G20" s="319">
        <v>0.02</v>
      </c>
      <c r="H20" s="199"/>
    </row>
    <row r="21" spans="2:8" ht="15.75" thickBot="1" x14ac:dyDescent="0.3">
      <c r="B21" s="217" t="s">
        <v>62</v>
      </c>
      <c r="C21" s="407">
        <v>0.02</v>
      </c>
      <c r="D21" s="400"/>
      <c r="F21" s="107" t="s">
        <v>67</v>
      </c>
      <c r="G21" s="319">
        <v>0.05</v>
      </c>
      <c r="H21" s="199"/>
    </row>
    <row r="22" spans="2:8" x14ac:dyDescent="0.25">
      <c r="B22" s="217" t="s">
        <v>63</v>
      </c>
      <c r="C22" s="407">
        <v>0.02</v>
      </c>
      <c r="D22" s="400"/>
    </row>
    <row r="23" spans="2:8" x14ac:dyDescent="0.25">
      <c r="B23" s="217" t="s">
        <v>64</v>
      </c>
      <c r="C23" s="407">
        <v>0.02</v>
      </c>
      <c r="D23" s="400"/>
    </row>
    <row r="24" spans="2:8" x14ac:dyDescent="0.25">
      <c r="B24" s="217" t="s">
        <v>65</v>
      </c>
      <c r="C24" s="407">
        <v>0.02</v>
      </c>
      <c r="D24" s="400"/>
    </row>
    <row r="25" spans="2:8" x14ac:dyDescent="0.25">
      <c r="B25" s="217" t="s">
        <v>66</v>
      </c>
      <c r="C25" s="407">
        <v>0.05</v>
      </c>
      <c r="D25" s="400"/>
    </row>
    <row r="26" spans="2:8" x14ac:dyDescent="0.25">
      <c r="B26" s="217" t="s">
        <v>67</v>
      </c>
      <c r="C26" s="407">
        <v>0.05</v>
      </c>
      <c r="D26" s="400"/>
    </row>
    <row r="27" spans="2:8" x14ac:dyDescent="0.25">
      <c r="B27" s="217" t="s">
        <v>68</v>
      </c>
      <c r="C27" s="400">
        <v>0.05</v>
      </c>
      <c r="D27" s="400"/>
    </row>
    <row r="28" spans="2:8" ht="15.75" thickBot="1" x14ac:dyDescent="0.3">
      <c r="B28" s="107" t="s">
        <v>69</v>
      </c>
      <c r="C28" s="402">
        <v>0.05</v>
      </c>
      <c r="D28" s="402"/>
    </row>
    <row r="29" spans="2:8" x14ac:dyDescent="0.25">
      <c r="B29" s="137"/>
      <c r="C29" s="136"/>
    </row>
  </sheetData>
  <mergeCells count="22">
    <mergeCell ref="F2:G2"/>
    <mergeCell ref="F17:G17"/>
    <mergeCell ref="C28:D28"/>
    <mergeCell ref="C24:D24"/>
    <mergeCell ref="C25:D25"/>
    <mergeCell ref="C26:D26"/>
    <mergeCell ref="C27:D27"/>
    <mergeCell ref="B2:D2"/>
    <mergeCell ref="C4:D4"/>
    <mergeCell ref="C5:D5"/>
    <mergeCell ref="C6:D6"/>
    <mergeCell ref="C7:D7"/>
    <mergeCell ref="B10:D10"/>
    <mergeCell ref="C12:D12"/>
    <mergeCell ref="C13:D13"/>
    <mergeCell ref="C14:D14"/>
    <mergeCell ref="C23:D23"/>
    <mergeCell ref="B17:D17"/>
    <mergeCell ref="C19:D19"/>
    <mergeCell ref="C20:D20"/>
    <mergeCell ref="C21:D21"/>
    <mergeCell ref="C22:D22"/>
  </mergeCells>
  <pageMargins left="0.7" right="0.7" top="0.75" bottom="0.75" header="0.3" footer="0.3"/>
  <pageSetup paperSize="9" orientation="portrait" horizontalDpi="4294967294" verticalDpi="4294967294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6"/>
  <sheetViews>
    <sheetView topLeftCell="A37" workbookViewId="0">
      <selection activeCell="B38" sqref="B38:E38"/>
    </sheetView>
  </sheetViews>
  <sheetFormatPr defaultRowHeight="15" x14ac:dyDescent="0.25"/>
  <cols>
    <col min="1" max="1" width="9" style="194" collapsed="1"/>
    <col min="2" max="2" width="15.42578125" bestFit="1" customWidth="1" collapsed="1"/>
    <col min="3" max="3" width="36.7109375" bestFit="1" customWidth="1" collapsed="1"/>
    <col min="4" max="4" width="36.7109375" style="194" customWidth="1" collapsed="1"/>
    <col min="5" max="5" width="36.7109375" bestFit="1" customWidth="1" collapsed="1"/>
    <col min="6" max="6" width="33.85546875" bestFit="1" customWidth="1" collapsed="1"/>
    <col min="7" max="7" width="35.42578125" bestFit="1" customWidth="1" collapsed="1"/>
    <col min="8" max="8" width="35.5703125" bestFit="1" customWidth="1" collapsed="1"/>
    <col min="9" max="9" width="32.5703125" bestFit="1" customWidth="1" collapsed="1"/>
    <col min="10" max="10" width="32.42578125" bestFit="1" customWidth="1" collapsed="1"/>
    <col min="11" max="11" width="33.42578125" bestFit="1" customWidth="1" collapsed="1"/>
    <col min="12" max="13" width="31.7109375" bestFit="1" customWidth="1" collapsed="1"/>
    <col min="14" max="14" width="11.7109375" bestFit="1" customWidth="1" collapsed="1"/>
    <col min="15" max="15" width="8.42578125" bestFit="1" customWidth="1" collapsed="1"/>
    <col min="16" max="16" width="10.7109375" bestFit="1" customWidth="1" collapsed="1"/>
    <col min="18" max="18" width="10.7109375" bestFit="1" customWidth="1" collapsed="1"/>
    <col min="19" max="19" width="14.7109375" bestFit="1" customWidth="1" collapsed="1"/>
    <col min="20" max="20" width="13.28515625" bestFit="1" customWidth="1" collapsed="1"/>
    <col min="21" max="21" width="8.28515625" bestFit="1" customWidth="1" collapsed="1"/>
    <col min="22" max="22" width="11" bestFit="1" customWidth="1" collapsed="1"/>
    <col min="23" max="23" width="10.28515625" bestFit="1" customWidth="1" collapsed="1"/>
    <col min="24" max="24" width="10.28515625" customWidth="1" collapsed="1"/>
  </cols>
  <sheetData>
    <row r="2" spans="1:11" ht="15.75" thickBot="1" x14ac:dyDescent="0.3"/>
    <row r="3" spans="1:11" ht="29.25" customHeight="1" x14ac:dyDescent="0.25">
      <c r="B3" s="417" t="s">
        <v>219</v>
      </c>
      <c r="C3" s="418"/>
      <c r="D3" s="418"/>
      <c r="E3" s="418"/>
      <c r="F3" s="418"/>
      <c r="G3" s="418"/>
      <c r="H3" s="194"/>
    </row>
    <row r="4" spans="1:11" s="145" customFormat="1" ht="15.75" x14ac:dyDescent="0.25">
      <c r="A4" s="194"/>
      <c r="B4" s="172" t="s">
        <v>229</v>
      </c>
      <c r="C4" s="173" t="s">
        <v>130</v>
      </c>
      <c r="D4" s="146" t="s">
        <v>131</v>
      </c>
      <c r="E4" s="146" t="s">
        <v>132</v>
      </c>
      <c r="F4" s="146" t="s">
        <v>133</v>
      </c>
      <c r="G4" s="299" t="s">
        <v>125</v>
      </c>
      <c r="H4" s="163"/>
      <c r="I4" s="163"/>
    </row>
    <row r="5" spans="1:11" s="145" customFormat="1" ht="15.75" x14ac:dyDescent="0.25">
      <c r="A5" s="194"/>
      <c r="B5" s="170"/>
      <c r="C5" s="171"/>
      <c r="D5" s="146"/>
      <c r="E5" s="146"/>
      <c r="F5" s="146"/>
      <c r="G5" s="299" t="s">
        <v>216</v>
      </c>
      <c r="H5" s="163"/>
      <c r="I5" s="163"/>
    </row>
    <row r="6" spans="1:11" ht="15.75" x14ac:dyDescent="0.25">
      <c r="B6" s="180" t="s">
        <v>229</v>
      </c>
      <c r="C6" s="181" t="s">
        <v>357</v>
      </c>
      <c r="D6" s="182" t="s">
        <v>358</v>
      </c>
      <c r="E6" s="182" t="s">
        <v>359</v>
      </c>
      <c r="F6" s="182" t="s">
        <v>360</v>
      </c>
      <c r="G6" s="183" t="s">
        <v>125</v>
      </c>
      <c r="H6" s="163"/>
      <c r="I6" s="163"/>
    </row>
    <row r="7" spans="1:11" x14ac:dyDescent="0.25">
      <c r="B7" s="142" t="s">
        <v>214</v>
      </c>
      <c r="C7" s="166" t="s">
        <v>96</v>
      </c>
      <c r="D7" s="165" t="s">
        <v>61</v>
      </c>
      <c r="E7" s="174">
        <v>43104</v>
      </c>
      <c r="F7" s="146" t="s">
        <v>215</v>
      </c>
      <c r="G7" s="299" t="s">
        <v>320</v>
      </c>
      <c r="H7" s="194"/>
    </row>
    <row r="8" spans="1:11" x14ac:dyDescent="0.25">
      <c r="B8" s="142" t="s">
        <v>217</v>
      </c>
      <c r="C8" s="146" t="s">
        <v>218</v>
      </c>
      <c r="D8" s="146" t="s">
        <v>67</v>
      </c>
      <c r="E8" s="174">
        <v>43104</v>
      </c>
      <c r="F8" s="146" t="s">
        <v>215</v>
      </c>
      <c r="G8" s="299" t="s">
        <v>228</v>
      </c>
      <c r="H8" s="194"/>
    </row>
    <row r="9" spans="1:11" ht="15.75" thickBot="1" x14ac:dyDescent="0.3">
      <c r="B9" s="84" t="s">
        <v>226</v>
      </c>
      <c r="C9" s="90" t="s">
        <v>218</v>
      </c>
      <c r="D9" s="90" t="s">
        <v>67</v>
      </c>
      <c r="E9" s="175">
        <v>43104</v>
      </c>
      <c r="F9" s="90" t="s">
        <v>215</v>
      </c>
      <c r="G9" s="300" t="s">
        <v>76</v>
      </c>
      <c r="H9" s="194"/>
    </row>
    <row r="10" spans="1:11" s="194" customFormat="1" x14ac:dyDescent="0.25">
      <c r="B10" s="197"/>
      <c r="C10" s="197"/>
      <c r="D10" s="197"/>
      <c r="E10" s="197"/>
      <c r="F10" s="244"/>
      <c r="G10" s="197"/>
      <c r="H10" s="197"/>
    </row>
    <row r="11" spans="1:11" s="194" customFormat="1" ht="15.75" thickBot="1" x14ac:dyDescent="0.3">
      <c r="B11" s="197"/>
      <c r="C11" s="197"/>
      <c r="D11" s="197"/>
      <c r="E11" s="197"/>
      <c r="F11" s="244"/>
      <c r="G11" s="197"/>
      <c r="H11" s="197"/>
    </row>
    <row r="12" spans="1:11" s="194" customFormat="1" ht="30" customHeight="1" thickBot="1" x14ac:dyDescent="0.3">
      <c r="B12" s="419" t="s">
        <v>240</v>
      </c>
      <c r="C12" s="420"/>
      <c r="D12" s="420"/>
      <c r="E12" s="420"/>
      <c r="F12" s="420"/>
      <c r="G12" s="420"/>
      <c r="H12" s="420"/>
      <c r="I12" s="420"/>
      <c r="J12" s="421"/>
    </row>
    <row r="13" spans="1:11" s="194" customFormat="1" x14ac:dyDescent="0.25">
      <c r="B13" s="239" t="s">
        <v>241</v>
      </c>
      <c r="C13" s="243" t="s">
        <v>331</v>
      </c>
      <c r="D13" s="243" t="s">
        <v>332</v>
      </c>
      <c r="E13" s="243" t="s">
        <v>321</v>
      </c>
      <c r="F13" s="243" t="s">
        <v>323</v>
      </c>
      <c r="G13" s="243" t="s">
        <v>322</v>
      </c>
      <c r="H13" s="243" t="s">
        <v>334</v>
      </c>
      <c r="I13" s="240" t="s">
        <v>328</v>
      </c>
      <c r="J13" s="240" t="s">
        <v>342</v>
      </c>
      <c r="K13" s="194" t="s">
        <v>87</v>
      </c>
    </row>
    <row r="14" spans="1:11" s="194" customFormat="1" x14ac:dyDescent="0.25">
      <c r="B14" s="290" t="s">
        <v>245</v>
      </c>
      <c r="C14" s="288"/>
      <c r="D14" s="197"/>
      <c r="E14" s="197"/>
      <c r="F14" s="197"/>
      <c r="G14" s="197"/>
      <c r="H14" s="197"/>
      <c r="I14" s="250"/>
      <c r="J14" s="250"/>
    </row>
    <row r="15" spans="1:11" s="194" customFormat="1" x14ac:dyDescent="0.25">
      <c r="B15" s="292" t="s">
        <v>242</v>
      </c>
      <c r="C15" s="293" t="s">
        <v>324</v>
      </c>
      <c r="D15" s="293" t="s">
        <v>325</v>
      </c>
      <c r="E15" s="293" t="s">
        <v>329</v>
      </c>
      <c r="F15" s="293" t="s">
        <v>340</v>
      </c>
      <c r="G15" s="293" t="s">
        <v>326</v>
      </c>
      <c r="H15" s="293" t="s">
        <v>341</v>
      </c>
      <c r="I15" s="294" t="s">
        <v>327</v>
      </c>
      <c r="J15" s="294" t="s">
        <v>343</v>
      </c>
    </row>
    <row r="16" spans="1:11" s="194" customFormat="1" x14ac:dyDescent="0.25">
      <c r="B16" s="179" t="s">
        <v>214</v>
      </c>
      <c r="C16" s="245">
        <v>725</v>
      </c>
      <c r="D16" s="245">
        <v>1564</v>
      </c>
      <c r="E16" s="245">
        <v>2289</v>
      </c>
      <c r="F16" s="246">
        <v>0.02</v>
      </c>
      <c r="G16" s="246">
        <v>0.05</v>
      </c>
      <c r="H16" s="246">
        <v>0.02</v>
      </c>
      <c r="I16" s="284">
        <v>0.09</v>
      </c>
      <c r="J16" s="247">
        <v>2083</v>
      </c>
    </row>
    <row r="17" spans="1:13" s="194" customFormat="1" x14ac:dyDescent="0.25">
      <c r="B17" s="142" t="s">
        <v>335</v>
      </c>
      <c r="C17" s="245">
        <v>1564</v>
      </c>
      <c r="D17" s="197"/>
      <c r="E17" s="197">
        <v>1564</v>
      </c>
      <c r="F17" s="197">
        <v>0</v>
      </c>
      <c r="G17" s="246">
        <v>0.1</v>
      </c>
      <c r="H17" s="246">
        <v>0.05</v>
      </c>
      <c r="I17" s="284">
        <v>0.15</v>
      </c>
      <c r="J17" s="250">
        <v>1329</v>
      </c>
    </row>
    <row r="18" spans="1:13" s="194" customFormat="1" ht="15.75" thickBot="1" x14ac:dyDescent="0.3">
      <c r="B18" s="84" t="s">
        <v>226</v>
      </c>
      <c r="C18" s="296">
        <v>725</v>
      </c>
      <c r="D18" s="248"/>
      <c r="E18" s="296">
        <v>725</v>
      </c>
      <c r="F18" s="248">
        <v>0</v>
      </c>
      <c r="G18" s="295">
        <v>0.1</v>
      </c>
      <c r="H18" s="295">
        <v>0.05</v>
      </c>
      <c r="I18" s="295">
        <v>0.15</v>
      </c>
      <c r="J18" s="283">
        <v>616</v>
      </c>
    </row>
    <row r="19" spans="1:13" x14ac:dyDescent="0.25">
      <c r="M19" s="194"/>
    </row>
    <row r="20" spans="1:13" ht="15.75" thickBot="1" x14ac:dyDescent="0.3"/>
    <row r="21" spans="1:13" ht="28.5" customHeight="1" x14ac:dyDescent="0.25">
      <c r="B21" s="417" t="s">
        <v>221</v>
      </c>
      <c r="C21" s="418"/>
      <c r="D21" s="418"/>
      <c r="E21" s="418"/>
      <c r="F21" s="418"/>
      <c r="G21" s="418"/>
      <c r="H21" s="418"/>
      <c r="I21" s="418"/>
      <c r="J21" s="194"/>
    </row>
    <row r="22" spans="1:13" s="145" customFormat="1" x14ac:dyDescent="0.25">
      <c r="A22" s="194"/>
      <c r="B22" s="142" t="s">
        <v>227</v>
      </c>
      <c r="C22" s="146" t="s">
        <v>135</v>
      </c>
      <c r="D22" s="146" t="s">
        <v>269</v>
      </c>
      <c r="E22" s="146" t="s">
        <v>134</v>
      </c>
      <c r="F22" s="146" t="s">
        <v>136</v>
      </c>
      <c r="G22" s="146" t="s">
        <v>137</v>
      </c>
      <c r="H22" s="146" t="s">
        <v>138</v>
      </c>
      <c r="I22" s="168" t="s">
        <v>128</v>
      </c>
    </row>
    <row r="23" spans="1:13" x14ac:dyDescent="0.25">
      <c r="B23" s="142"/>
      <c r="C23" s="146"/>
      <c r="D23" s="146"/>
      <c r="E23" s="146"/>
      <c r="F23" s="146"/>
      <c r="G23" s="146"/>
      <c r="H23" s="146"/>
      <c r="I23" s="168" t="s">
        <v>220</v>
      </c>
    </row>
    <row r="24" spans="1:13" x14ac:dyDescent="0.25">
      <c r="B24" s="184" t="s">
        <v>227</v>
      </c>
      <c r="C24" s="182" t="s">
        <v>361</v>
      </c>
      <c r="D24" s="182" t="s">
        <v>362</v>
      </c>
      <c r="E24" s="182" t="s">
        <v>363</v>
      </c>
      <c r="F24" s="182" t="s">
        <v>91</v>
      </c>
      <c r="G24" s="182" t="s">
        <v>364</v>
      </c>
      <c r="H24" s="182" t="s">
        <v>365</v>
      </c>
      <c r="I24" s="183" t="s">
        <v>128</v>
      </c>
    </row>
    <row r="25" spans="1:13" s="145" customFormat="1" x14ac:dyDescent="0.25">
      <c r="A25" s="194"/>
      <c r="B25" s="142" t="s">
        <v>76</v>
      </c>
      <c r="C25" s="146" t="s">
        <v>17</v>
      </c>
      <c r="D25" s="146">
        <v>2015</v>
      </c>
      <c r="E25" s="146">
        <v>30000</v>
      </c>
      <c r="F25" s="176" t="s">
        <v>34</v>
      </c>
      <c r="G25" s="146" t="s">
        <v>53</v>
      </c>
      <c r="H25" s="146" t="s">
        <v>53</v>
      </c>
      <c r="I25" s="168" t="s">
        <v>233</v>
      </c>
    </row>
    <row r="26" spans="1:13" x14ac:dyDescent="0.25">
      <c r="B26" s="142" t="s">
        <v>228</v>
      </c>
      <c r="C26" s="146" t="s">
        <v>18</v>
      </c>
      <c r="D26" s="146">
        <v>2002</v>
      </c>
      <c r="E26" s="146">
        <v>95520</v>
      </c>
      <c r="F26" s="176" t="s">
        <v>33</v>
      </c>
      <c r="G26" s="146" t="s">
        <v>53</v>
      </c>
      <c r="H26" s="146" t="s">
        <v>6</v>
      </c>
      <c r="I26" s="168" t="s">
        <v>234</v>
      </c>
    </row>
    <row r="27" spans="1:13" ht="15.75" thickBot="1" x14ac:dyDescent="0.3">
      <c r="B27" s="84"/>
      <c r="C27" s="90"/>
      <c r="D27" s="90"/>
      <c r="E27" s="90"/>
      <c r="F27" s="90"/>
      <c r="G27" s="90"/>
      <c r="H27" s="90"/>
      <c r="I27" s="167"/>
    </row>
    <row r="29" spans="1:13" ht="15.75" thickBot="1" x14ac:dyDescent="0.3"/>
    <row r="30" spans="1:13" ht="28.5" customHeight="1" thickBot="1" x14ac:dyDescent="0.3">
      <c r="B30" s="419" t="s">
        <v>368</v>
      </c>
      <c r="C30" s="420"/>
      <c r="D30" s="420"/>
      <c r="E30" s="420"/>
      <c r="F30" s="420"/>
      <c r="G30" s="420"/>
      <c r="H30" s="420"/>
      <c r="I30" s="420"/>
      <c r="J30" s="421"/>
    </row>
    <row r="31" spans="1:13" x14ac:dyDescent="0.25">
      <c r="B31" s="251" t="s">
        <v>297</v>
      </c>
      <c r="C31" s="280" t="s">
        <v>132</v>
      </c>
      <c r="D31" s="280" t="s">
        <v>338</v>
      </c>
      <c r="E31" s="280" t="s">
        <v>303</v>
      </c>
      <c r="F31" s="280" t="s">
        <v>307</v>
      </c>
      <c r="G31" s="280" t="s">
        <v>304</v>
      </c>
      <c r="H31" s="280" t="s">
        <v>313</v>
      </c>
      <c r="I31" s="280" t="s">
        <v>305</v>
      </c>
      <c r="J31" s="252" t="s">
        <v>306</v>
      </c>
    </row>
    <row r="32" spans="1:13" s="194" customFormat="1" ht="15.75" x14ac:dyDescent="0.25">
      <c r="B32" s="78" t="s">
        <v>216</v>
      </c>
      <c r="C32" s="280"/>
      <c r="D32" s="288"/>
      <c r="E32" s="280"/>
      <c r="F32" s="280"/>
      <c r="G32" s="197"/>
      <c r="H32" s="197"/>
      <c r="I32" s="153"/>
      <c r="J32" s="198"/>
    </row>
    <row r="33" spans="1:10" x14ac:dyDescent="0.25">
      <c r="B33" s="292" t="s">
        <v>298</v>
      </c>
      <c r="C33" s="293" t="s">
        <v>294</v>
      </c>
      <c r="D33" s="294" t="s">
        <v>339</v>
      </c>
      <c r="E33" s="292" t="s">
        <v>198</v>
      </c>
      <c r="F33" s="293" t="s">
        <v>355</v>
      </c>
      <c r="G33" s="294" t="s">
        <v>356</v>
      </c>
      <c r="H33" s="292" t="s">
        <v>366</v>
      </c>
      <c r="I33" s="293" t="s">
        <v>95</v>
      </c>
      <c r="J33" s="294" t="s">
        <v>299</v>
      </c>
    </row>
    <row r="34" spans="1:10" x14ac:dyDescent="0.25">
      <c r="B34" s="78" t="s">
        <v>300</v>
      </c>
      <c r="C34" s="244">
        <v>43104</v>
      </c>
      <c r="D34" s="194">
        <v>1.3109999999999999</v>
      </c>
      <c r="E34" s="245">
        <v>906</v>
      </c>
      <c r="F34" s="246">
        <v>0.15</v>
      </c>
      <c r="G34" s="246">
        <v>0.05</v>
      </c>
      <c r="H34" s="246">
        <v>0</v>
      </c>
      <c r="I34" s="246">
        <v>0.2</v>
      </c>
      <c r="J34" s="247">
        <v>725</v>
      </c>
    </row>
    <row r="35" spans="1:10" ht="18" customHeight="1" thickBot="1" x14ac:dyDescent="0.3">
      <c r="B35" s="79" t="s">
        <v>228</v>
      </c>
      <c r="C35" s="175">
        <v>43104</v>
      </c>
      <c r="D35" s="289">
        <v>2.4098000000000002</v>
      </c>
      <c r="E35" s="281">
        <v>1777</v>
      </c>
      <c r="F35" s="282">
        <v>0.1</v>
      </c>
      <c r="G35" s="282">
        <v>0.05</v>
      </c>
      <c r="H35" s="282">
        <v>0.03</v>
      </c>
      <c r="I35" s="281">
        <v>0.12</v>
      </c>
      <c r="J35" s="283">
        <v>1564</v>
      </c>
    </row>
    <row r="36" spans="1:10" x14ac:dyDescent="0.25">
      <c r="I36" s="303"/>
    </row>
    <row r="37" spans="1:10" ht="15.75" thickBot="1" x14ac:dyDescent="0.3"/>
    <row r="38" spans="1:10" ht="28.5" customHeight="1" x14ac:dyDescent="0.25">
      <c r="B38" s="417" t="s">
        <v>222</v>
      </c>
      <c r="C38" s="418"/>
      <c r="D38" s="418"/>
      <c r="E38" s="418"/>
      <c r="F38" s="194"/>
      <c r="G38" s="145"/>
    </row>
    <row r="39" spans="1:10" s="145" customFormat="1" x14ac:dyDescent="0.25">
      <c r="A39" s="194"/>
      <c r="B39" s="142" t="s">
        <v>230</v>
      </c>
      <c r="C39" s="197" t="s">
        <v>129</v>
      </c>
      <c r="D39" s="197" t="s">
        <v>184</v>
      </c>
      <c r="E39" s="231" t="s">
        <v>139</v>
      </c>
    </row>
    <row r="40" spans="1:10" x14ac:dyDescent="0.25">
      <c r="B40" s="184" t="s">
        <v>230</v>
      </c>
      <c r="C40" s="232" t="s">
        <v>129</v>
      </c>
      <c r="D40" s="232" t="s">
        <v>184</v>
      </c>
      <c r="E40" s="233" t="s">
        <v>139</v>
      </c>
      <c r="F40" s="146"/>
    </row>
    <row r="41" spans="1:10" s="145" customFormat="1" x14ac:dyDescent="0.25">
      <c r="A41" s="194"/>
      <c r="B41" s="142" t="s">
        <v>223</v>
      </c>
      <c r="C41" s="197" t="s">
        <v>80</v>
      </c>
      <c r="D41" s="197" t="s">
        <v>161</v>
      </c>
      <c r="E41" s="198" t="s">
        <v>87</v>
      </c>
      <c r="F41" s="146"/>
    </row>
    <row r="42" spans="1:10" s="145" customFormat="1" x14ac:dyDescent="0.25">
      <c r="A42" s="194"/>
      <c r="B42" s="142" t="s">
        <v>224</v>
      </c>
      <c r="C42" s="197" t="s">
        <v>81</v>
      </c>
      <c r="D42" s="234">
        <v>50000</v>
      </c>
      <c r="E42" s="235" t="s">
        <v>87</v>
      </c>
      <c r="F42" s="146"/>
    </row>
    <row r="43" spans="1:10" s="145" customFormat="1" x14ac:dyDescent="0.25">
      <c r="A43" s="194"/>
      <c r="B43" s="179" t="s">
        <v>225</v>
      </c>
      <c r="C43" s="236" t="s">
        <v>92</v>
      </c>
      <c r="D43" s="234">
        <v>5000</v>
      </c>
      <c r="E43" s="198"/>
      <c r="F43" s="146"/>
      <c r="H43" s="146"/>
    </row>
    <row r="44" spans="1:10" s="145" customFormat="1" x14ac:dyDescent="0.25">
      <c r="A44" s="194"/>
      <c r="B44" s="142" t="s">
        <v>231</v>
      </c>
      <c r="C44" s="197" t="s">
        <v>82</v>
      </c>
      <c r="D44" s="197"/>
      <c r="E44" s="198">
        <v>1000</v>
      </c>
      <c r="F44" s="146"/>
      <c r="H44" s="146"/>
    </row>
    <row r="45" spans="1:10" s="145" customFormat="1" x14ac:dyDescent="0.25">
      <c r="A45" s="194"/>
      <c r="B45" s="179" t="s">
        <v>232</v>
      </c>
      <c r="C45" s="236" t="s">
        <v>83</v>
      </c>
      <c r="D45" s="197"/>
      <c r="E45" s="231">
        <v>1000</v>
      </c>
      <c r="F45" s="146"/>
      <c r="H45" s="146"/>
    </row>
    <row r="46" spans="1:10" x14ac:dyDescent="0.25">
      <c r="B46" s="142" t="s">
        <v>235</v>
      </c>
      <c r="C46" s="197" t="s">
        <v>80</v>
      </c>
      <c r="D46" s="197" t="s">
        <v>179</v>
      </c>
      <c r="E46" s="198" t="s">
        <v>87</v>
      </c>
      <c r="F46" s="146"/>
      <c r="H46" s="146"/>
    </row>
    <row r="47" spans="1:10" x14ac:dyDescent="0.25">
      <c r="B47" s="142" t="s">
        <v>236</v>
      </c>
      <c r="C47" s="197" t="s">
        <v>81</v>
      </c>
      <c r="D47" s="234">
        <v>1000000</v>
      </c>
      <c r="E47" s="235" t="s">
        <v>87</v>
      </c>
      <c r="F47" s="146"/>
      <c r="H47" s="146"/>
    </row>
    <row r="48" spans="1:10" x14ac:dyDescent="0.25">
      <c r="B48" s="179" t="s">
        <v>237</v>
      </c>
      <c r="C48" s="236" t="s">
        <v>92</v>
      </c>
      <c r="D48" s="234">
        <v>10000</v>
      </c>
      <c r="E48" s="198"/>
    </row>
    <row r="49" spans="2:8" x14ac:dyDescent="0.25">
      <c r="B49" s="142" t="s">
        <v>238</v>
      </c>
      <c r="C49" s="197" t="s">
        <v>82</v>
      </c>
      <c r="D49" s="197"/>
      <c r="E49" s="198">
        <v>5000</v>
      </c>
    </row>
    <row r="50" spans="2:8" ht="15.75" thickBot="1" x14ac:dyDescent="0.3">
      <c r="B50" s="117" t="s">
        <v>239</v>
      </c>
      <c r="C50" s="93" t="s">
        <v>83</v>
      </c>
      <c r="D50" s="90"/>
      <c r="E50" s="237">
        <v>5000</v>
      </c>
    </row>
    <row r="52" spans="2:8" ht="15.75" thickBot="1" x14ac:dyDescent="0.3"/>
    <row r="53" spans="2:8" ht="28.5" customHeight="1" thickBot="1" x14ac:dyDescent="0.3">
      <c r="B53" s="422" t="s">
        <v>336</v>
      </c>
      <c r="C53" s="423"/>
      <c r="D53" s="424"/>
      <c r="E53" s="194"/>
    </row>
    <row r="54" spans="2:8" x14ac:dyDescent="0.25">
      <c r="B54" s="290" t="s">
        <v>308</v>
      </c>
      <c r="C54" s="288" t="s">
        <v>310</v>
      </c>
      <c r="D54" s="291" t="s">
        <v>353</v>
      </c>
      <c r="E54" s="194"/>
    </row>
    <row r="55" spans="2:8" s="194" customFormat="1" x14ac:dyDescent="0.25">
      <c r="B55" s="290" t="s">
        <v>337</v>
      </c>
      <c r="C55" s="288"/>
      <c r="D55" s="291"/>
    </row>
    <row r="56" spans="2:8" x14ac:dyDescent="0.25">
      <c r="B56" s="292" t="s">
        <v>309</v>
      </c>
      <c r="C56" s="293" t="s">
        <v>311</v>
      </c>
      <c r="D56" s="294" t="s">
        <v>354</v>
      </c>
      <c r="E56" s="194"/>
      <c r="F56" s="347"/>
      <c r="G56" s="347"/>
    </row>
    <row r="57" spans="2:8" x14ac:dyDescent="0.25">
      <c r="B57" s="142" t="s">
        <v>223</v>
      </c>
      <c r="C57" s="197">
        <v>1.3109999999999999</v>
      </c>
      <c r="D57" s="250">
        <v>228</v>
      </c>
      <c r="E57" s="194"/>
      <c r="F57" s="347"/>
      <c r="G57" s="347"/>
      <c r="H57">
        <f>ROUND(F57*C57*1.16,0)</f>
        <v>0</v>
      </c>
    </row>
    <row r="58" spans="2:8" x14ac:dyDescent="0.25">
      <c r="B58" s="142" t="s">
        <v>224</v>
      </c>
      <c r="C58" s="197">
        <v>1.3109999999999999</v>
      </c>
      <c r="D58" s="250">
        <v>198</v>
      </c>
      <c r="E58" s="194"/>
      <c r="F58" s="347"/>
      <c r="G58" s="347"/>
      <c r="H58" s="194">
        <f>ROUND(F58*C58*1.16,0)</f>
        <v>0</v>
      </c>
    </row>
    <row r="59" spans="2:8" x14ac:dyDescent="0.25">
      <c r="B59" s="179" t="s">
        <v>225</v>
      </c>
      <c r="C59" s="197">
        <v>1.3109999999999999</v>
      </c>
      <c r="D59" s="250">
        <v>66</v>
      </c>
      <c r="E59" s="194"/>
      <c r="F59" s="347"/>
      <c r="G59" s="347"/>
      <c r="H59" s="194">
        <f>ROUND(F59*C59*1.12,0)</f>
        <v>0</v>
      </c>
    </row>
    <row r="60" spans="2:8" x14ac:dyDescent="0.25">
      <c r="B60" s="142" t="s">
        <v>231</v>
      </c>
      <c r="C60" s="197">
        <v>1.3109999999999999</v>
      </c>
      <c r="D60" s="250">
        <v>75</v>
      </c>
      <c r="E60" s="194"/>
      <c r="F60" s="347"/>
      <c r="G60" s="347"/>
      <c r="H60" s="194">
        <f>ROUND(F60*C60*1.15,0)</f>
        <v>0</v>
      </c>
    </row>
    <row r="61" spans="2:8" x14ac:dyDescent="0.25">
      <c r="B61" s="179" t="s">
        <v>232</v>
      </c>
      <c r="C61" s="197">
        <v>1.3109999999999999</v>
      </c>
      <c r="D61" s="250">
        <v>339</v>
      </c>
      <c r="E61" s="194"/>
      <c r="F61" s="347"/>
      <c r="G61" s="347"/>
      <c r="H61" s="194">
        <f>ROUND(F61*C61*1.15,0)</f>
        <v>0</v>
      </c>
    </row>
    <row r="62" spans="2:8" x14ac:dyDescent="0.25">
      <c r="B62" s="142" t="s">
        <v>235</v>
      </c>
      <c r="C62" s="197">
        <v>2.4098000000000002</v>
      </c>
      <c r="D62" s="250">
        <v>484</v>
      </c>
      <c r="E62" s="194"/>
      <c r="F62" s="347"/>
      <c r="G62" s="347"/>
      <c r="H62" s="194">
        <f>ROUND(F62*C62*1.34,0)</f>
        <v>0</v>
      </c>
    </row>
    <row r="63" spans="2:8" x14ac:dyDescent="0.25">
      <c r="B63" s="142" t="s">
        <v>236</v>
      </c>
      <c r="C63" s="197">
        <v>2.4098000000000002</v>
      </c>
      <c r="D63" s="250">
        <v>395</v>
      </c>
      <c r="E63" s="194"/>
      <c r="F63" s="347"/>
      <c r="G63" s="347"/>
      <c r="H63" s="194">
        <f>ROUND(F63*C63*1.26,0)</f>
        <v>0</v>
      </c>
    </row>
    <row r="64" spans="2:8" x14ac:dyDescent="0.25">
      <c r="B64" s="179" t="s">
        <v>237</v>
      </c>
      <c r="C64" s="197">
        <v>2.4098000000000002</v>
      </c>
      <c r="D64" s="250">
        <v>123</v>
      </c>
      <c r="E64" s="194"/>
      <c r="F64" s="347"/>
      <c r="G64" s="347"/>
      <c r="H64" s="194">
        <f>ROUND(F64*C64*1.13,0)</f>
        <v>0</v>
      </c>
    </row>
    <row r="65" spans="2:8" x14ac:dyDescent="0.25">
      <c r="B65" s="142" t="s">
        <v>238</v>
      </c>
      <c r="C65" s="197">
        <v>2.4098000000000002</v>
      </c>
      <c r="D65" s="250">
        <v>141</v>
      </c>
      <c r="E65" s="194"/>
      <c r="F65" s="347"/>
      <c r="G65" s="347"/>
      <c r="H65" s="194">
        <f>ROUND(F65*C65*1.17,0)</f>
        <v>0</v>
      </c>
    </row>
    <row r="66" spans="2:8" ht="15.75" thickBot="1" x14ac:dyDescent="0.3">
      <c r="B66" s="117" t="s">
        <v>239</v>
      </c>
      <c r="C66" s="248">
        <v>2.4098000000000002</v>
      </c>
      <c r="D66" s="249">
        <v>634</v>
      </c>
      <c r="E66" s="194"/>
      <c r="F66" s="347"/>
      <c r="G66" s="347"/>
      <c r="H66" s="194">
        <f>ROUND(F66*C66*1.17,0)</f>
        <v>0</v>
      </c>
    </row>
  </sheetData>
  <mergeCells count="17">
    <mergeCell ref="F66:G66"/>
    <mergeCell ref="B53:D53"/>
    <mergeCell ref="F61:G61"/>
    <mergeCell ref="F62:G62"/>
    <mergeCell ref="F63:G63"/>
    <mergeCell ref="F64:G64"/>
    <mergeCell ref="F65:G65"/>
    <mergeCell ref="F56:G56"/>
    <mergeCell ref="F57:G57"/>
    <mergeCell ref="F58:G58"/>
    <mergeCell ref="F59:G59"/>
    <mergeCell ref="F60:G60"/>
    <mergeCell ref="B38:E38"/>
    <mergeCell ref="B30:J30"/>
    <mergeCell ref="B12:J12"/>
    <mergeCell ref="B3:G3"/>
    <mergeCell ref="B21:I21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req</vt:lpstr>
      <vt:lpstr>Doc History</vt:lpstr>
      <vt:lpstr>Vocabulary</vt:lpstr>
      <vt:lpstr>AUTO Rating Steps</vt:lpstr>
      <vt:lpstr>Coverage Handling</vt:lpstr>
      <vt:lpstr>Base Rate</vt:lpstr>
      <vt:lpstr>BI_</vt:lpstr>
      <vt:lpstr>PD</vt:lpstr>
      <vt:lpstr>MD</vt:lpstr>
      <vt:lpstr>Comp&amp;Coll </vt:lpstr>
      <vt:lpstr>Vehicle Type Factor</vt:lpstr>
      <vt:lpstr>Model Year</vt:lpstr>
      <vt:lpstr>Mileage</vt:lpstr>
      <vt:lpstr>Veh Discounts</vt:lpstr>
      <vt:lpstr>PolicyLevelDiscounts</vt:lpstr>
      <vt:lpstr>Data&amp;Testing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Anatoliy Shvarts</dc:creator>
  <cp:lastModifiedBy>Elena Lisova</cp:lastModifiedBy>
  <cp:lastPrinted>2017-12-26T09:03:08Z</cp:lastPrinted>
  <dcterms:created xsi:type="dcterms:W3CDTF">2012-09-25T22:39:51Z</dcterms:created>
  <dcterms:modified xsi:type="dcterms:W3CDTF">2018-10-07T20:00:26Z</dcterms:modified>
</cp:coreProperties>
</file>