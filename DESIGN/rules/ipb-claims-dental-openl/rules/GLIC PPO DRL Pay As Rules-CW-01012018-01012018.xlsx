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40" yWindow="225" windowWidth="14805" windowHeight="7890" tabRatio="849"/>
  </bookViews>
  <sheets>
    <sheet name="Pay As" sheetId="5" r:id="rId1"/>
    <sheet name="env" sheetId="2" r:id="rId2"/>
  </sheets>
  <calcPr calcId="145621"/>
</workbook>
</file>

<file path=xl/calcChain.xml><?xml version="1.0" encoding="utf-8"?>
<calcChain xmlns="http://schemas.openxmlformats.org/spreadsheetml/2006/main">
  <c r="E8" i="2" l="1"/>
  <c r="E7" i="2"/>
</calcChain>
</file>

<file path=xl/comments1.xml><?xml version="1.0" encoding="utf-8"?>
<comments xmlns="http://schemas.openxmlformats.org/spreadsheetml/2006/main">
  <authors>
    <author>Author</author>
  </authors>
  <commentList>
    <comment ref="G13" authorId="0">
      <text>
        <r>
          <rPr>
            <b/>
            <sz val="9"/>
            <color indexed="81"/>
            <rFont val="Tahoma"/>
            <family val="2"/>
            <charset val="204"/>
          </rPr>
          <t>Author:</t>
        </r>
        <r>
          <rPr>
            <sz val="9"/>
            <color indexed="81"/>
            <rFont val="Tahoma"/>
            <family val="2"/>
            <charset val="204"/>
          </rPr>
          <t xml:space="preserve">
If Pay As Rule is triggered for this Procedure, this means that this Procedure is Allowed. Specified Reason Code is applicable for this Procedure when it is allowed.</t>
        </r>
      </text>
    </comment>
  </commentList>
</comments>
</file>

<file path=xl/sharedStrings.xml><?xml version="1.0" encoding="utf-8"?>
<sst xmlns="http://schemas.openxmlformats.org/spreadsheetml/2006/main" count="214" uniqueCount="102">
  <si>
    <t>C1</t>
  </si>
  <si>
    <t>C2</t>
  </si>
  <si>
    <t>RET1</t>
  </si>
  <si>
    <t>currentProcedure.procedureCode</t>
  </si>
  <si>
    <t>ProcedureCode[]</t>
  </si>
  <si>
    <t>Flag flag</t>
  </si>
  <si>
    <t>Current Procedure</t>
  </si>
  <si>
    <t>Status</t>
  </si>
  <si>
    <t>Reason Code</t>
  </si>
  <si>
    <t>Properties moduleProperties</t>
  </si>
  <si>
    <t>scope</t>
  </si>
  <si>
    <t>Module</t>
  </si>
  <si>
    <t>autoType</t>
  </si>
  <si>
    <t>failOnMiss</t>
  </si>
  <si>
    <t>Environment</t>
  </si>
  <si>
    <t>dependency</t>
  </si>
  <si>
    <t>D2330</t>
  </si>
  <si>
    <t>D2331, D2332</t>
  </si>
  <si>
    <t>D2335</t>
  </si>
  <si>
    <t>D4283</t>
  </si>
  <si>
    <t>D4285</t>
  </si>
  <si>
    <t>D4346</t>
  </si>
  <si>
    <t>D7881</t>
  </si>
  <si>
    <t>Pay As</t>
  </si>
  <si>
    <t>N</t>
  </si>
  <si>
    <t>D10</t>
  </si>
  <si>
    <t>D12</t>
  </si>
  <si>
    <t>Percentage</t>
  </si>
  <si>
    <t>D4273</t>
  </si>
  <si>
    <t>D4275</t>
  </si>
  <si>
    <t>D4277</t>
  </si>
  <si>
    <t>D1110</t>
  </si>
  <si>
    <t>D7880</t>
  </si>
  <si>
    <t>String reasonCode</t>
  </si>
  <si>
    <t>Double percentage</t>
  </si>
  <si>
    <t>Pay as Fee Amount of Procedure</t>
  </si>
  <si>
    <t>ProcedureCode code</t>
  </si>
  <si>
    <t>D5211</t>
  </si>
  <si>
    <t>D5221</t>
  </si>
  <si>
    <t>D5212</t>
  </si>
  <si>
    <t>D5222</t>
  </si>
  <si>
    <t>D5213</t>
  </si>
  <si>
    <t>D5223</t>
  </si>
  <si>
    <t>D5214</t>
  </si>
  <si>
    <t>D5224</t>
  </si>
  <si>
    <t>Was "I" Surface involved?</t>
  </si>
  <si>
    <t>Rule checks the same Claim</t>
  </si>
  <si>
    <t>contains ( currentProcedure.surfaces, "I" )</t>
  </si>
  <si>
    <t>ToothArea[] teeth</t>
  </si>
  <si>
    <t>M01</t>
  </si>
  <si>
    <t>D6058, D6059, D6061</t>
  </si>
  <si>
    <t>D6062</t>
  </si>
  <si>
    <t>D6060</t>
  </si>
  <si>
    <t>D6063</t>
  </si>
  <si>
    <t>D6065, D6066</t>
  </si>
  <si>
    <t>D6067</t>
  </si>
  <si>
    <t>D6068, D6069</t>
  </si>
  <si>
    <t>D6072</t>
  </si>
  <si>
    <t>D6070</t>
  </si>
  <si>
    <t>D6073</t>
  </si>
  <si>
    <t>D6071</t>
  </si>
  <si>
    <t>D6074</t>
  </si>
  <si>
    <t>D6075, D6076</t>
  </si>
  <si>
    <t>D6077</t>
  </si>
  <si>
    <t>D6205</t>
  </si>
  <si>
    <t>1, 2, 3, 14, 15, 16, 17, 18, 19, 30, 31, 32</t>
  </si>
  <si>
    <t>D6210</t>
  </si>
  <si>
    <t>D6211</t>
  </si>
  <si>
    <t>D6212</t>
  </si>
  <si>
    <t>D6214</t>
  </si>
  <si>
    <t>D6240</t>
  </si>
  <si>
    <t>D6241</t>
  </si>
  <si>
    <t>D6242</t>
  </si>
  <si>
    <t>D6245</t>
  </si>
  <si>
    <t>D6720</t>
  </si>
  <si>
    <t>D6790</t>
  </si>
  <si>
    <t>D6721</t>
  </si>
  <si>
    <t>D6791</t>
  </si>
  <si>
    <t>D6722</t>
  </si>
  <si>
    <t>D6792</t>
  </si>
  <si>
    <t>D6740</t>
  </si>
  <si>
    <t>D6750</t>
  </si>
  <si>
    <t>D6751</t>
  </si>
  <si>
    <t>D6752</t>
  </si>
  <si>
    <t>D9223</t>
  </si>
  <si>
    <t>D9220</t>
  </si>
  <si>
    <t>Tooth #</t>
  </si>
  <si>
    <t>toothArea</t>
  </si>
  <si>
    <t>C3</t>
  </si>
  <si>
    <t>Fee Schedule (value plan)</t>
  </si>
  <si>
    <t>dentist.feeScheduleType</t>
  </si>
  <si>
    <t>Fee Schedule Type</t>
  </si>
  <si>
    <t>2, 3, 14, 15, 18, 19, 30, 31, A, B, I, J, K, L, S, T</t>
  </si>
  <si>
    <t>Other (e.g. UCR)</t>
  </si>
  <si>
    <t>C4</t>
  </si>
  <si>
    <t xml:space="preserve">Fee Schedule (value plan),
Other (e.g. UCR)
</t>
  </si>
  <si>
    <t>FeeScheduleType[]</t>
  </si>
  <si>
    <r>
      <t xml:space="preserve">Rules Status </t>
    </r>
    <r>
      <rPr>
        <b/>
        <sz val="11"/>
        <rFont val="Franklin Gothic Book"/>
        <family val="2"/>
        <charset val="204"/>
      </rPr>
      <t>PayAs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Procedure currentProcedure )</t>
    </r>
  </si>
  <si>
    <t>new Status ( null, null, null, flag, null, reasonCode, null, null, percentage, code, null, null )</t>
  </si>
  <si>
    <t>PH7</t>
  </si>
  <si>
    <t>GLIC Rules Lookups-*</t>
  </si>
  <si>
    <t>Boolean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</si>
</sst>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0"/>
      <color theme="4" tint="-0.249977111117893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sz val="10"/>
      <color theme="0" tint="-0.499984740745262"/>
      <name val="Franklin Gothic Book"/>
      <family val="2"/>
      <charset val="204"/>
    </font>
    <font>
      <b/>
      <sz val="10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186"/>
    </font>
    <font>
      <sz val="10"/>
      <name val="Franklin Gothic Book"/>
      <family val="2"/>
    </font>
    <font>
      <b/>
      <sz val="11"/>
      <name val="Franklin Gothic Book"/>
      <family val="2"/>
      <charset val="204"/>
    </font>
    <font>
      <sz val="10"/>
      <color rgb="FF00B050"/>
      <name val="Franklin Gothic Book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43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13" fillId="0" borderId="2" applyNumberFormat="0" applyFill="0" applyAlignment="0" applyProtection="0"/>
    <xf numFmtId="0" fontId="14" fillId="0" borderId="0"/>
    <xf numFmtId="0" fontId="15" fillId="0" borderId="0" applyNumberFormat="0" applyFill="0" applyBorder="0" applyAlignment="0" applyProtection="0"/>
    <xf numFmtId="164" fontId="1" fillId="0" borderId="0"/>
    <xf numFmtId="0" fontId="12" fillId="0" borderId="0"/>
    <xf numFmtId="0" fontId="12" fillId="0" borderId="0"/>
    <xf numFmtId="0" fontId="16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4" fillId="0" borderId="0"/>
    <xf numFmtId="0" fontId="14" fillId="0" borderId="0"/>
    <xf numFmtId="0" fontId="16" fillId="0" borderId="0"/>
    <xf numFmtId="0" fontId="14" fillId="0" borderId="0"/>
    <xf numFmtId="0" fontId="16" fillId="0" borderId="0"/>
    <xf numFmtId="0" fontId="11" fillId="8" borderId="0" applyNumberFormat="0" applyBorder="0" applyAlignment="0" applyProtection="0"/>
  </cellStyleXfs>
  <cellXfs count="40">
    <xf numFmtId="0" fontId="0" fillId="0" borderId="0" xfId="0"/>
    <xf numFmtId="0" fontId="2" fillId="0" borderId="0" xfId="0" applyFont="1"/>
    <xf numFmtId="0" fontId="3" fillId="0" borderId="0" xfId="0" applyFont="1"/>
    <xf numFmtId="0" fontId="7" fillId="0" borderId="1" xfId="0" applyFont="1" applyFill="1" applyBorder="1" applyAlignment="1">
      <alignment horizontal="left" vertical="top" wrapText="1"/>
    </xf>
    <xf numFmtId="0" fontId="7" fillId="4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top" wrapText="1"/>
    </xf>
    <xf numFmtId="0" fontId="8" fillId="5" borderId="0" xfId="0" applyFont="1" applyFill="1"/>
    <xf numFmtId="0" fontId="0" fillId="5" borderId="0" xfId="0" applyFill="1"/>
    <xf numFmtId="0" fontId="10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10" fillId="7" borderId="1" xfId="0" applyFont="1" applyFill="1" applyBorder="1"/>
    <xf numFmtId="0" fontId="10" fillId="0" borderId="1" xfId="0" applyFont="1" applyBorder="1" applyAlignment="1">
      <alignment horizontal="left" vertical="center"/>
    </xf>
    <xf numFmtId="0" fontId="0" fillId="0" borderId="1" xfId="0" applyBorder="1"/>
    <xf numFmtId="0" fontId="19" fillId="0" borderId="1" xfId="0" applyFont="1" applyFill="1" applyBorder="1" applyAlignment="1">
      <alignment horizontal="left" vertical="top" wrapText="1"/>
    </xf>
    <xf numFmtId="0" fontId="11" fillId="0" borderId="1" xfId="0" applyFont="1" applyBorder="1"/>
    <xf numFmtId="0" fontId="19" fillId="4" borderId="1" xfId="1" applyFont="1" applyFill="1" applyBorder="1" applyAlignment="1">
      <alignment horizontal="center" vertical="center"/>
    </xf>
    <xf numFmtId="0" fontId="11" fillId="4" borderId="1" xfId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1" fillId="4" borderId="1" xfId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top"/>
    </xf>
    <xf numFmtId="0" fontId="4" fillId="0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/>
    </xf>
  </cellXfs>
  <cellStyles count="36">
    <cellStyle name="20% - Accent1 2" xfId="2"/>
    <cellStyle name="20% - Accent1 2 2" xfId="35"/>
    <cellStyle name="20% - Accent1 3" xfId="3"/>
    <cellStyle name="20% - Accent1 5 2" xfId="4"/>
    <cellStyle name="Comma 2" xfId="5"/>
    <cellStyle name="Currency 2" xfId="6"/>
    <cellStyle name="Heading 2 2" xfId="7"/>
    <cellStyle name="Hyperlink 2" xfId="8"/>
    <cellStyle name="Hyperlink 3" xfId="9"/>
    <cellStyle name="Normal" xfId="0" builtinId="0"/>
    <cellStyle name="Normal 10 5" xfId="10"/>
    <cellStyle name="Normal 11 2" xfId="11"/>
    <cellStyle name="Normal 12 2 2 2 2" xfId="1"/>
    <cellStyle name="Normal 2" xfId="12"/>
    <cellStyle name="Normal 2 2" xfId="13"/>
    <cellStyle name="Normal 3" xfId="14"/>
    <cellStyle name="Normal 3 2" xfId="15"/>
    <cellStyle name="Normal 4" xfId="16"/>
    <cellStyle name="Normal 4 2" xfId="17"/>
    <cellStyle name="Normal 5" xfId="18"/>
    <cellStyle name="Normal 5 2" xfId="19"/>
    <cellStyle name="Normal 6" xfId="20"/>
    <cellStyle name="Normal 7" xfId="21"/>
    <cellStyle name="Normal 7 2" xfId="22"/>
    <cellStyle name="Normal 9 2" xfId="23"/>
    <cellStyle name="Гиперссылка 2" xfId="24"/>
    <cellStyle name="Обычный 2" xfId="25"/>
    <cellStyle name="Обычный 2 2" xfId="26"/>
    <cellStyle name="Обычный 2 2 2" xfId="27"/>
    <cellStyle name="Обычный 2 3" xfId="28"/>
    <cellStyle name="Обычный 3" xfId="29"/>
    <cellStyle name="Обычный 4" xfId="30"/>
    <cellStyle name="Обычный 5" xfId="31"/>
    <cellStyle name="Обычный 5 2" xfId="32"/>
    <cellStyle name="Обычный 5 3" xfId="33"/>
    <cellStyle name="Обычный 6" xfId="3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B1:I42"/>
  <sheetViews>
    <sheetView tabSelected="1" zoomScaleNormal="100" workbookViewId="0">
      <pane ySplit="7" topLeftCell="A8" activePane="bottomLeft" state="frozen"/>
      <selection pane="bottomLeft" activeCell="M9" sqref="M9"/>
    </sheetView>
  </sheetViews>
  <sheetFormatPr defaultRowHeight="15" outlineLevelRow="1" x14ac:dyDescent="0.25"/>
  <cols>
    <col min="2" max="2" width="22" customWidth="1"/>
    <col min="3" max="3" width="16.140625" customWidth="1"/>
    <col min="4" max="4" width="17.5703125" bestFit="1" customWidth="1"/>
    <col min="5" max="5" width="22.85546875" customWidth="1"/>
    <col min="6" max="6" width="14.42578125" customWidth="1"/>
    <col min="7" max="7" width="15.5703125" bestFit="1" customWidth="1"/>
    <col min="8" max="8" width="16" bestFit="1" customWidth="1"/>
    <col min="9" max="9" width="21.7109375" bestFit="1" customWidth="1"/>
  </cols>
  <sheetData>
    <row r="1" spans="2:9" x14ac:dyDescent="0.25">
      <c r="B1" s="1" t="s">
        <v>46</v>
      </c>
      <c r="C1" s="2"/>
      <c r="D1" s="2"/>
      <c r="E1" s="2"/>
      <c r="F1" s="2"/>
      <c r="G1" s="2"/>
      <c r="H1" s="2"/>
      <c r="I1" s="2"/>
    </row>
    <row r="3" spans="2:9" ht="15.75" x14ac:dyDescent="0.25">
      <c r="B3" s="34" t="s">
        <v>97</v>
      </c>
      <c r="C3" s="34"/>
      <c r="D3" s="34"/>
      <c r="E3" s="34"/>
      <c r="F3" s="34"/>
      <c r="G3" s="34"/>
      <c r="H3" s="34"/>
      <c r="I3" s="34"/>
    </row>
    <row r="4" spans="2:9" hidden="1" outlineLevel="1" x14ac:dyDescent="0.25">
      <c r="B4" s="26" t="s">
        <v>0</v>
      </c>
      <c r="C4" s="27" t="s">
        <v>1</v>
      </c>
      <c r="D4" s="28" t="s">
        <v>88</v>
      </c>
      <c r="E4" s="28" t="s">
        <v>94</v>
      </c>
      <c r="F4" s="35" t="s">
        <v>2</v>
      </c>
      <c r="G4" s="35"/>
      <c r="H4" s="35"/>
      <c r="I4" s="36"/>
    </row>
    <row r="5" spans="2:9" ht="40.5" hidden="1" outlineLevel="1" x14ac:dyDescent="0.25">
      <c r="B5" s="29" t="s">
        <v>3</v>
      </c>
      <c r="C5" s="25" t="s">
        <v>47</v>
      </c>
      <c r="D5" s="24" t="s">
        <v>87</v>
      </c>
      <c r="E5" s="24" t="s">
        <v>90</v>
      </c>
      <c r="F5" s="37" t="s">
        <v>98</v>
      </c>
      <c r="G5" s="37"/>
      <c r="H5" s="37"/>
      <c r="I5" s="38"/>
    </row>
    <row r="6" spans="2:9" hidden="1" outlineLevel="1" x14ac:dyDescent="0.25">
      <c r="B6" s="30" t="s">
        <v>4</v>
      </c>
      <c r="C6" s="32" t="s">
        <v>101</v>
      </c>
      <c r="D6" s="31" t="s">
        <v>48</v>
      </c>
      <c r="E6" s="32" t="s">
        <v>96</v>
      </c>
      <c r="F6" s="32" t="s">
        <v>5</v>
      </c>
      <c r="G6" s="32" t="s">
        <v>33</v>
      </c>
      <c r="H6" s="32" t="s">
        <v>34</v>
      </c>
      <c r="I6" s="33" t="s">
        <v>36</v>
      </c>
    </row>
    <row r="7" spans="2:9" ht="27" collapsed="1" x14ac:dyDescent="0.25">
      <c r="B7" s="20" t="s">
        <v>6</v>
      </c>
      <c r="C7" s="21" t="s">
        <v>45</v>
      </c>
      <c r="D7" s="22" t="s">
        <v>86</v>
      </c>
      <c r="E7" s="22" t="s">
        <v>91</v>
      </c>
      <c r="F7" s="23" t="s">
        <v>7</v>
      </c>
      <c r="G7" s="23" t="s">
        <v>8</v>
      </c>
      <c r="H7" s="23" t="s">
        <v>27</v>
      </c>
      <c r="I7" s="23" t="s">
        <v>35</v>
      </c>
    </row>
    <row r="8" spans="2:9" ht="40.5" x14ac:dyDescent="0.25">
      <c r="B8" s="3" t="s">
        <v>17</v>
      </c>
      <c r="C8" s="6" t="s">
        <v>24</v>
      </c>
      <c r="D8" s="6"/>
      <c r="E8" s="6" t="s">
        <v>95</v>
      </c>
      <c r="F8" s="4" t="s">
        <v>23</v>
      </c>
      <c r="G8" s="5" t="s">
        <v>25</v>
      </c>
      <c r="H8" s="5"/>
      <c r="I8" s="5" t="s">
        <v>16</v>
      </c>
    </row>
    <row r="9" spans="2:9" ht="40.5" x14ac:dyDescent="0.25">
      <c r="B9" s="3" t="s">
        <v>18</v>
      </c>
      <c r="C9" s="6" t="s">
        <v>24</v>
      </c>
      <c r="D9" s="6"/>
      <c r="E9" s="6" t="s">
        <v>95</v>
      </c>
      <c r="F9" s="4" t="s">
        <v>23</v>
      </c>
      <c r="G9" s="5" t="s">
        <v>26</v>
      </c>
      <c r="H9" s="5"/>
      <c r="I9" s="5" t="s">
        <v>16</v>
      </c>
    </row>
    <row r="10" spans="2:9" ht="40.5" x14ac:dyDescent="0.25">
      <c r="B10" s="3" t="s">
        <v>19</v>
      </c>
      <c r="C10" s="6"/>
      <c r="D10" s="6"/>
      <c r="E10" s="6" t="s">
        <v>95</v>
      </c>
      <c r="F10" s="4" t="s">
        <v>23</v>
      </c>
      <c r="G10" s="5"/>
      <c r="H10" s="5">
        <v>0.6</v>
      </c>
      <c r="I10" s="5" t="s">
        <v>28</v>
      </c>
    </row>
    <row r="11" spans="2:9" x14ac:dyDescent="0.25">
      <c r="B11" s="3" t="s">
        <v>20</v>
      </c>
      <c r="C11" s="6"/>
      <c r="D11" s="6"/>
      <c r="E11" s="6" t="s">
        <v>93</v>
      </c>
      <c r="F11" s="4" t="s">
        <v>23</v>
      </c>
      <c r="G11" s="5"/>
      <c r="H11" s="5">
        <v>0.6</v>
      </c>
      <c r="I11" s="5" t="s">
        <v>29</v>
      </c>
    </row>
    <row r="12" spans="2:9" ht="27" x14ac:dyDescent="0.25">
      <c r="B12" s="3" t="s">
        <v>20</v>
      </c>
      <c r="C12" s="6"/>
      <c r="D12" s="6"/>
      <c r="E12" s="6" t="s">
        <v>89</v>
      </c>
      <c r="F12" s="4" t="s">
        <v>23</v>
      </c>
      <c r="G12" s="5"/>
      <c r="H12" s="5">
        <v>0.72</v>
      </c>
      <c r="I12" s="5" t="s">
        <v>30</v>
      </c>
    </row>
    <row r="13" spans="2:9" ht="40.5" x14ac:dyDescent="0.25">
      <c r="B13" s="3" t="s">
        <v>21</v>
      </c>
      <c r="C13" s="6"/>
      <c r="D13" s="6"/>
      <c r="E13" s="6" t="s">
        <v>95</v>
      </c>
      <c r="F13" s="4" t="s">
        <v>23</v>
      </c>
      <c r="G13" s="19" t="s">
        <v>99</v>
      </c>
      <c r="H13" s="5">
        <v>1.1499999999999999</v>
      </c>
      <c r="I13" s="5" t="s">
        <v>31</v>
      </c>
    </row>
    <row r="14" spans="2:9" ht="40.5" x14ac:dyDescent="0.25">
      <c r="B14" s="3" t="s">
        <v>22</v>
      </c>
      <c r="C14" s="13"/>
      <c r="D14" s="13"/>
      <c r="E14" s="6" t="s">
        <v>95</v>
      </c>
      <c r="F14" s="4" t="s">
        <v>23</v>
      </c>
      <c r="G14" s="5"/>
      <c r="H14" s="5">
        <v>0.25</v>
      </c>
      <c r="I14" s="5" t="s">
        <v>32</v>
      </c>
    </row>
    <row r="15" spans="2:9" ht="40.5" x14ac:dyDescent="0.25">
      <c r="B15" s="3" t="s">
        <v>38</v>
      </c>
      <c r="C15" s="13"/>
      <c r="D15" s="13"/>
      <c r="E15" s="6" t="s">
        <v>95</v>
      </c>
      <c r="F15" s="4" t="s">
        <v>23</v>
      </c>
      <c r="G15" s="5"/>
      <c r="H15" s="5">
        <v>1.05</v>
      </c>
      <c r="I15" s="5" t="s">
        <v>37</v>
      </c>
    </row>
    <row r="16" spans="2:9" ht="40.5" x14ac:dyDescent="0.25">
      <c r="B16" s="3" t="s">
        <v>40</v>
      </c>
      <c r="C16" s="13"/>
      <c r="D16" s="13"/>
      <c r="E16" s="6" t="s">
        <v>95</v>
      </c>
      <c r="F16" s="4" t="s">
        <v>23</v>
      </c>
      <c r="G16" s="5"/>
      <c r="H16" s="5">
        <v>1.05</v>
      </c>
      <c r="I16" s="5" t="s">
        <v>39</v>
      </c>
    </row>
    <row r="17" spans="2:9" ht="40.5" x14ac:dyDescent="0.25">
      <c r="B17" s="3" t="s">
        <v>42</v>
      </c>
      <c r="C17" s="13"/>
      <c r="D17" s="13"/>
      <c r="E17" s="6" t="s">
        <v>95</v>
      </c>
      <c r="F17" s="4" t="s">
        <v>23</v>
      </c>
      <c r="G17" s="5"/>
      <c r="H17" s="5">
        <v>1.05</v>
      </c>
      <c r="I17" s="5" t="s">
        <v>41</v>
      </c>
    </row>
    <row r="18" spans="2:9" ht="40.5" x14ac:dyDescent="0.25">
      <c r="B18" s="3" t="s">
        <v>44</v>
      </c>
      <c r="C18" s="13"/>
      <c r="D18" s="13"/>
      <c r="E18" s="6" t="s">
        <v>95</v>
      </c>
      <c r="F18" s="4" t="s">
        <v>23</v>
      </c>
      <c r="G18" s="5"/>
      <c r="H18" s="5">
        <v>1.05</v>
      </c>
      <c r="I18" s="5" t="s">
        <v>43</v>
      </c>
    </row>
    <row r="19" spans="2:9" ht="40.5" x14ac:dyDescent="0.25">
      <c r="B19" s="14" t="s">
        <v>50</v>
      </c>
      <c r="C19" s="15"/>
      <c r="D19" s="14" t="s">
        <v>92</v>
      </c>
      <c r="E19" s="6" t="s">
        <v>95</v>
      </c>
      <c r="F19" s="16" t="s">
        <v>23</v>
      </c>
      <c r="G19" s="17"/>
      <c r="H19" s="17"/>
      <c r="I19" s="17" t="s">
        <v>51</v>
      </c>
    </row>
    <row r="20" spans="2:9" ht="40.5" x14ac:dyDescent="0.25">
      <c r="B20" s="14" t="s">
        <v>52</v>
      </c>
      <c r="C20" s="15"/>
      <c r="D20" s="14" t="s">
        <v>92</v>
      </c>
      <c r="E20" s="6" t="s">
        <v>95</v>
      </c>
      <c r="F20" s="16" t="s">
        <v>23</v>
      </c>
      <c r="G20" s="17"/>
      <c r="H20" s="17"/>
      <c r="I20" s="17" t="s">
        <v>53</v>
      </c>
    </row>
    <row r="21" spans="2:9" ht="40.5" x14ac:dyDescent="0.25">
      <c r="B21" s="14" t="s">
        <v>54</v>
      </c>
      <c r="C21" s="15"/>
      <c r="D21" s="14" t="s">
        <v>92</v>
      </c>
      <c r="E21" s="6" t="s">
        <v>95</v>
      </c>
      <c r="F21" s="16" t="s">
        <v>23</v>
      </c>
      <c r="G21" s="17"/>
      <c r="H21" s="17"/>
      <c r="I21" s="17" t="s">
        <v>55</v>
      </c>
    </row>
    <row r="22" spans="2:9" ht="40.5" x14ac:dyDescent="0.25">
      <c r="B22" s="14" t="s">
        <v>56</v>
      </c>
      <c r="C22" s="15"/>
      <c r="D22" s="14" t="s">
        <v>92</v>
      </c>
      <c r="E22" s="6" t="s">
        <v>95</v>
      </c>
      <c r="F22" s="16" t="s">
        <v>23</v>
      </c>
      <c r="G22" s="17"/>
      <c r="H22" s="17"/>
      <c r="I22" s="17" t="s">
        <v>57</v>
      </c>
    </row>
    <row r="23" spans="2:9" ht="40.5" x14ac:dyDescent="0.25">
      <c r="B23" s="14" t="s">
        <v>58</v>
      </c>
      <c r="C23" s="15"/>
      <c r="D23" s="14" t="s">
        <v>92</v>
      </c>
      <c r="E23" s="6" t="s">
        <v>95</v>
      </c>
      <c r="F23" s="16" t="s">
        <v>23</v>
      </c>
      <c r="G23" s="17"/>
      <c r="H23" s="17"/>
      <c r="I23" s="17" t="s">
        <v>59</v>
      </c>
    </row>
    <row r="24" spans="2:9" ht="40.5" x14ac:dyDescent="0.25">
      <c r="B24" s="14" t="s">
        <v>60</v>
      </c>
      <c r="C24" s="15"/>
      <c r="D24" s="14" t="s">
        <v>92</v>
      </c>
      <c r="E24" s="6" t="s">
        <v>95</v>
      </c>
      <c r="F24" s="16" t="s">
        <v>23</v>
      </c>
      <c r="G24" s="17"/>
      <c r="H24" s="17"/>
      <c r="I24" s="17" t="s">
        <v>61</v>
      </c>
    </row>
    <row r="25" spans="2:9" ht="40.5" x14ac:dyDescent="0.25">
      <c r="B25" s="14" t="s">
        <v>62</v>
      </c>
      <c r="C25" s="15"/>
      <c r="D25" s="14" t="s">
        <v>92</v>
      </c>
      <c r="E25" s="6" t="s">
        <v>95</v>
      </c>
      <c r="F25" s="16" t="s">
        <v>23</v>
      </c>
      <c r="G25" s="17"/>
      <c r="H25" s="17"/>
      <c r="I25" s="17" t="s">
        <v>63</v>
      </c>
    </row>
    <row r="26" spans="2:9" ht="40.5" x14ac:dyDescent="0.25">
      <c r="B26" s="14" t="s">
        <v>64</v>
      </c>
      <c r="C26" s="15"/>
      <c r="D26" s="14" t="s">
        <v>65</v>
      </c>
      <c r="E26" s="6" t="s">
        <v>95</v>
      </c>
      <c r="F26" s="16" t="s">
        <v>23</v>
      </c>
      <c r="G26" s="17" t="s">
        <v>49</v>
      </c>
      <c r="H26" s="17"/>
      <c r="I26" s="17" t="s">
        <v>64</v>
      </c>
    </row>
    <row r="27" spans="2:9" ht="40.5" x14ac:dyDescent="0.25">
      <c r="B27" s="14" t="s">
        <v>66</v>
      </c>
      <c r="C27" s="15"/>
      <c r="D27" s="14" t="s">
        <v>65</v>
      </c>
      <c r="E27" s="6" t="s">
        <v>95</v>
      </c>
      <c r="F27" s="16" t="s">
        <v>23</v>
      </c>
      <c r="G27" s="17" t="s">
        <v>49</v>
      </c>
      <c r="H27" s="17"/>
      <c r="I27" s="17" t="s">
        <v>66</v>
      </c>
    </row>
    <row r="28" spans="2:9" ht="40.5" x14ac:dyDescent="0.25">
      <c r="B28" s="14" t="s">
        <v>67</v>
      </c>
      <c r="C28" s="15"/>
      <c r="D28" s="14" t="s">
        <v>65</v>
      </c>
      <c r="E28" s="6" t="s">
        <v>95</v>
      </c>
      <c r="F28" s="16" t="s">
        <v>23</v>
      </c>
      <c r="G28" s="17" t="s">
        <v>49</v>
      </c>
      <c r="H28" s="17"/>
      <c r="I28" s="17" t="s">
        <v>67</v>
      </c>
    </row>
    <row r="29" spans="2:9" ht="40.5" x14ac:dyDescent="0.25">
      <c r="B29" s="14" t="s">
        <v>68</v>
      </c>
      <c r="C29" s="15"/>
      <c r="D29" s="14" t="s">
        <v>65</v>
      </c>
      <c r="E29" s="6" t="s">
        <v>95</v>
      </c>
      <c r="F29" s="16" t="s">
        <v>23</v>
      </c>
      <c r="G29" s="17" t="s">
        <v>49</v>
      </c>
      <c r="H29" s="17"/>
      <c r="I29" s="17" t="s">
        <v>68</v>
      </c>
    </row>
    <row r="30" spans="2:9" ht="40.5" x14ac:dyDescent="0.25">
      <c r="B30" s="14" t="s">
        <v>69</v>
      </c>
      <c r="C30" s="15"/>
      <c r="D30" s="14" t="s">
        <v>65</v>
      </c>
      <c r="E30" s="6" t="s">
        <v>95</v>
      </c>
      <c r="F30" s="16" t="s">
        <v>23</v>
      </c>
      <c r="G30" s="17" t="s">
        <v>49</v>
      </c>
      <c r="H30" s="17"/>
      <c r="I30" s="17" t="s">
        <v>69</v>
      </c>
    </row>
    <row r="31" spans="2:9" ht="40.5" x14ac:dyDescent="0.25">
      <c r="B31" s="14" t="s">
        <v>70</v>
      </c>
      <c r="C31" s="15"/>
      <c r="D31" s="14" t="s">
        <v>65</v>
      </c>
      <c r="E31" s="6" t="s">
        <v>95</v>
      </c>
      <c r="F31" s="16" t="s">
        <v>23</v>
      </c>
      <c r="G31" s="17" t="s">
        <v>49</v>
      </c>
      <c r="H31" s="17"/>
      <c r="I31" s="17" t="s">
        <v>70</v>
      </c>
    </row>
    <row r="32" spans="2:9" ht="40.5" x14ac:dyDescent="0.25">
      <c r="B32" s="14" t="s">
        <v>71</v>
      </c>
      <c r="C32" s="15"/>
      <c r="D32" s="14" t="s">
        <v>65</v>
      </c>
      <c r="E32" s="6" t="s">
        <v>95</v>
      </c>
      <c r="F32" s="16" t="s">
        <v>23</v>
      </c>
      <c r="G32" s="17" t="s">
        <v>49</v>
      </c>
      <c r="H32" s="17"/>
      <c r="I32" s="17" t="s">
        <v>71</v>
      </c>
    </row>
    <row r="33" spans="2:9" ht="40.5" x14ac:dyDescent="0.25">
      <c r="B33" s="14" t="s">
        <v>72</v>
      </c>
      <c r="C33" s="15"/>
      <c r="D33" s="14" t="s">
        <v>65</v>
      </c>
      <c r="E33" s="6" t="s">
        <v>95</v>
      </c>
      <c r="F33" s="16" t="s">
        <v>23</v>
      </c>
      <c r="G33" s="17" t="s">
        <v>49</v>
      </c>
      <c r="H33" s="17"/>
      <c r="I33" s="17" t="s">
        <v>72</v>
      </c>
    </row>
    <row r="34" spans="2:9" ht="40.5" x14ac:dyDescent="0.25">
      <c r="B34" s="14" t="s">
        <v>73</v>
      </c>
      <c r="C34" s="15"/>
      <c r="D34" s="14" t="s">
        <v>65</v>
      </c>
      <c r="E34" s="6" t="s">
        <v>95</v>
      </c>
      <c r="F34" s="16" t="s">
        <v>23</v>
      </c>
      <c r="G34" s="17" t="s">
        <v>49</v>
      </c>
      <c r="H34" s="17"/>
      <c r="I34" s="17" t="s">
        <v>73</v>
      </c>
    </row>
    <row r="35" spans="2:9" ht="40.5" x14ac:dyDescent="0.25">
      <c r="B35" s="14" t="s">
        <v>74</v>
      </c>
      <c r="C35" s="15"/>
      <c r="D35" s="14" t="s">
        <v>65</v>
      </c>
      <c r="E35" s="6" t="s">
        <v>95</v>
      </c>
      <c r="F35" s="16" t="s">
        <v>23</v>
      </c>
      <c r="G35" s="17"/>
      <c r="H35" s="17"/>
      <c r="I35" s="17" t="s">
        <v>75</v>
      </c>
    </row>
    <row r="36" spans="2:9" ht="40.5" x14ac:dyDescent="0.25">
      <c r="B36" s="14" t="s">
        <v>76</v>
      </c>
      <c r="C36" s="15"/>
      <c r="D36" s="14" t="s">
        <v>65</v>
      </c>
      <c r="E36" s="6" t="s">
        <v>95</v>
      </c>
      <c r="F36" s="16" t="s">
        <v>23</v>
      </c>
      <c r="G36" s="17"/>
      <c r="H36" s="17"/>
      <c r="I36" s="17" t="s">
        <v>77</v>
      </c>
    </row>
    <row r="37" spans="2:9" ht="40.5" x14ac:dyDescent="0.25">
      <c r="B37" s="14" t="s">
        <v>78</v>
      </c>
      <c r="C37" s="15"/>
      <c r="D37" s="14" t="s">
        <v>65</v>
      </c>
      <c r="E37" s="6" t="s">
        <v>95</v>
      </c>
      <c r="F37" s="16" t="s">
        <v>23</v>
      </c>
      <c r="G37" s="17"/>
      <c r="H37" s="17"/>
      <c r="I37" s="17" t="s">
        <v>79</v>
      </c>
    </row>
    <row r="38" spans="2:9" ht="40.5" x14ac:dyDescent="0.25">
      <c r="B38" s="14" t="s">
        <v>80</v>
      </c>
      <c r="C38" s="15"/>
      <c r="D38" s="14" t="s">
        <v>65</v>
      </c>
      <c r="E38" s="6" t="s">
        <v>95</v>
      </c>
      <c r="F38" s="16" t="s">
        <v>23</v>
      </c>
      <c r="G38" s="17"/>
      <c r="H38" s="17"/>
      <c r="I38" s="17" t="s">
        <v>75</v>
      </c>
    </row>
    <row r="39" spans="2:9" ht="40.5" x14ac:dyDescent="0.25">
      <c r="B39" s="14" t="s">
        <v>81</v>
      </c>
      <c r="C39" s="15"/>
      <c r="D39" s="14" t="s">
        <v>65</v>
      </c>
      <c r="E39" s="6" t="s">
        <v>95</v>
      </c>
      <c r="F39" s="16" t="s">
        <v>23</v>
      </c>
      <c r="G39" s="17"/>
      <c r="H39" s="17"/>
      <c r="I39" s="17" t="s">
        <v>75</v>
      </c>
    </row>
    <row r="40" spans="2:9" ht="40.5" x14ac:dyDescent="0.25">
      <c r="B40" s="14" t="s">
        <v>82</v>
      </c>
      <c r="C40" s="15"/>
      <c r="D40" s="14" t="s">
        <v>65</v>
      </c>
      <c r="E40" s="6" t="s">
        <v>95</v>
      </c>
      <c r="F40" s="16" t="s">
        <v>23</v>
      </c>
      <c r="G40" s="17"/>
      <c r="H40" s="17"/>
      <c r="I40" s="17" t="s">
        <v>77</v>
      </c>
    </row>
    <row r="41" spans="2:9" ht="40.5" x14ac:dyDescent="0.25">
      <c r="B41" s="14" t="s">
        <v>83</v>
      </c>
      <c r="C41" s="15"/>
      <c r="D41" s="14" t="s">
        <v>65</v>
      </c>
      <c r="E41" s="6" t="s">
        <v>95</v>
      </c>
      <c r="F41" s="16" t="s">
        <v>23</v>
      </c>
      <c r="G41" s="17"/>
      <c r="H41" s="17"/>
      <c r="I41" s="17" t="s">
        <v>79</v>
      </c>
    </row>
    <row r="42" spans="2:9" ht="40.5" x14ac:dyDescent="0.25">
      <c r="B42" s="14" t="s">
        <v>84</v>
      </c>
      <c r="C42" s="15"/>
      <c r="D42" s="14" t="s">
        <v>65</v>
      </c>
      <c r="E42" s="6" t="s">
        <v>95</v>
      </c>
      <c r="F42" s="16" t="s">
        <v>23</v>
      </c>
      <c r="G42" s="17"/>
      <c r="H42" s="17">
        <v>0.5</v>
      </c>
      <c r="I42" s="17" t="s">
        <v>85</v>
      </c>
    </row>
  </sheetData>
  <mergeCells count="3">
    <mergeCell ref="B3:I3"/>
    <mergeCell ref="F4:I4"/>
    <mergeCell ref="F5:I5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C3:F14"/>
  <sheetViews>
    <sheetView workbookViewId="0">
      <selection activeCell="E19" sqref="E19"/>
    </sheetView>
  </sheetViews>
  <sheetFormatPr defaultRowHeight="15" x14ac:dyDescent="0.25"/>
  <cols>
    <col min="4" max="4" width="11" bestFit="1" customWidth="1"/>
    <col min="5" max="5" width="18.42578125" bestFit="1" customWidth="1"/>
  </cols>
  <sheetData>
    <row r="3" spans="3:6" x14ac:dyDescent="0.25">
      <c r="C3" s="7"/>
      <c r="D3" s="8"/>
      <c r="E3" s="8"/>
      <c r="F3" s="8"/>
    </row>
    <row r="4" spans="3:6" x14ac:dyDescent="0.25">
      <c r="C4" s="7"/>
      <c r="D4" s="8"/>
      <c r="E4" s="8"/>
      <c r="F4" s="8"/>
    </row>
    <row r="5" spans="3:6" x14ac:dyDescent="0.25">
      <c r="C5" s="7"/>
      <c r="D5" s="39" t="s">
        <v>9</v>
      </c>
      <c r="E5" s="39"/>
      <c r="F5" s="8"/>
    </row>
    <row r="6" spans="3:6" x14ac:dyDescent="0.25">
      <c r="C6" s="7"/>
      <c r="D6" s="9" t="s">
        <v>10</v>
      </c>
      <c r="E6" s="10" t="s">
        <v>11</v>
      </c>
      <c r="F6" s="8"/>
    </row>
    <row r="7" spans="3:6" x14ac:dyDescent="0.25">
      <c r="C7" s="7"/>
      <c r="D7" s="11" t="s">
        <v>12</v>
      </c>
      <c r="E7" s="11" t="b">
        <f>TRUE()</f>
        <v>1</v>
      </c>
      <c r="F7" s="8"/>
    </row>
    <row r="8" spans="3:6" x14ac:dyDescent="0.25">
      <c r="C8" s="7"/>
      <c r="D8" s="11" t="s">
        <v>13</v>
      </c>
      <c r="E8" s="11" t="b">
        <f>FALSE()</f>
        <v>0</v>
      </c>
      <c r="F8" s="8"/>
    </row>
    <row r="9" spans="3:6" x14ac:dyDescent="0.25">
      <c r="C9" s="7"/>
      <c r="D9" s="8"/>
      <c r="E9" s="8"/>
      <c r="F9" s="8"/>
    </row>
    <row r="10" spans="3:6" x14ac:dyDescent="0.25">
      <c r="C10" s="7"/>
      <c r="D10" s="8"/>
      <c r="E10" s="8"/>
      <c r="F10" s="8"/>
    </row>
    <row r="11" spans="3:6" x14ac:dyDescent="0.25">
      <c r="C11" s="7"/>
      <c r="D11" s="39" t="s">
        <v>14</v>
      </c>
      <c r="E11" s="39"/>
      <c r="F11" s="8"/>
    </row>
    <row r="12" spans="3:6" x14ac:dyDescent="0.25">
      <c r="C12" s="8"/>
      <c r="D12" s="18" t="s">
        <v>15</v>
      </c>
      <c r="E12" s="12" t="s">
        <v>100</v>
      </c>
      <c r="F12" s="8"/>
    </row>
    <row r="13" spans="3:6" x14ac:dyDescent="0.25">
      <c r="C13" s="8"/>
      <c r="D13" s="8"/>
      <c r="E13" s="8"/>
      <c r="F13" s="8"/>
    </row>
    <row r="14" spans="3:6" x14ac:dyDescent="0.25">
      <c r="C14" s="8"/>
      <c r="D14" s="8"/>
      <c r="E14" s="8"/>
      <c r="F14" s="8"/>
    </row>
  </sheetData>
  <mergeCells count="2">
    <mergeCell ref="D5:E5"/>
    <mergeCell ref="D11:E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 As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2018-07-02T04:26:52Z</dcterms:modified>
</cp:coreProperties>
</file>