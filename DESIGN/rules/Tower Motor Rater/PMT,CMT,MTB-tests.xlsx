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2" windowHeight="11280" windowWidth="14520" xWindow="6000" yWindow="1080"/>
  </bookViews>
  <sheets>
    <sheet name="Test Table" r:id="rId1" sheetId="10"/>
    <sheet name="Variations Tests" r:id="rId2" sheetId="12"/>
    <sheet name="Tests" r:id="rId3" sheetId="4"/>
    <sheet name="Run tables" r:id="rId4" sheetId="8"/>
    <sheet name="Environment" r:id="rId5" sheetId="5"/>
    <sheet name="21 data set" r:id="rId6" sheetId="11"/>
    <sheet name="SIT test" r:id="rId7" sheetId="13"/>
    <sheet name="Hist" r:id="rId8" sheetId="9"/>
    <sheet name="SIT2 inputs" r:id="rId9" sheetId="14"/>
    <sheet name="SIT2 outputs" r:id="rId10" sheetId="15"/>
  </sheets>
  <externalReferences>
    <externalReference r:id="rId11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calcChain.xml><?xml version="1.0" encoding="utf-8"?>
<calcChain xmlns="http://schemas.openxmlformats.org/spreadsheetml/2006/main">
  <c i="11" l="1" r="W3"/>
  <c i="4" l="1" r="E9"/>
  <c i="4" r="E10" s="1"/>
  <c i="4" r="E11" s="1"/>
  <c i="4" r="E12" s="1"/>
  <c i="4" r="E13" s="1"/>
  <c i="4" r="E14" s="1"/>
  <c i="4" r="E15" s="1"/>
  <c i="4" r="E16" s="1"/>
  <c i="4" r="E17" s="1"/>
</calcChain>
</file>

<file path=xl/comments1.xml><?xml version="1.0" encoding="utf-8"?>
<comments xmlns="http://schemas.openxmlformats.org/spreadsheetml/2006/main">
  <authors>
    <author>OpenL</author>
  </authors>
  <commentList>
    <comment authorId="0" ref="D246">
      <text>
        <r>
          <rPr>
            <sz val="11"/>
            <color indexed="8"/>
            <rFont val="Calibri"/>
            <family val="2"/>
            <scheme val="minor"/>
          </rPr>
          <t>Expected: 0.75</t>
        </r>
      </text>
    </comment>
    <comment authorId="0" ref="D247">
      <text>
        <r>
          <rPr>
            <sz val="11"/>
            <color indexed="8"/>
            <rFont val="Calibri"/>
            <family val="2"/>
            <scheme val="minor"/>
          </rPr>
          <t>Expected: 0.775</t>
        </r>
      </text>
    </comment>
    <comment authorId="0" ref="D248">
      <text>
        <r>
          <rPr>
            <sz val="11"/>
            <color indexed="8"/>
            <rFont val="Calibri"/>
            <family val="2"/>
            <scheme val="minor"/>
          </rPr>
          <t>Expected: 0.865</t>
        </r>
      </text>
    </comment>
    <comment authorId="0" ref="D249">
      <text>
        <r>
          <rPr>
            <sz val="11"/>
            <color indexed="8"/>
            <rFont val="Calibri"/>
            <family val="2"/>
            <scheme val="minor"/>
          </rPr>
          <t>Expected: 1</t>
        </r>
      </text>
    </comment>
    <comment authorId="0" ref="D250">
      <text>
        <r>
          <rPr>
            <sz val="11"/>
            <color indexed="8"/>
            <rFont val="Calibri"/>
            <family val="2"/>
            <scheme val="minor"/>
          </rPr>
          <t>Expected: 1.5</t>
        </r>
      </text>
    </comment>
    <comment authorId="0" ref="D251">
      <text>
        <r>
          <rPr>
            <sz val="11"/>
            <color indexed="8"/>
            <rFont val="Calibri"/>
            <family val="2"/>
            <scheme val="minor"/>
          </rPr>
          <t>Expected: 1.50854271356783</t>
        </r>
      </text>
    </comment>
    <comment authorId="0" ref="D252">
      <text>
        <r>
          <rPr>
            <sz val="11"/>
            <color indexed="8"/>
            <rFont val="Calibri"/>
            <family val="2"/>
            <scheme val="minor"/>
          </rPr>
          <t>Expected: 1.51708542713567</t>
        </r>
      </text>
    </comment>
    <comment authorId="0" ref="D253">
      <text>
        <r>
          <rPr>
            <sz val="11"/>
            <color indexed="8"/>
            <rFont val="Calibri"/>
            <family val="2"/>
            <scheme val="minor"/>
          </rPr>
          <t>Expected: 1.52562814070351</t>
        </r>
      </text>
    </comment>
    <comment authorId="0" ref="D254">
      <text>
        <r>
          <rPr>
            <sz val="11"/>
            <color indexed="8"/>
            <rFont val="Calibri"/>
            <family val="2"/>
            <scheme val="minor"/>
          </rPr>
          <t>Expected: 1.53417085427135</t>
        </r>
      </text>
    </comment>
    <comment authorId="0" ref="D255">
      <text>
        <r>
          <rPr>
            <sz val="11"/>
            <color indexed="8"/>
            <rFont val="Calibri"/>
            <family val="2"/>
            <scheme val="minor"/>
          </rPr>
          <t>Expected: 1.54271356783919</t>
        </r>
      </text>
    </comment>
    <comment authorId="0" ref="D256">
      <text>
        <r>
          <rPr>
            <sz val="11"/>
            <color indexed="8"/>
            <rFont val="Calibri"/>
            <family val="2"/>
            <scheme val="minor"/>
          </rPr>
          <t>Expected: 1.55125628140703</t>
        </r>
      </text>
    </comment>
    <comment authorId="0" ref="D257">
      <text>
        <r>
          <rPr>
            <sz val="11"/>
            <color indexed="8"/>
            <rFont val="Calibri"/>
            <family val="2"/>
            <scheme val="minor"/>
          </rPr>
          <t>Expected: 1.63668341708542</t>
        </r>
      </text>
    </comment>
    <comment authorId="0" ref="D258">
      <text>
        <r>
          <rPr>
            <sz val="11"/>
            <color indexed="8"/>
            <rFont val="Calibri"/>
            <family val="2"/>
            <scheme val="minor"/>
          </rPr>
          <t>Expected: 1.8929648241206</t>
        </r>
      </text>
    </comment>
    <comment authorId="0" ref="D259">
      <text>
        <r>
          <rPr>
            <sz val="11"/>
            <color indexed="8"/>
            <rFont val="Calibri"/>
            <family val="2"/>
            <scheme val="minor"/>
          </rPr>
          <t>Expected: 2.32010050251256</t>
        </r>
      </text>
    </comment>
    <comment authorId="0" ref="D260">
      <text>
        <r>
          <rPr>
            <sz val="11"/>
            <color indexed="8"/>
            <rFont val="Calibri"/>
            <family val="2"/>
            <scheme val="minor"/>
          </rPr>
          <t>Expected: 4.0286432160804</t>
        </r>
      </text>
    </comment>
    <comment authorId="0" ref="D261">
      <text>
        <r>
          <rPr>
            <sz val="11"/>
            <color indexed="8"/>
            <rFont val="Calibri"/>
            <family val="2"/>
            <scheme val="minor"/>
          </rPr>
          <t>Expected: 5.73718592964824</t>
        </r>
      </text>
    </comment>
    <comment authorId="0" ref="D262">
      <text>
        <r>
          <rPr>
            <sz val="11"/>
            <color indexed="8"/>
            <rFont val="Calibri"/>
            <family val="2"/>
            <scheme val="minor"/>
          </rPr>
          <t>Expected: 10</t>
        </r>
      </text>
    </comment>
  </commentList>
</comments>
</file>

<file path=xl/sharedStrings.xml><?xml version="1.0" encoding="utf-8"?>
<sst xmlns="http://schemas.openxmlformats.org/spreadsheetml/2006/main" count="7267" uniqueCount="1420">
  <si>
    <t>policy1</t>
  </si>
  <si>
    <t>policy</t>
  </si>
  <si>
    <t>Policy ID</t>
  </si>
  <si>
    <t>properties</t>
  </si>
  <si>
    <t>Environment</t>
  </si>
  <si>
    <t>dependency</t>
  </si>
  <si>
    <t>precision</t>
  </si>
  <si>
    <t>driver</t>
  </si>
  <si>
    <t>coverageName</t>
  </si>
  <si>
    <t>percentOfUse</t>
  </si>
  <si>
    <t>policyEffectiveDate</t>
  </si>
  <si>
    <t>_res_</t>
  </si>
  <si>
    <t>&gt;driverData</t>
  </si>
  <si>
    <t>Driver</t>
  </si>
  <si>
    <t>Coverage Name</t>
  </si>
  <si>
    <t>percent of use</t>
  </si>
  <si>
    <t>Policy effective date</t>
  </si>
  <si>
    <t>Result</t>
  </si>
  <si>
    <t>Comprehensive</t>
  </si>
  <si>
    <t>Third Party Only</t>
  </si>
  <si>
    <t>driverId</t>
  </si>
  <si>
    <t>driverDateOfBirth</t>
  </si>
  <si>
    <t>gender</t>
  </si>
  <si>
    <t>licenseYears</t>
  </si>
  <si>
    <t>vehicleValue</t>
  </si>
  <si>
    <t>sumInsuredPercent</t>
  </si>
  <si>
    <t>Vehicle Value</t>
  </si>
  <si>
    <t>Sum Insured Percent</t>
  </si>
  <si>
    <t>Coveragename</t>
  </si>
  <si>
    <t>Fire and Theft</t>
  </si>
  <si>
    <r>
      <t xml:space="preserve">//Spreadsheet SpreadsheetResult </t>
    </r>
    <r>
      <rPr>
        <b/>
        <sz val="11"/>
        <rFont val="Franklin Gothic Book"/>
        <family val="2"/>
      </rPr>
      <t>Trst</t>
    </r>
    <r>
      <rPr>
        <sz val="10"/>
        <color theme="0" tint="-0.499984740745262"/>
        <rFont val="Franklin Gothic Book"/>
        <family val="2"/>
      </rPr>
      <t xml:space="preserve"> ( Double value )</t>
    </r>
  </si>
  <si>
    <t>Step</t>
  </si>
  <si>
    <t>Formula</t>
  </si>
  <si>
    <t>rint</t>
  </si>
  <si>
    <t>= rint (value)</t>
  </si>
  <si>
    <t>mod</t>
  </si>
  <si>
    <t>= mod (value,1)</t>
  </si>
  <si>
    <t>int</t>
  </si>
  <si>
    <t>= (int) value</t>
  </si>
  <si>
    <t>sumInsured</t>
  </si>
  <si>
    <t>excess</t>
  </si>
  <si>
    <t>Sum Insured</t>
  </si>
  <si>
    <t>Excess</t>
  </si>
  <si>
    <t>who</t>
  </si>
  <si>
    <t>description</t>
  </si>
  <si>
    <t>version</t>
  </si>
  <si>
    <t>tests added for AgeGenderFactor, SumInsureFactor, ExcessFactor</t>
  </si>
  <si>
    <t>RD0307</t>
  </si>
  <si>
    <t>RD0004</t>
  </si>
  <si>
    <t>GeorgaphicBlob</t>
  </si>
  <si>
    <t>vehicle.vehicleBlob.glassCostGroup</t>
  </si>
  <si>
    <t xml:space="preserve">vehicle.vehicleBlob.vehicleValue </t>
  </si>
  <si>
    <t>vehicle.vehicleBlob.carGroup</t>
  </si>
  <si>
    <t>HOLD02FR</t>
  </si>
  <si>
    <t>vehicle.vehicleBlob.vehicleIdentifier</t>
  </si>
  <si>
    <t xml:space="preserve">VehicleBlob </t>
  </si>
  <si>
    <t>vehicle.drivers[4].licenseYears</t>
  </si>
  <si>
    <t>vehicle.drivers[4].gender</t>
  </si>
  <si>
    <t>vehicle.drivers[4].driverDateOfBirth</t>
  </si>
  <si>
    <t>vehicle.drivers[4].driverId</t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</si>
  <si>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river5</t>
    </r>
  </si>
  <si>
    <t>vehicle.drivers[3].licenseYears</t>
  </si>
  <si>
    <t>vehicle.drivers[3].gender</t>
  </si>
  <si>
    <t>vehicle.drivers[3].driverDateOfBirth</t>
  </si>
  <si>
    <t>vehicle.drivers[3].driverId</t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</si>
  <si>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river4</t>
    </r>
  </si>
  <si>
    <t>vehicle.drivers[2].licenseYears</t>
  </si>
  <si>
    <t>vehicle.drivers[2].gender</t>
  </si>
  <si>
    <t>vehicle.drivers[2].driverDateOfBirth</t>
  </si>
  <si>
    <t>vehicle.drivers[2].driverId</t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</si>
  <si>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river3</t>
    </r>
  </si>
  <si>
    <t>vehicle.drivers[1].licenseYears</t>
  </si>
  <si>
    <t>vehicle.drivers[1].gender</t>
  </si>
  <si>
    <t>vehicle.drivers[1].driverDateOfBirth</t>
  </si>
  <si>
    <t>driver2</t>
  </si>
  <si>
    <t>vehicle.drivers[1].driverId</t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</si>
  <si>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river2</t>
    </r>
  </si>
  <si>
    <t>vehicle.drivers[0].licenseYears</t>
  </si>
  <si>
    <t>vehicle.drivers[0].gender</t>
  </si>
  <si>
    <t>vehicle.drivers[0].driverDateOfBirth</t>
  </si>
  <si>
    <t>driver1</t>
  </si>
  <si>
    <t>vehicle.drivers[0].driverId</t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</si>
  <si>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river1</t>
    </r>
  </si>
  <si>
    <t>vehicle.excess</t>
  </si>
  <si>
    <t>vehicle.distanceDriven</t>
  </si>
  <si>
    <t>vehicle.optionalCoverages[4].coverageName</t>
  </si>
  <si>
    <t>vehicle.optionalCoverages[3].coverageName</t>
  </si>
  <si>
    <t>vehicle.optionalCoverages[2].coverageName</t>
  </si>
  <si>
    <t>vehicle.optionalCoverages[1].limit</t>
  </si>
  <si>
    <t>vehicle.optionalCoverages[1].coverageName</t>
  </si>
  <si>
    <t>vehicle.optionalCoverages[0].coverageName</t>
  </si>
  <si>
    <t>vehicle.parkingType</t>
  </si>
  <si>
    <t>vehicle.sumInsuredPercent</t>
  </si>
  <si>
    <t>Vehicle</t>
  </si>
  <si>
    <t>prevAnnualisedCustomerPremium</t>
  </si>
  <si>
    <t>prevUndiscountedCustomerPremium</t>
  </si>
  <si>
    <t>New Business</t>
  </si>
  <si>
    <t>transactionType</t>
  </si>
  <si>
    <t>pressy1701</t>
  </si>
  <si>
    <t>campaignCode</t>
  </si>
  <si>
    <t>policyCount</t>
  </si>
  <si>
    <t>planName</t>
  </si>
  <si>
    <t>ONL</t>
  </si>
  <si>
    <t>paymentPlan</t>
  </si>
  <si>
    <t>policy2</t>
  </si>
  <si>
    <t>policyID</t>
  </si>
  <si>
    <t>Policy</t>
  </si>
  <si>
    <r>
      <t xml:space="preserve">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</t>
    </r>
  </si>
  <si>
    <t>&gt;policyData</t>
  </si>
  <si>
    <t>policy2 added</t>
  </si>
  <si>
    <r>
      <t xml:space="preserve">Run </t>
    </r>
    <r>
      <rPr>
        <b/>
        <sz val="10"/>
        <rFont val="Franklin Gothic Book"/>
        <family val="2"/>
      </rPr>
      <t xml:space="preserve">PolicyPremium </t>
    </r>
    <r>
      <rPr>
        <sz val="10"/>
        <color theme="0" tint="-0.34998626667073579"/>
        <rFont val="Franklin Gothic Book"/>
        <family val="2"/>
      </rPr>
      <t>PolicyPremiumRun</t>
    </r>
  </si>
  <si>
    <t>Additive Components</t>
  </si>
  <si>
    <t>Accessory</t>
  </si>
  <si>
    <t>Third Party Only Cover</t>
  </si>
  <si>
    <t>Fire and Theft Cover</t>
  </si>
  <si>
    <t>Comprehensive Cover</t>
  </si>
  <si>
    <t>Undiscounted Premium Before Adjustments</t>
  </si>
  <si>
    <t>Inflation Factor</t>
  </si>
  <si>
    <t>Agent Adjustment</t>
  </si>
  <si>
    <t>Marketing Factor</t>
  </si>
  <si>
    <t>Optimisation Factor</t>
  </si>
  <si>
    <t>Excess Factor</t>
  </si>
  <si>
    <t>NCB Factor</t>
  </si>
  <si>
    <t>Payment Frequency Factor</t>
  </si>
  <si>
    <t>Undiscounted Company Premium</t>
  </si>
  <si>
    <t>policy3</t>
  </si>
  <si>
    <t>policy4</t>
  </si>
  <si>
    <t>policy5</t>
  </si>
  <si>
    <t xml:space="preserve">added extended Policy Tests </t>
  </si>
  <si>
    <t>policy6</t>
  </si>
  <si>
    <t>policy7</t>
  </si>
  <si>
    <t>policy8</t>
  </si>
  <si>
    <t>policy9</t>
  </si>
  <si>
    <t>policy10</t>
  </si>
  <si>
    <t/>
  </si>
  <si>
    <t>Vyacheslav</t>
  </si>
  <si>
    <t>tests added for cup/cap</t>
  </si>
  <si>
    <t>Package Discount</t>
  </si>
  <si>
    <t>FSL</t>
  </si>
  <si>
    <t>GST</t>
  </si>
  <si>
    <t>Undiscounted Customer Premium</t>
  </si>
  <si>
    <t>Package Discount Amount</t>
  </si>
  <si>
    <t>Total Discount Amount</t>
  </si>
  <si>
    <t xml:space="preserve">Previous Annualised Customer Premium </t>
  </si>
  <si>
    <t>Prev Undiscounted Customer Premium</t>
  </si>
  <si>
    <t>New Undiscounted Premium</t>
  </si>
  <si>
    <t>Cap Cup</t>
  </si>
  <si>
    <t>GARAGE</t>
  </si>
  <si>
    <t>VehicleU25DriverExclusionBenefit</t>
  </si>
  <si>
    <t>VehicleWindscreenAndWindowGlassExcessBuyOut</t>
  </si>
  <si>
    <t>useType</t>
  </si>
  <si>
    <t>Comp_Agreed</t>
  </si>
  <si>
    <t>type of use</t>
  </si>
  <si>
    <t>policyType</t>
  </si>
  <si>
    <t>typeOfUse</t>
  </si>
  <si>
    <t>Total Promotional Discounts Amount</t>
  </si>
  <si>
    <t>Customer Premium After Discount</t>
  </si>
  <si>
    <t>Gross Customer Premium After Capping Cupping</t>
  </si>
  <si>
    <t>_res_.$Formula$NetPremiumAfterCapCup</t>
  </si>
  <si>
    <t>Net Premium After Cap Cup</t>
  </si>
  <si>
    <t>PMT</t>
  </si>
  <si>
    <t>pressy1801cash</t>
  </si>
  <si>
    <t>VehicleRoadWiseBenefit</t>
  </si>
  <si>
    <t>driver3</t>
  </si>
  <si>
    <t>date</t>
  </si>
  <si>
    <t>demo5 tests</t>
  </si>
  <si>
    <t>_res_.$Formula$Main.$Formula$ComponentsPremium[0]</t>
  </si>
  <si>
    <t>_res_.$Formula$Main.$Formula$ComponentsPremium[1]</t>
  </si>
  <si>
    <t>_res_.$Formula$Main.$Formula$ComponentsPremium[2]</t>
  </si>
  <si>
    <t>_res_.$Formula$Main.$Formula$AdditiveComponents</t>
  </si>
  <si>
    <t>_res_.$Formula$Main.$Formula$Accessory</t>
  </si>
  <si>
    <t>_res_.$Formula$Main.$Formula$UndiscountedPremiumBeforeAdjustments</t>
  </si>
  <si>
    <t>_res_.$Formula$Main.$Formula$InflationFactor</t>
  </si>
  <si>
    <t>_res_.$Formula$Main.$Formula$AgentAdjustment</t>
  </si>
  <si>
    <t>_res_.$Formula$Main.$Formula$MarketingFactor</t>
  </si>
  <si>
    <t>_res_.$Formula$Main.$Formula$OptimisationFactor</t>
  </si>
  <si>
    <t>_res_.$Formula$Main.$Formula$ExcessFactor</t>
  </si>
  <si>
    <t>_res_.$Formula$Main.$Formula$NCBFactor</t>
  </si>
  <si>
    <t>_res_.$Formula$Main.$Formula$PaymentFrequencyFactor</t>
  </si>
  <si>
    <t>_res_.$Formula$Main.$Formula$UndiscountedCompanyPremium</t>
  </si>
  <si>
    <t>_res_.$Formula$Main.$Formula$FSL</t>
  </si>
  <si>
    <t>_res_.$Formula$Main.$Formula$GST</t>
  </si>
  <si>
    <t>_res_.$Formula$Main.$Formula$TotalPromotionalDiscountsAmount</t>
  </si>
  <si>
    <t>_res_.$Formula$Main.$Formula$PackageDiscount</t>
  </si>
  <si>
    <t>_res_.$Formula$Main.$Formula$PackageDiscountAmount</t>
  </si>
  <si>
    <t>_res_.$Formula$Main.$Formula$TotalDiscountAmount</t>
  </si>
  <si>
    <t>_res_.$Formula$Main.$Formula$CustomerPremiumAfterDiscount</t>
  </si>
  <si>
    <t>_res_.$Formula$Main.$Formula$UndiscountedCustomerPremium</t>
  </si>
  <si>
    <t>_res_.$Formula$CapCup.$Formula$PrevUndiscountedCustomerPremium</t>
  </si>
  <si>
    <t>_res_.$Formula$CapCup.$Formula$NewUndiscountedPremium</t>
  </si>
  <si>
    <t>_res_.$Formula$CapCup.$Formula$CapCup</t>
  </si>
  <si>
    <t>policy11</t>
  </si>
  <si>
    <t>policy12</t>
  </si>
  <si>
    <t>policy13</t>
  </si>
  <si>
    <t>policy14</t>
  </si>
  <si>
    <t>policy15</t>
  </si>
  <si>
    <t>policy16</t>
  </si>
  <si>
    <t>policy17</t>
  </si>
  <si>
    <t>policy18</t>
  </si>
  <si>
    <t>policy19</t>
  </si>
  <si>
    <t>policy20</t>
  </si>
  <si>
    <t>policy21</t>
  </si>
  <si>
    <t>policy22</t>
  </si>
  <si>
    <t>policy23</t>
  </si>
  <si>
    <t>policy24</t>
  </si>
  <si>
    <t>policy25</t>
  </si>
  <si>
    <t>policy26</t>
  </si>
  <si>
    <t>policy27</t>
  </si>
  <si>
    <t>policy28</t>
  </si>
  <si>
    <t>policy29</t>
  </si>
  <si>
    <t>policy30</t>
  </si>
  <si>
    <t>policy31</t>
  </si>
  <si>
    <t>policy32</t>
  </si>
  <si>
    <t>policy33</t>
  </si>
  <si>
    <t>policy34</t>
  </si>
  <si>
    <t>policy35</t>
  </si>
  <si>
    <t>policy36</t>
  </si>
  <si>
    <t>policy37</t>
  </si>
  <si>
    <t>policy38</t>
  </si>
  <si>
    <t>policy39</t>
  </si>
  <si>
    <t>policy40</t>
  </si>
  <si>
    <t>policy41</t>
  </si>
  <si>
    <t>policy42</t>
  </si>
  <si>
    <t>policy43</t>
  </si>
  <si>
    <t>policy44</t>
  </si>
  <si>
    <t>policy45</t>
  </si>
  <si>
    <t>policy46</t>
  </si>
  <si>
    <t>policy47</t>
  </si>
  <si>
    <t>policy48</t>
  </si>
  <si>
    <t>policy49</t>
  </si>
  <si>
    <t>policy50</t>
  </si>
  <si>
    <t>policy51</t>
  </si>
  <si>
    <t>policy52</t>
  </si>
  <si>
    <t>policy53</t>
  </si>
  <si>
    <t>policy54</t>
  </si>
  <si>
    <t>policy55</t>
  </si>
  <si>
    <t>policy56</t>
  </si>
  <si>
    <t>policy57</t>
  </si>
  <si>
    <t>policy58</t>
  </si>
  <si>
    <t>policy59</t>
  </si>
  <si>
    <t>policy60</t>
  </si>
  <si>
    <t>policy61</t>
  </si>
  <si>
    <t>policy62</t>
  </si>
  <si>
    <t>policy63</t>
  </si>
  <si>
    <t>policy64</t>
  </si>
  <si>
    <t>policy65</t>
  </si>
  <si>
    <t>policy66</t>
  </si>
  <si>
    <t>TPFT</t>
  </si>
  <si>
    <t>Renewal</t>
  </si>
  <si>
    <t>Endorsement</t>
  </si>
  <si>
    <t>ONSTRT</t>
  </si>
  <si>
    <t>VehicleRentalCarSubstituteTransport</t>
  </si>
  <si>
    <t>01/01/1974</t>
  </si>
  <si>
    <t>01/01/1982</t>
  </si>
  <si>
    <t>01/01/1994</t>
  </si>
  <si>
    <t>01/01/1972</t>
  </si>
  <si>
    <t>driver4</t>
  </si>
  <si>
    <t>driver5</t>
  </si>
  <si>
    <t>FORD15DN</t>
  </si>
  <si>
    <t>VOLK11FR</t>
  </si>
  <si>
    <t>MAZD01DR</t>
  </si>
  <si>
    <t>TOYO17BU</t>
  </si>
  <si>
    <t>demo5 tests extended</t>
  </si>
  <si>
    <t>vehicle.vehicleBlob.CarGrp</t>
  </si>
  <si>
    <t>vehicle.vehicleBlob.VehVal</t>
  </si>
  <si>
    <t>vehicle.vehicleBlob.GlassGrp</t>
  </si>
  <si>
    <t>vehicle.vehicleBlob.Id</t>
  </si>
  <si>
    <r>
      <rPr>
        <sz val="10"/>
        <color theme="0" tint="-0.34998626667073579"/>
        <rFont val="Franklin Gothic Book"/>
        <family val="2"/>
      </rPr>
      <t>Test AgeGenderFactor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AgeGenderFactorTest</t>
    </r>
  </si>
  <si>
    <t>Product</t>
  </si>
  <si>
    <r>
      <t xml:space="preserve">Data Driver </t>
    </r>
    <r>
      <rPr>
        <b/>
        <sz val="10"/>
        <rFont val="Franklin Gothic Book"/>
        <family val="2"/>
      </rPr>
      <t>driverData</t>
    </r>
  </si>
  <si>
    <r>
      <rPr>
        <sz val="10"/>
        <color theme="0" tint="-0.34998626667073579"/>
        <rFont val="Franklin Gothic Book"/>
        <family val="2"/>
      </rPr>
      <t>Test SumInsuredFactor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SumInsuredFactorTest</t>
    </r>
  </si>
  <si>
    <r>
      <rPr>
        <sz val="10"/>
        <color theme="0" tint="-0.34998626667073579"/>
        <rFont val="Franklin Gothic Book"/>
        <family val="2"/>
      </rPr>
      <t>Test ExcessFactor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ExcessFactorTest</t>
    </r>
  </si>
  <si>
    <t>004</t>
  </si>
  <si>
    <t>002</t>
  </si>
  <si>
    <t>003</t>
  </si>
  <si>
    <t>001</t>
  </si>
  <si>
    <t>Maria</t>
  </si>
  <si>
    <t>update License Years</t>
  </si>
  <si>
    <t>21/09/2018</t>
  </si>
  <si>
    <t>ANNUAL</t>
  </si>
  <si>
    <t>NONANN</t>
  </si>
  <si>
    <t>206.2</t>
  </si>
  <si>
    <t>121.89</t>
  </si>
  <si>
    <t>222.59</t>
  </si>
  <si>
    <t>52</t>
  </si>
  <si>
    <t>0</t>
  </si>
  <si>
    <t>602.68</t>
  </si>
  <si>
    <t>1</t>
  </si>
  <si>
    <t>0.775</t>
  </si>
  <si>
    <t>467.08</t>
  </si>
  <si>
    <t>8.45</t>
  </si>
  <si>
    <t>71.33</t>
  </si>
  <si>
    <t>546.86</t>
  </si>
  <si>
    <t>54.69</t>
  </si>
  <si>
    <t>83.44</t>
  </si>
  <si>
    <t>463.42</t>
  </si>
  <si>
    <t>591.86</t>
  </si>
  <si>
    <t>503.92</t>
  </si>
  <si>
    <t>429.74130434782614</t>
  </si>
  <si>
    <t>0.7688</t>
  </si>
  <si>
    <t>463.34</t>
  </si>
  <si>
    <t>70.77</t>
  </si>
  <si>
    <t>542.56</t>
  </si>
  <si>
    <t>0.1</t>
  </si>
  <si>
    <t>54.26</t>
  </si>
  <si>
    <t>488.3</t>
  </si>
  <si>
    <t>587.56</t>
  </si>
  <si>
    <t>528.8</t>
  </si>
  <si>
    <t>451.3760869565217</t>
  </si>
  <si>
    <t>0.7563</t>
  </si>
  <si>
    <t>455.81</t>
  </si>
  <si>
    <t>69.64</t>
  </si>
  <si>
    <t>533.9</t>
  </si>
  <si>
    <t>53.39</t>
  </si>
  <si>
    <t>480.51</t>
  </si>
  <si>
    <t>578.9</t>
  </si>
  <si>
    <t>521.01</t>
  </si>
  <si>
    <t>444.6021739130435</t>
  </si>
  <si>
    <t>216.51</t>
  </si>
  <si>
    <t>233.71</t>
  </si>
  <si>
    <t>624.11</t>
  </si>
  <si>
    <t>0.75</t>
  </si>
  <si>
    <t>468.08</t>
  </si>
  <si>
    <t>71.48</t>
  </si>
  <si>
    <t>548.01</t>
  </si>
  <si>
    <t>593.01</t>
  </si>
  <si>
    <t>507.2108695652174</t>
  </si>
  <si>
    <t>483.69</t>
  </si>
  <si>
    <t>73.82</t>
  </si>
  <si>
    <t>565.96</t>
  </si>
  <si>
    <t>56.6</t>
  </si>
  <si>
    <t>509.36</t>
  </si>
  <si>
    <t>610.96</t>
  </si>
  <si>
    <t>549.86</t>
  </si>
  <si>
    <t>469.6891304347826</t>
  </si>
  <si>
    <t>479.82</t>
  </si>
  <si>
    <t>73.24</t>
  </si>
  <si>
    <t>561.51</t>
  </si>
  <si>
    <t>112.3</t>
  </si>
  <si>
    <t>449.21</t>
  </si>
  <si>
    <t>606.51</t>
  </si>
  <si>
    <t>485.21</t>
  </si>
  <si>
    <t>413.4717391304348</t>
  </si>
  <si>
    <t>472.01</t>
  </si>
  <si>
    <t>72.07</t>
  </si>
  <si>
    <t>552.53</t>
  </si>
  <si>
    <t>110.51</t>
  </si>
  <si>
    <t>55.25</t>
  </si>
  <si>
    <t>165.76</t>
  </si>
  <si>
    <t>386.77</t>
  </si>
  <si>
    <t>597.53</t>
  </si>
  <si>
    <t>418.27</t>
  </si>
  <si>
    <t>355.2630434782609</t>
  </si>
  <si>
    <t>109.6</t>
  </si>
  <si>
    <t>54.8</t>
  </si>
  <si>
    <t>164.4</t>
  </si>
  <si>
    <t>383.61</t>
  </si>
  <si>
    <t>415.11</t>
  </si>
  <si>
    <t>352.5152173913044</t>
  </si>
  <si>
    <t>227.34</t>
  </si>
  <si>
    <t>245.4</t>
  </si>
  <si>
    <t>646.63</t>
  </si>
  <si>
    <t>501.14</t>
  </si>
  <si>
    <t>76.44</t>
  </si>
  <si>
    <t>586.03</t>
  </si>
  <si>
    <t>117.21</t>
  </si>
  <si>
    <t>58.6</t>
  </si>
  <si>
    <t>175.81</t>
  </si>
  <si>
    <t>410.22</t>
  </si>
  <si>
    <t>631.03</t>
  </si>
  <si>
    <t>441.72</t>
  </si>
  <si>
    <t>375.654347826087</t>
  </si>
  <si>
    <t>497.13</t>
  </si>
  <si>
    <t>75.84</t>
  </si>
  <si>
    <t>581.42</t>
  </si>
  <si>
    <t>58.14</t>
  </si>
  <si>
    <t>86.89</t>
  </si>
  <si>
    <t>494.53</t>
  </si>
  <si>
    <t>626.42</t>
  </si>
  <si>
    <t>535.03</t>
  </si>
  <si>
    <t>456.7934782608695</t>
  </si>
  <si>
    <t>489.05</t>
  </si>
  <si>
    <t>74.63</t>
  </si>
  <si>
    <t>572.13</t>
  </si>
  <si>
    <t>57.21</t>
  </si>
  <si>
    <t>143.17</t>
  </si>
  <si>
    <t>428.96</t>
  </si>
  <si>
    <t>617.13</t>
  </si>
  <si>
    <t>464.96</t>
  </si>
  <si>
    <t>395.8630434782609</t>
  </si>
  <si>
    <t>484.97</t>
  </si>
  <si>
    <t>74.01</t>
  </si>
  <si>
    <t>567.43</t>
  </si>
  <si>
    <t>56.74</t>
  </si>
  <si>
    <t>142.23</t>
  </si>
  <si>
    <t>425.2</t>
  </si>
  <si>
    <t>612.43</t>
  </si>
  <si>
    <t>461.2</t>
  </si>
  <si>
    <t>392.5934782608696</t>
  </si>
  <si>
    <t>238.71</t>
  </si>
  <si>
    <t>257.67</t>
  </si>
  <si>
    <t>670.27</t>
  </si>
  <si>
    <t>519.46</t>
  </si>
  <si>
    <t>79.19</t>
  </si>
  <si>
    <t>607.1</t>
  </si>
  <si>
    <t>60.71</t>
  </si>
  <si>
    <t>150.17</t>
  </si>
  <si>
    <t>456.93</t>
  </si>
  <si>
    <t>652.1</t>
  </si>
  <si>
    <t>492.93</t>
  </si>
  <si>
    <t>420.1847826086957</t>
  </si>
  <si>
    <t>0.865</t>
  </si>
  <si>
    <t>579.78</t>
  </si>
  <si>
    <t>88.23</t>
  </si>
  <si>
    <t>676.46</t>
  </si>
  <si>
    <t>721.46</t>
  </si>
  <si>
    <t>618.9065217391304</t>
  </si>
  <si>
    <t>101.81</t>
  </si>
  <si>
    <t>780.53</t>
  </si>
  <si>
    <t>825.53</t>
  </si>
  <si>
    <t>709.4021739130435</t>
  </si>
  <si>
    <t>0.8988</t>
  </si>
  <si>
    <t>602.44</t>
  </si>
  <si>
    <t>91.63</t>
  </si>
  <si>
    <t>702.52</t>
  </si>
  <si>
    <t>747.52</t>
  </si>
  <si>
    <t>641.5673913043478</t>
  </si>
  <si>
    <t>515.3</t>
  </si>
  <si>
    <t>78.56</t>
  </si>
  <si>
    <t>602.31</t>
  </si>
  <si>
    <t>647.31</t>
  </si>
  <si>
    <t>554.4282608695652</t>
  </si>
  <si>
    <t>250.64</t>
  </si>
  <si>
    <t>270.55</t>
  </si>
  <si>
    <t>695.08</t>
  </si>
  <si>
    <t>521.31</t>
  </si>
  <si>
    <t>79.46</t>
  </si>
  <si>
    <t>609.22</t>
  </si>
  <si>
    <t>654.22</t>
  </si>
  <si>
    <t>560.4369565217391</t>
  </si>
  <si>
    <t>286.45</t>
  </si>
  <si>
    <t>309.2</t>
  </si>
  <si>
    <t>769.54</t>
  </si>
  <si>
    <t>577.16</t>
  </si>
  <si>
    <t>87.84</t>
  </si>
  <si>
    <t>673.45</t>
  </si>
  <si>
    <t>718.45</t>
  </si>
  <si>
    <t>616.2891304347827</t>
  </si>
  <si>
    <t>274.51</t>
  </si>
  <si>
    <t>296.32</t>
  </si>
  <si>
    <t>744.72</t>
  </si>
  <si>
    <t>558.54</t>
  </si>
  <si>
    <t>85.05</t>
  </si>
  <si>
    <t>652.04</t>
  </si>
  <si>
    <t>697.04</t>
  </si>
  <si>
    <t>597.6717391304347</t>
  </si>
  <si>
    <t>262.58</t>
  </si>
  <si>
    <t>283.44</t>
  </si>
  <si>
    <t>719.91</t>
  </si>
  <si>
    <t>539.93</t>
  </si>
  <si>
    <t>82.26</t>
  </si>
  <si>
    <t>630.64</t>
  </si>
  <si>
    <t>675.64</t>
  </si>
  <si>
    <t>579.0630434782609</t>
  </si>
  <si>
    <t>253.63</t>
  </si>
  <si>
    <t>244.17</t>
  </si>
  <si>
    <t>629.67</t>
  </si>
  <si>
    <t>179</t>
  </si>
  <si>
    <t>1306.47</t>
  </si>
  <si>
    <t>0.999</t>
  </si>
  <si>
    <t>1.1</t>
  </si>
  <si>
    <t>1076.76</t>
  </si>
  <si>
    <t>162.78</t>
  </si>
  <si>
    <t>1247.99</t>
  </si>
  <si>
    <t>124.8</t>
  </si>
  <si>
    <t>1123.19</t>
  </si>
  <si>
    <t>968.2369565217392</t>
  </si>
  <si>
    <t>258.12</t>
  </si>
  <si>
    <t>236.63</t>
  </si>
  <si>
    <t>610.23</t>
  </si>
  <si>
    <t>1283.98</t>
  </si>
  <si>
    <t>0.9876125</t>
  </si>
  <si>
    <t>1046.16</t>
  </si>
  <si>
    <t>158.19</t>
  </si>
  <si>
    <t>1212.8</t>
  </si>
  <si>
    <t>121.28</t>
  </si>
  <si>
    <t>1091.52</t>
  </si>
  <si>
    <t>965.35</t>
  </si>
  <si>
    <t>30</t>
  </si>
  <si>
    <t>1072.61</t>
  </si>
  <si>
    <t>140.19</t>
  </si>
  <si>
    <t>1105.54</t>
  </si>
  <si>
    <t>952.8891304347826</t>
  </si>
  <si>
    <t>238.54</t>
  </si>
  <si>
    <t>656.17</t>
  </si>
  <si>
    <t>1331.83</t>
  </si>
  <si>
    <t>0.9905</t>
  </si>
  <si>
    <t>1088.32</t>
  </si>
  <si>
    <t>164.52</t>
  </si>
  <si>
    <t>1261.29</t>
  </si>
  <si>
    <t>126.13</t>
  </si>
  <si>
    <t>1135.16</t>
  </si>
  <si>
    <t>938.12</t>
  </si>
  <si>
    <t>1042.35</t>
  </si>
  <si>
    <t>218.94</t>
  </si>
  <si>
    <t>1157.06</t>
  </si>
  <si>
    <t>997.6891304347826</t>
  </si>
  <si>
    <t>249.14</t>
  </si>
  <si>
    <t>249.8</t>
  </si>
  <si>
    <t>687.13</t>
  </si>
  <si>
    <t>1365.07</t>
  </si>
  <si>
    <t>1.005</t>
  </si>
  <si>
    <t>1131.81</t>
  </si>
  <si>
    <t>171.04</t>
  </si>
  <si>
    <t>1311.3</t>
  </si>
  <si>
    <t>131.13</t>
  </si>
  <si>
    <t>1180.17</t>
  </si>
  <si>
    <t>977.07</t>
  </si>
  <si>
    <t>500</t>
  </si>
  <si>
    <t>101.55</t>
  </si>
  <si>
    <t>1078.62</t>
  </si>
  <si>
    <t>929.4804347826089</t>
  </si>
  <si>
    <t>285.18</t>
  </si>
  <si>
    <t>201.51</t>
  </si>
  <si>
    <t>491.73</t>
  </si>
  <si>
    <t>127</t>
  </si>
  <si>
    <t>1105.42</t>
  </si>
  <si>
    <t>911.97</t>
  </si>
  <si>
    <t>138.06</t>
  </si>
  <si>
    <t>1058.48</t>
  </si>
  <si>
    <t>0.2</t>
  </si>
  <si>
    <t>211.7</t>
  </si>
  <si>
    <t>846.78</t>
  </si>
  <si>
    <t>700</t>
  </si>
  <si>
    <t>78.71</t>
  </si>
  <si>
    <t>778.71</t>
  </si>
  <si>
    <t>668.6891304347827</t>
  </si>
  <si>
    <t>282.23</t>
  </si>
  <si>
    <t>199.49</t>
  </si>
  <si>
    <t>481.75</t>
  </si>
  <si>
    <t>1090.47</t>
  </si>
  <si>
    <t>899.64</t>
  </si>
  <si>
    <t>136.21</t>
  </si>
  <si>
    <t>1044.3</t>
  </si>
  <si>
    <t>208.86</t>
  </si>
  <si>
    <t>835.44</t>
  </si>
  <si>
    <t>730</t>
  </si>
  <si>
    <t>62.18</t>
  </si>
  <si>
    <t>792.18</t>
  </si>
  <si>
    <t>680.4021739130435</t>
  </si>
  <si>
    <t>280.14</t>
  </si>
  <si>
    <t>197.47</t>
  </si>
  <si>
    <t>473.35</t>
  </si>
  <si>
    <t>1077.96</t>
  </si>
  <si>
    <t>1.0348049198847677</t>
  </si>
  <si>
    <t>920.27</t>
  </si>
  <si>
    <t>139.31</t>
  </si>
  <si>
    <t>1068.03</t>
  </si>
  <si>
    <t>213.61</t>
  </si>
  <si>
    <t>854.42</t>
  </si>
  <si>
    <t>69.77</t>
  </si>
  <si>
    <t>799.77</t>
  </si>
  <si>
    <t>687.0021739130435</t>
  </si>
  <si>
    <t>278.06</t>
  </si>
  <si>
    <t>195.44</t>
  </si>
  <si>
    <t>465.01</t>
  </si>
  <si>
    <t>1065.51</t>
  </si>
  <si>
    <t>1.0710230920807344</t>
  </si>
  <si>
    <t>941.48</t>
  </si>
  <si>
    <t>142.49</t>
  </si>
  <si>
    <t>1092.42</t>
  </si>
  <si>
    <t>218.48</t>
  </si>
  <si>
    <t>873.94</t>
  </si>
  <si>
    <t>760</t>
  </si>
  <si>
    <t>65.58</t>
  </si>
  <si>
    <t>825.58</t>
  </si>
  <si>
    <t>709.4456521739131</t>
  </si>
  <si>
    <t>275.98</t>
  </si>
  <si>
    <t>191.4</t>
  </si>
  <si>
    <t>451.98</t>
  </si>
  <si>
    <t>1046.36</t>
  </si>
  <si>
    <t>1.10850890030356</t>
  </si>
  <si>
    <t>956.92</t>
  </si>
  <si>
    <t>144.81</t>
  </si>
  <si>
    <t>1110.18</t>
  </si>
  <si>
    <t>222.04</t>
  </si>
  <si>
    <t>888.14</t>
  </si>
  <si>
    <t>71.26</t>
  </si>
  <si>
    <t>831.26</t>
  </si>
  <si>
    <t>714.3847826086957</t>
  </si>
  <si>
    <t>273.89</t>
  </si>
  <si>
    <t>185.33</t>
  </si>
  <si>
    <t>434.34</t>
  </si>
  <si>
    <t>1020.56</t>
  </si>
  <si>
    <t>1.1473067118141846</t>
  </si>
  <si>
    <t>965.99</t>
  </si>
  <si>
    <t>146.17</t>
  </si>
  <si>
    <t>1120.61</t>
  </si>
  <si>
    <t>224.12</t>
  </si>
  <si>
    <t>896.49</t>
  </si>
  <si>
    <t>790</t>
  </si>
  <si>
    <t>62.6</t>
  </si>
  <si>
    <t>852.6</t>
  </si>
  <si>
    <t>732.9413043478261</t>
  </si>
  <si>
    <t>271.81</t>
  </si>
  <si>
    <t>202.72</t>
  </si>
  <si>
    <t>471.49</t>
  </si>
  <si>
    <t>1073.02</t>
  </si>
  <si>
    <t>1.187462446727681</t>
  </si>
  <si>
    <t>1051.19</t>
  </si>
  <si>
    <t>158.95</t>
  </si>
  <si>
    <t>1218.59</t>
  </si>
  <si>
    <t>243.72</t>
  </si>
  <si>
    <t>974.87</t>
  </si>
  <si>
    <t>93.95</t>
  </si>
  <si>
    <t>883.95</t>
  </si>
  <si>
    <t>760.2021739130436</t>
  </si>
  <si>
    <t>269.41</t>
  </si>
  <si>
    <t>467.33</t>
  </si>
  <si>
    <t>1066.46</t>
  </si>
  <si>
    <t>1.22902363236315</t>
  </si>
  <si>
    <t>1081.33</t>
  </si>
  <si>
    <t>163.47</t>
  </si>
  <si>
    <t>1253.25</t>
  </si>
  <si>
    <t>250.65</t>
  </si>
  <si>
    <t>1002.6</t>
  </si>
  <si>
    <t>838.98</t>
  </si>
  <si>
    <t>85.45</t>
  </si>
  <si>
    <t>924.43</t>
  </si>
  <si>
    <t>795.4021739130435</t>
  </si>
  <si>
    <t>266.52</t>
  </si>
  <si>
    <t>462.33</t>
  </si>
  <si>
    <t>1058.57</t>
  </si>
  <si>
    <t>1.27203945949586</t>
  </si>
  <si>
    <t>1110.9</t>
  </si>
  <si>
    <t>167.9</t>
  </si>
  <si>
    <t>1287.25</t>
  </si>
  <si>
    <t>257.45</t>
  </si>
  <si>
    <t>1029.8</t>
  </si>
  <si>
    <t>868.98</t>
  </si>
  <si>
    <t>84.33</t>
  </si>
  <si>
    <t>953.31</t>
  </si>
  <si>
    <t>820.5152173913044</t>
  </si>
  <si>
    <t>395.6</t>
  </si>
  <si>
    <t>196.77</t>
  </si>
  <si>
    <t>592.37</t>
  </si>
  <si>
    <t>488.71</t>
  </si>
  <si>
    <t>74.57</t>
  </si>
  <si>
    <t>571.73</t>
  </si>
  <si>
    <t>114.35</t>
  </si>
  <si>
    <t>457.38</t>
  </si>
  <si>
    <t>261.625</t>
  </si>
  <si>
    <t>98.3</t>
  </si>
  <si>
    <t>359.925</t>
  </si>
  <si>
    <t>304.52826086956526</t>
  </si>
  <si>
    <t>0.975</t>
  </si>
  <si>
    <t>476.49</t>
  </si>
  <si>
    <t>72.74</t>
  </si>
  <si>
    <t>557.68</t>
  </si>
  <si>
    <t>111.54</t>
  </si>
  <si>
    <t>446.14</t>
  </si>
  <si>
    <t>93.81</t>
  </si>
  <si>
    <t>355.435</t>
  </si>
  <si>
    <t>300.6239130434783</t>
  </si>
  <si>
    <t>0.95</t>
  </si>
  <si>
    <t>464.27</t>
  </si>
  <si>
    <t>70.91</t>
  </si>
  <si>
    <t>543.63</t>
  </si>
  <si>
    <t>108.73</t>
  </si>
  <si>
    <t>434.9</t>
  </si>
  <si>
    <t>89.31</t>
  </si>
  <si>
    <t>350.935</t>
  </si>
  <si>
    <t>296.7108695652174</t>
  </si>
  <si>
    <t>0.93</t>
  </si>
  <si>
    <t>454.5</t>
  </si>
  <si>
    <t>69.44</t>
  </si>
  <si>
    <t>532.39</t>
  </si>
  <si>
    <t>106.48</t>
  </si>
  <si>
    <t>425.91</t>
  </si>
  <si>
    <t>85.71</t>
  </si>
  <si>
    <t>347.335</t>
  </si>
  <si>
    <t>293.58043478260873</t>
  </si>
  <si>
    <t>0.91</t>
  </si>
  <si>
    <t>444.72</t>
  </si>
  <si>
    <t>67.98</t>
  </si>
  <si>
    <t>521.15</t>
  </si>
  <si>
    <t>104.23</t>
  </si>
  <si>
    <t>416.92</t>
  </si>
  <si>
    <t>82.12</t>
  </si>
  <si>
    <t>343.745</t>
  </si>
  <si>
    <t>290.458695652174</t>
  </si>
  <si>
    <t>0.802</t>
  </si>
  <si>
    <t>391.94</t>
  </si>
  <si>
    <t>60.06</t>
  </si>
  <si>
    <t>460.45</t>
  </si>
  <si>
    <t>92.09</t>
  </si>
  <si>
    <t>368.36</t>
  </si>
  <si>
    <t>62.69</t>
  </si>
  <si>
    <t>324.315</t>
  </si>
  <si>
    <t>273.5630434782609</t>
  </si>
  <si>
    <t>307.07</t>
  </si>
  <si>
    <t>309.29</t>
  </si>
  <si>
    <t>728.39</t>
  </si>
  <si>
    <t>245</t>
  </si>
  <si>
    <t>1589.75</t>
  </si>
  <si>
    <t>1.0692333333333335</t>
  </si>
  <si>
    <t>1274.86</t>
  </si>
  <si>
    <t>192.5</t>
  </si>
  <si>
    <t>1475.81</t>
  </si>
  <si>
    <t>295.16</t>
  </si>
  <si>
    <t>1180.65</t>
  </si>
  <si>
    <t>765.325</t>
  </si>
  <si>
    <t>207.66</t>
  </si>
  <si>
    <t>972.985</t>
  </si>
  <si>
    <t>837.6239130434783</t>
  </si>
  <si>
    <t>312.16</t>
  </si>
  <si>
    <t>735.16</t>
  </si>
  <si>
    <t>1599.39</t>
  </si>
  <si>
    <t>1.074</t>
  </si>
  <si>
    <t>1288.31</t>
  </si>
  <si>
    <t>194.51</t>
  </si>
  <si>
    <t>1491.27</t>
  </si>
  <si>
    <t>298.25</t>
  </si>
  <si>
    <t>1193.02</t>
  </si>
  <si>
    <t>892.965</t>
  </si>
  <si>
    <t>1275.76</t>
  </si>
  <si>
    <t>215.51</t>
  </si>
  <si>
    <t>1108.475</t>
  </si>
  <si>
    <t>955.4413043478261</t>
  </si>
  <si>
    <t>309.95</t>
  </si>
  <si>
    <t>729.95</t>
  </si>
  <si>
    <t>1591.97</t>
  </si>
  <si>
    <t>1.0703333333333334</t>
  </si>
  <si>
    <t>1277.95</t>
  </si>
  <si>
    <t>192.96</t>
  </si>
  <si>
    <t>1479.36</t>
  </si>
  <si>
    <t>295.87</t>
  </si>
  <si>
    <t>1183.49</t>
  </si>
  <si>
    <t>906.245</t>
  </si>
  <si>
    <t>1289.04</t>
  </si>
  <si>
    <t>190.32</t>
  </si>
  <si>
    <t>1096.565</t>
  </si>
  <si>
    <t>945.0847826086957</t>
  </si>
  <si>
    <t>303.7</t>
  </si>
  <si>
    <t>340.94</t>
  </si>
  <si>
    <t>794.1</t>
  </si>
  <si>
    <t>1683.74</t>
  </si>
  <si>
    <t>1.1216666666666666</t>
  </si>
  <si>
    <t>1416.45</t>
  </si>
  <si>
    <t>213.74</t>
  </si>
  <si>
    <t>1638.64</t>
  </si>
  <si>
    <t>327.73</t>
  </si>
  <si>
    <t>1310.91</t>
  </si>
  <si>
    <t>899.055</t>
  </si>
  <si>
    <t>205.93</t>
  </si>
  <si>
    <t>1104.985</t>
  </si>
  <si>
    <t>952.4065217391304</t>
  </si>
  <si>
    <t>300.64</t>
  </si>
  <si>
    <t>713.12</t>
  </si>
  <si>
    <t>1568.05</t>
  </si>
  <si>
    <t>1.034902455345785</t>
  </si>
  <si>
    <t>1.0096166666666666</t>
  </si>
  <si>
    <t>1228.79</t>
  </si>
  <si>
    <t>185.59</t>
  </si>
  <si>
    <t>1422.83</t>
  </si>
  <si>
    <t>284.57</t>
  </si>
  <si>
    <t>1138.26</t>
  </si>
  <si>
    <t>1015.985</t>
  </si>
  <si>
    <t>68.91</t>
  </si>
  <si>
    <t>1084.895</t>
  </si>
  <si>
    <t>934.9369565217391</t>
  </si>
  <si>
    <t>0.9896166666666667</t>
  </si>
  <si>
    <t>1204.45</t>
  </si>
  <si>
    <t>181.94</t>
  </si>
  <si>
    <t>1394.84</t>
  </si>
  <si>
    <t>278.97</t>
  </si>
  <si>
    <t>1115.87</t>
  </si>
  <si>
    <t>1231.44</t>
  </si>
  <si>
    <t>163.4</t>
  </si>
  <si>
    <t>1179.385</t>
  </si>
  <si>
    <t>1017.1021739130435</t>
  </si>
  <si>
    <t>0.9696166666666667</t>
  </si>
  <si>
    <t>1180.11</t>
  </si>
  <si>
    <t>178.28</t>
  </si>
  <si>
    <t>1366.84</t>
  </si>
  <si>
    <t>273.37</t>
  </si>
  <si>
    <t>1093.47</t>
  </si>
  <si>
    <t>996.015</t>
  </si>
  <si>
    <t>1207.24</t>
  </si>
  <si>
    <t>159.6</t>
  </si>
  <si>
    <t>1155.615</t>
  </si>
  <si>
    <t>996.4326086956522</t>
  </si>
  <si>
    <t>0.946386</t>
  </si>
  <si>
    <t>1151.83</t>
  </si>
  <si>
    <t>174.04</t>
  </si>
  <si>
    <t>1334.32</t>
  </si>
  <si>
    <t>266.86</t>
  </si>
  <si>
    <t>1067.46</t>
  </si>
  <si>
    <t>976.045</t>
  </si>
  <si>
    <t>1183.04</t>
  </si>
  <si>
    <t>151.28</t>
  </si>
  <si>
    <t>1127.325</t>
  </si>
  <si>
    <t>971.8326086956522</t>
  </si>
  <si>
    <t>297.58</t>
  </si>
  <si>
    <t>381.59</t>
  </si>
  <si>
    <t>870.89</t>
  </si>
  <si>
    <t>1795.06</t>
  </si>
  <si>
    <t>1.0711240412828873</t>
  </si>
  <si>
    <t>1.011925</t>
  </si>
  <si>
    <t>1459.25</t>
  </si>
  <si>
    <t>220.16</t>
  </si>
  <si>
    <t>1687.86</t>
  </si>
  <si>
    <t>337.57</t>
  </si>
  <si>
    <t>1350.29</t>
  </si>
  <si>
    <t>952.845</t>
  </si>
  <si>
    <t>198.72</t>
  </si>
  <si>
    <t>1151.565</t>
  </si>
  <si>
    <t>992.9108695652175</t>
  </si>
  <si>
    <t>294.52</t>
  </si>
  <si>
    <t>373.62</t>
  </si>
  <si>
    <t>843.92</t>
  </si>
  <si>
    <t>1757.06</t>
  </si>
  <si>
    <t>1.1086133827277884</t>
  </si>
  <si>
    <t>1.0045</t>
  </si>
  <si>
    <t>1467.5</t>
  </si>
  <si>
    <t>221.39</t>
  </si>
  <si>
    <t>1697.34</t>
  </si>
  <si>
    <t>339.47</t>
  </si>
  <si>
    <t>1357.87</t>
  </si>
  <si>
    <t>1060.035</t>
  </si>
  <si>
    <t>148.92</t>
  </si>
  <si>
    <t>1208.955</t>
  </si>
  <si>
    <t>1042.8152173913045</t>
  </si>
  <si>
    <t>291.46</t>
  </si>
  <si>
    <t>691.36</t>
  </si>
  <si>
    <t>1537.11</t>
  </si>
  <si>
    <t>1.147414851123261</t>
  </si>
  <si>
    <t>1251.86</t>
  </si>
  <si>
    <t>189.05</t>
  </si>
  <si>
    <t>1449.36</t>
  </si>
  <si>
    <t>289.87</t>
  </si>
  <si>
    <t>1159.49</t>
  </si>
  <si>
    <t>1125.865</t>
  </si>
  <si>
    <t>38.38</t>
  </si>
  <si>
    <t>1164.245</t>
  </si>
  <si>
    <t>1003.9369565217393</t>
  </si>
  <si>
    <t>291.05</t>
  </si>
  <si>
    <t>690.38</t>
  </si>
  <si>
    <t>1535.72</t>
  </si>
  <si>
    <t>1.1876863056468745</t>
  </si>
  <si>
    <t>1294.62</t>
  </si>
  <si>
    <t>195.46</t>
  </si>
  <si>
    <t>1498.53</t>
  </si>
  <si>
    <t>299.71</t>
  </si>
  <si>
    <t>1198.82</t>
  </si>
  <si>
    <t>1061.085</t>
  </si>
  <si>
    <t>75.09</t>
  </si>
  <si>
    <t>1136.175</t>
  </si>
  <si>
    <t>979.5282608695652</t>
  </si>
  <si>
    <t>1018.2021739130437</t>
  </si>
  <si>
    <t>1020.61</t>
  </si>
  <si>
    <t>1236.12</t>
  </si>
  <si>
    <t>1066.4369565217391</t>
  </si>
  <si>
    <t>1033.89</t>
  </si>
  <si>
    <t>1224.21</t>
  </si>
  <si>
    <t>1056.0804347826088</t>
  </si>
  <si>
    <t>802.93</t>
  </si>
  <si>
    <t>1695.94</t>
  </si>
  <si>
    <t>1426.71</t>
  </si>
  <si>
    <t>215.27</t>
  </si>
  <si>
    <t>1650.43</t>
  </si>
  <si>
    <t>330.09</t>
  </si>
  <si>
    <t>1320.34</t>
  </si>
  <si>
    <t>1025.69</t>
  </si>
  <si>
    <t>147.32</t>
  </si>
  <si>
    <t>1173.01</t>
  </si>
  <si>
    <t>1011.5586956521739</t>
  </si>
  <si>
    <t>1203.78</t>
  </si>
  <si>
    <t>181.83</t>
  </si>
  <si>
    <t>1394.06</t>
  </si>
  <si>
    <t>278.81</t>
  </si>
  <si>
    <t>1115.25</t>
  </si>
  <si>
    <t>1091.57</t>
  </si>
  <si>
    <t>1121.57</t>
  </si>
  <si>
    <t>966.8282608695652</t>
  </si>
  <si>
    <t>1179.93</t>
  </si>
  <si>
    <t>178.26</t>
  </si>
  <si>
    <t>1366.64</t>
  </si>
  <si>
    <t>273.33</t>
  </si>
  <si>
    <t>1093.31</t>
  </si>
  <si>
    <t>1023.78</t>
  </si>
  <si>
    <t>1205.18</t>
  </si>
  <si>
    <t>161.46</t>
  </si>
  <si>
    <t>1185.24</t>
  </si>
  <si>
    <t>1022.1934782608696</t>
  </si>
  <si>
    <t>1156.09</t>
  </si>
  <si>
    <t>174.68</t>
  </si>
  <si>
    <t>1339.22</t>
  </si>
  <si>
    <t>267.84</t>
  </si>
  <si>
    <t>1071.38</t>
  </si>
  <si>
    <t>1003.66</t>
  </si>
  <si>
    <t>1181.5</t>
  </si>
  <si>
    <t>157.72</t>
  </si>
  <si>
    <t>1161.38</t>
  </si>
  <si>
    <t>1001.445652173913</t>
  </si>
  <si>
    <t>983.54</t>
  </si>
  <si>
    <t>1157.82</t>
  </si>
  <si>
    <t>317.99</t>
  </si>
  <si>
    <t>1301.53</t>
  </si>
  <si>
    <t>1123.3152173913043</t>
  </si>
  <si>
    <t>898.67</t>
  </si>
  <si>
    <t>1832.33</t>
  </si>
  <si>
    <t>1.19385</t>
  </si>
  <si>
    <t>1640.65</t>
  </si>
  <si>
    <t>247.37</t>
  </si>
  <si>
    <t>1896.47</t>
  </si>
  <si>
    <t>379.29</t>
  </si>
  <si>
    <t>1517.18</t>
  </si>
  <si>
    <t>1101.48</t>
  </si>
  <si>
    <t>207.85</t>
  </si>
  <si>
    <t>1309.33</t>
  </si>
  <si>
    <t>1130.0978260869565</t>
  </si>
  <si>
    <t>1205.29</t>
  </si>
  <si>
    <t>1039.628260869565</t>
  </si>
  <si>
    <t>1112.09</t>
  </si>
  <si>
    <t>72.32</t>
  </si>
  <si>
    <t>1184.41</t>
  </si>
  <si>
    <t>1021.4717391304348</t>
  </si>
  <si>
    <t>84.02</t>
  </si>
  <si>
    <t>1104.63</t>
  </si>
  <si>
    <t>952.0978260869566</t>
  </si>
  <si>
    <t>producerCd</t>
  </si>
  <si>
    <t>producer</t>
  </si>
  <si>
    <t>_res_.$Formula$Main.$Formula$TotalPromotionalDiscounts</t>
  </si>
  <si>
    <t>Total Promotional Discount Percent</t>
  </si>
  <si>
    <t>_res_.$Formula$GrossCustomerPremiumAfterCapCup</t>
  </si>
  <si>
    <t>update age-gender test, updated policy test</t>
  </si>
  <si>
    <t>geographicBlob.mtrRateRgn</t>
  </si>
  <si>
    <t>geographicBlob.dwi[0].mDWIVehID</t>
  </si>
  <si>
    <t>geographicBlob.dwi[1].mDWIVehID</t>
  </si>
  <si>
    <t>geographicBlob.dwi[2].mDWIVehID</t>
  </si>
  <si>
    <t>geographicBlob.dwi[0].mDWIOptimFctr</t>
  </si>
  <si>
    <t>geographicBlob.dwi[2].mDWIOptimFctr</t>
  </si>
  <si>
    <t>geographicBlob.dwi[1].mDWIOptimFctr</t>
  </si>
  <si>
    <t>geographicBlob.dwi[1].mDWIIncptn</t>
  </si>
  <si>
    <t>geographicBlob.dwi[0].mDWIIncptn</t>
  </si>
  <si>
    <t>geographicBlob.dwi[2].mDWIIncptn</t>
  </si>
  <si>
    <t>geographicBlob.perturbtn</t>
  </si>
  <si>
    <t>AKL_02</t>
  </si>
  <si>
    <t>AKL_07</t>
  </si>
  <si>
    <t>policyDXP1</t>
  </si>
  <si>
    <t>policyDXP2</t>
  </si>
  <si>
    <t>policyDXP3</t>
  </si>
  <si>
    <t>policyDXP4</t>
  </si>
  <si>
    <t>policyDXP5</t>
  </si>
  <si>
    <t>policyDXP6</t>
  </si>
  <si>
    <t>policyDXP7</t>
  </si>
  <si>
    <t>policyDXP8</t>
  </si>
  <si>
    <t xml:space="preserve">_res_.$Formula$CapCup.$Formula$PreviousAnnualisedCustomerPremium </t>
  </si>
  <si>
    <t>previousAnnualisedCustomerPremium</t>
  </si>
  <si>
    <t>totalUndiscountedCustomerPremium</t>
  </si>
  <si>
    <t>previousUndiscountedCustomerPremium</t>
  </si>
  <si>
    <t>totalCustomerPremiumAfterDiscount</t>
  </si>
  <si>
    <t>_res_.$Formula$GrossCustomerPremiumAfterCappingCupping</t>
  </si>
  <si>
    <t>vehicle.geographicBlob.mtrRateRgn</t>
  </si>
  <si>
    <t>vehicle.geographicBlob.perturbtn</t>
  </si>
  <si>
    <t>vehicle.geographicBlob.dwi[0].mDWIVehID</t>
  </si>
  <si>
    <t>vehicle.geographicBlob.dwi[0].mDWIIncptn</t>
  </si>
  <si>
    <t>vehicle.geographicBlob.dwi[0].mDWIOptimFctr</t>
  </si>
  <si>
    <t>vehicle.geographicBlob.dwi[1].mDWIVehID</t>
  </si>
  <si>
    <t>vehicle.geographicBlob.dwi[1].mDWIIncptn</t>
  </si>
  <si>
    <t>vehicle.geographicBlob.dwi[1].mDWIOptimFctr</t>
  </si>
  <si>
    <t>vehicle.geographicBlob.dwi[2].mDWIVehID</t>
  </si>
  <si>
    <t>vehicle.geographicBlob.dwi[2].mDWIIncptn</t>
  </si>
  <si>
    <t>vehicle.geographicBlob.dwi[2].mDWIOptimFctr</t>
  </si>
  <si>
    <t>drivers[0].driverId</t>
  </si>
  <si>
    <t>drivers[0].driverDateOfBirth</t>
  </si>
  <si>
    <t>drivers[0].gender</t>
  </si>
  <si>
    <t>drivers[0].useType</t>
  </si>
  <si>
    <t>drivers[0].licenseYears</t>
  </si>
  <si>
    <t>drivers[1].driverId</t>
  </si>
  <si>
    <t>drivers[1].driverDateOfBirth</t>
  </si>
  <si>
    <t>drivers[1].gender</t>
  </si>
  <si>
    <t>drivers[1].useType</t>
  </si>
  <si>
    <t>drivers[1].licenseYears</t>
  </si>
  <si>
    <t>drivers[2].driverId</t>
  </si>
  <si>
    <t>drivers[2].driverDateOfBirth</t>
  </si>
  <si>
    <t>drivers[2].gender</t>
  </si>
  <si>
    <t>drivers[2].useType</t>
  </si>
  <si>
    <t>drivers[2].licenseYears</t>
  </si>
  <si>
    <t>drivers[3].driverId</t>
  </si>
  <si>
    <t>drivers[3].driverDateOfBirth</t>
  </si>
  <si>
    <t>drivers[3].gender</t>
  </si>
  <si>
    <t>drivers[3].useType</t>
  </si>
  <si>
    <t>drivers[3].licenseYears</t>
  </si>
  <si>
    <t>drivers[4].driverId</t>
  </si>
  <si>
    <t>drivers[4].driverDateOfBirth</t>
  </si>
  <si>
    <t>drivers[4].gender</t>
  </si>
  <si>
    <t>drivers[4].useType</t>
  </si>
  <si>
    <t>drivers[4].licenseYears</t>
  </si>
  <si>
    <t>moved drivers on Policy level</t>
  </si>
  <si>
    <t>Comp_Market</t>
  </si>
  <si>
    <t>TPO</t>
  </si>
  <si>
    <t>CMT</t>
  </si>
  <si>
    <t>VehicleTrailers</t>
  </si>
  <si>
    <t>AccessoriesAndModifications</t>
  </si>
  <si>
    <t>VehicleSignwritingCoverage</t>
  </si>
  <si>
    <t>NZVNISS2011AEAO</t>
  </si>
  <si>
    <t>NZVMITS2004AECD</t>
  </si>
  <si>
    <t>NZVHOND2003AECR</t>
  </si>
  <si>
    <t>NZVHYUN2005AEBE</t>
  </si>
  <si>
    <r>
      <t xml:space="preserve">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policyData21dataSet</t>
    </r>
  </si>
  <si>
    <t>&gt;policyData21dataSet</t>
  </si>
  <si>
    <r>
      <rPr>
        <sz val="10"/>
        <color theme="0" tint="-0.34998626667073579"/>
        <rFont val="Franklin Gothic Book"/>
        <family val="2"/>
      </rPr>
      <t>Test DetermineCapCup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DetermineCapCupTest</t>
    </r>
  </si>
  <si>
    <r>
      <rPr>
        <sz val="10"/>
        <color theme="0" tint="-0.34998626667073579"/>
        <rFont val="Franklin Gothic Book"/>
        <family val="2"/>
      </rPr>
      <t>Test InflationFactor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InflationFactorTest</t>
    </r>
  </si>
  <si>
    <t>Date</t>
  </si>
  <si>
    <r>
      <rPr>
        <sz val="10"/>
        <color theme="0" tint="-0.34998626667073579"/>
        <rFont val="Franklin Gothic Book"/>
        <family val="2"/>
      </rPr>
      <t>Test PackageDiscount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PackageDiscountTest</t>
    </r>
  </si>
  <si>
    <t>Packages Held</t>
  </si>
  <si>
    <r>
      <rPr>
        <sz val="10"/>
        <color theme="0" tint="-0.34998626667073579"/>
        <rFont val="Franklin Gothic Book"/>
        <family val="2"/>
      </rPr>
      <t>Test CampaignDiscountPercent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CampaignDiscountPercentTest</t>
    </r>
  </si>
  <si>
    <t>Campaign code</t>
  </si>
  <si>
    <t>pressy1706</t>
  </si>
  <si>
    <r>
      <rPr>
        <sz val="10"/>
        <color theme="0" tint="-0.34998626667073579"/>
        <rFont val="Franklin Gothic Book"/>
        <family val="2"/>
      </rPr>
      <t>Test CampaignDiscountAbsolute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CampaignDiscountAbsoluteTest</t>
    </r>
  </si>
  <si>
    <r>
      <rPr>
        <sz val="10"/>
        <color theme="0" tint="-0.34998626667073579"/>
        <rFont val="Franklin Gothic Book"/>
        <family val="2"/>
      </rPr>
      <t>Test MultiplicativeBase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MultiplicativeBaseTest</t>
    </r>
  </si>
  <si>
    <t>Plan Name</t>
  </si>
  <si>
    <r>
      <rPr>
        <sz val="10"/>
        <color theme="0" tint="-0.34998626667073579"/>
        <rFont val="Franklin Gothic Book"/>
        <family val="2"/>
      </rPr>
      <t>Test ParkingTypeFactor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ParkingTypeFactorTest</t>
    </r>
  </si>
  <si>
    <t>parkingType</t>
  </si>
  <si>
    <t>Parking Type</t>
  </si>
  <si>
    <t>CRPRTN</t>
  </si>
  <si>
    <t>DRWWYN</t>
  </si>
  <si>
    <t>LCKWKPM</t>
  </si>
  <si>
    <t>SCRPRK</t>
  </si>
  <si>
    <r>
      <rPr>
        <sz val="10"/>
        <color theme="0" tint="-0.34998626667073579"/>
        <rFont val="Franklin Gothic Book"/>
        <family val="2"/>
      </rPr>
      <t>Test CoverList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CoverListTest</t>
    </r>
  </si>
  <si>
    <t>Plan</t>
  </si>
  <si>
    <r>
      <rPr>
        <sz val="10"/>
        <color theme="0" tint="-0.34998626667073579"/>
        <rFont val="Franklin Gothic Book"/>
        <family val="2"/>
      </rPr>
      <t>Test NCDInterpolation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NCDInterpolationTest</t>
    </r>
  </si>
  <si>
    <t>agedClaims</t>
  </si>
  <si>
    <t>Aged Claims</t>
  </si>
  <si>
    <t>twr_online</t>
  </si>
  <si>
    <t>SPTEVT</t>
  </si>
  <si>
    <t>MTB</t>
  </si>
  <si>
    <t>policy1mtb</t>
  </si>
  <si>
    <t>policy2mtb</t>
  </si>
  <si>
    <t>policy3mtb</t>
  </si>
  <si>
    <t>policy4mtb</t>
  </si>
  <si>
    <r>
      <rPr>
        <sz val="10"/>
        <color theme="0" tint="-0.34998626667073579"/>
        <rFont val="Franklin Gothic Book"/>
        <family val="2"/>
      </rPr>
      <t>Test ClaimsCount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ClaimsCountTest</t>
    </r>
  </si>
  <si>
    <t>_res_.$Formula$ClaimsCurrentYear_1</t>
  </si>
  <si>
    <t>_res_.$Formula$ClaimsPreviousYear_2</t>
  </si>
  <si>
    <t>_res_.$Formula$ClaimsPreviousYear_3</t>
  </si>
  <si>
    <t>lossDamages[0].lossDamageYear</t>
  </si>
  <si>
    <t>lossDamages[0].lossDamageType</t>
  </si>
  <si>
    <t>lossDamages[1].lossDamageYear</t>
  </si>
  <si>
    <t>lossDamages[1].lossDamageType</t>
  </si>
  <si>
    <t>lossDamages[2].lossDamageYear</t>
  </si>
  <si>
    <t>lossDamages[2].lossDamageType</t>
  </si>
  <si>
    <t>WDBK</t>
  </si>
  <si>
    <t>COLEP</t>
  </si>
  <si>
    <t>COLNOP</t>
  </si>
  <si>
    <t>DWPUTP</t>
  </si>
  <si>
    <t>lossDamages[3].lossDamageYear</t>
  </si>
  <si>
    <t>lossDamages[3].lossDamageType</t>
  </si>
  <si>
    <t>lossDamages[4].lossDamageYear</t>
  </si>
  <si>
    <t>lossDamages[4].lossDamageType</t>
  </si>
  <si>
    <t>DWPKTP</t>
  </si>
  <si>
    <t>VHLF</t>
  </si>
  <si>
    <t>lossDamages[5].lossDamageYear</t>
  </si>
  <si>
    <t>lossDamages[5].lossDamageType</t>
  </si>
  <si>
    <t>MLDG</t>
  </si>
  <si>
    <t>THEFT</t>
  </si>
  <si>
    <t>NTRDST</t>
  </si>
  <si>
    <t>lossDamages[6].lossDamageYear</t>
  </si>
  <si>
    <t>lossDamages[6].lossDamageType</t>
  </si>
  <si>
    <t>Policy Effective Date</t>
  </si>
  <si>
    <t>Claims Current Year [-1]</t>
  </si>
  <si>
    <t>Claims Previous Year [-2]</t>
  </si>
  <si>
    <t>Claims Previous Year [-3]</t>
  </si>
  <si>
    <t>lossDamages[0].driverLossExcessPaid</t>
  </si>
  <si>
    <t>lossDamages[1].driverLossExcessPaid</t>
  </si>
  <si>
    <t>lossDamages[2].driverLossExcessPaid</t>
  </si>
  <si>
    <t>lossDamages[3].driverLossExcessPaid</t>
  </si>
  <si>
    <t>lossDamages[4].driverLossExcessPaid</t>
  </si>
  <si>
    <t>lossDamages[5].driverLossExcessPaid</t>
  </si>
  <si>
    <t>lossDamages[6].driverLossExcessPaid</t>
  </si>
  <si>
    <t>vehicle.optionalCoverages[1].limitDisplay</t>
  </si>
  <si>
    <t>Calc</t>
  </si>
  <si>
    <t>RETURN</t>
  </si>
  <si>
    <t>= policyData["policy2"]</t>
  </si>
  <si>
    <t>drivers[0].lossDamages[0].lossDamageYear</t>
  </si>
  <si>
    <t>drivers[0].lossDamages[0].lossDamageType</t>
  </si>
  <si>
    <t>drivers[0].lossDamages[0].driverLossExcessPaid</t>
  </si>
  <si>
    <t>drivers[1].lossDamages[0].lossDamageYear</t>
  </si>
  <si>
    <t>drivers[1].lossDamages[0].lossDamageType</t>
  </si>
  <si>
    <t>drivers[1].lossDamages[0].driverLossExcessPaid</t>
  </si>
  <si>
    <t>drivers[0].lossDamages[1].lossDamageYear</t>
  </si>
  <si>
    <t>drivers[0].lossDamages[1].lossDamageType</t>
  </si>
  <si>
    <t>drivers[0].lossDamages[1].driverLossExcessPaid</t>
  </si>
  <si>
    <t>29/10/2018</t>
  </si>
  <si>
    <t>remane file</t>
  </si>
  <si>
    <t>model</t>
  </si>
  <si>
    <t>PMT,CMT,MTB-rules-01012017-01012017</t>
  </si>
  <si>
    <t>_context_.lob</t>
  </si>
  <si>
    <t>lob</t>
  </si>
  <si>
    <r>
      <rPr>
        <sz val="10"/>
        <color theme="0" tint="-0.34998626667073579"/>
        <rFont val="Franklin Gothic Book"/>
        <family val="2"/>
      </rPr>
      <t>Test CoverTypeFactor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rFont val="Franklin Gothic Book"/>
        <family val="2"/>
      </rPr>
      <t>CoverTypeFactorTest</t>
    </r>
  </si>
  <si>
    <t>Duration</t>
  </si>
  <si>
    <t>id</t>
  </si>
  <si>
    <t>id2</t>
  </si>
  <si>
    <t>id5</t>
  </si>
  <si>
    <t>id6</t>
  </si>
  <si>
    <t>added Duration test, OptimizationFactor test</t>
  </si>
  <si>
    <t>vehicle</t>
  </si>
  <si>
    <t>_res_.$Formula$Duration_DWI</t>
  </si>
  <si>
    <t>_res_.$Formula$OptimisationFactor</t>
  </si>
  <si>
    <t>&gt;vehicleData</t>
  </si>
  <si>
    <t>id1</t>
  </si>
  <si>
    <t>id3</t>
  </si>
  <si>
    <t>id4</t>
  </si>
  <si>
    <r>
      <t xml:space="preserve">Data </t>
    </r>
    <r>
      <rPr>
        <b/>
        <sz val="10"/>
        <rFont val="Franklin Gothic Book"/>
        <family val="2"/>
      </rPr>
      <t>Vehicle</t>
    </r>
    <r>
      <rPr>
        <sz val="10"/>
        <color theme="0" tint="-0.34998626667073579"/>
        <rFont val="Franklin Gothic Book"/>
        <family val="2"/>
      </rPr>
      <t xml:space="preserve"> vehicleData</t>
    </r>
  </si>
  <si>
    <t>vehicleBlob.Id</t>
  </si>
  <si>
    <t>vehicleBlob.vehicleIdentifier</t>
  </si>
  <si>
    <t>id7</t>
  </si>
  <si>
    <t>vehicleBlob.CarGrp</t>
  </si>
  <si>
    <t>vehicleBlob.carGroup</t>
  </si>
  <si>
    <t>vehicleBlob.VehVal</t>
  </si>
  <si>
    <t xml:space="preserve">vehicleBlob.vehicleValue </t>
  </si>
  <si>
    <t>vehicleBlob.GlassGrp</t>
  </si>
  <si>
    <t>vehicleBlob.glassCostGroup</t>
  </si>
  <si>
    <t>ID5</t>
  </si>
  <si>
    <t>geographicBlob.dwi[3].mDWIVehID</t>
  </si>
  <si>
    <t>geographicBlob.dwi[3].mDWIIncptn</t>
  </si>
  <si>
    <t>geographicBlob.dwi[3].mDWIOptimFctr</t>
  </si>
  <si>
    <t>geographicBlob.dwi[4].mDWIVehID</t>
  </si>
  <si>
    <t>ID4</t>
  </si>
  <si>
    <t>geographicBlob.dwi[4].mDWIIncptn</t>
  </si>
  <si>
    <t>geographicBlob.dwi[4].mDWIOptimFctr</t>
  </si>
  <si>
    <t>geographicBlob.dwi[5].mDWIVehID</t>
  </si>
  <si>
    <t>geographicBlob.dwi[5].mDWIIncptn</t>
  </si>
  <si>
    <t>geographicBlob.dwi[5].mDWIOptimFctr</t>
  </si>
  <si>
    <r>
      <t xml:space="preserve">Data </t>
    </r>
    <r>
      <rPr>
        <b/>
        <sz val="10"/>
        <rFont val="Franklin Gothic Book"/>
        <family val="2"/>
      </rPr>
      <t>Dwi</t>
    </r>
    <r>
      <rPr>
        <sz val="10"/>
        <color theme="0" tint="-0.34998626667073579"/>
        <rFont val="Franklin Gothic Book"/>
        <family val="2"/>
      </rPr>
      <t xml:space="preserve"> dwiData</t>
    </r>
  </si>
  <si>
    <t>mDWIVehID</t>
  </si>
  <si>
    <t>mDWIIncptn</t>
  </si>
  <si>
    <t>mDWIOptimFctr</t>
  </si>
  <si>
    <t>LOB</t>
  </si>
  <si>
    <r>
      <t>//</t>
    </r>
    <r>
      <rPr>
        <sz val="10"/>
        <color theme="0" tint="-0.34998626667073579"/>
        <rFont val="Franklin Gothic Book"/>
        <family val="2"/>
      </rPr>
      <t>Test PolicyPremium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PolicyPremiumTest</t>
    </r>
  </si>
  <si>
    <r>
      <rPr>
        <sz val="10"/>
        <color theme="0" tint="-0.34998626667073579"/>
        <rFont val="Franklin Gothic Book"/>
        <family val="2"/>
      </rPr>
      <t xml:space="preserve">Test OptimisationDurationFactor </t>
    </r>
    <r>
      <rPr>
        <b/>
        <sz val="11"/>
        <rFont val="Franklin Gothic Book"/>
        <family val="2"/>
      </rPr>
      <t>OptimisationDurationFactorTest</t>
    </r>
  </si>
  <si>
    <t>male</t>
  </si>
  <si>
    <t>nonBinary</t>
  </si>
  <si>
    <t>female</t>
  </si>
  <si>
    <r>
      <t xml:space="preserve">//Run </t>
    </r>
    <r>
      <rPr>
        <b/>
        <sz val="10"/>
        <rFont val="Franklin Gothic Book"/>
        <family val="2"/>
      </rPr>
      <t>DeterminePolicyPremiumVariation</t>
    </r>
  </si>
  <si>
    <t>= policyData["policy1"]</t>
  </si>
  <si>
    <t>Spreadsheet Policy getPolicyPMT(String id)</t>
  </si>
  <si>
    <t>Spreadsheet Policy getPolicyCMT(String id)</t>
  </si>
  <si>
    <r>
      <t xml:space="preserve">Run </t>
    </r>
    <r>
      <rPr>
        <b/>
        <sz val="10"/>
        <rFont val="Franklin Gothic Book"/>
        <family val="2"/>
      </rPr>
      <t xml:space="preserve"> DeterminePolicyPremiums</t>
    </r>
  </si>
  <si>
    <t>geographicBlob.dwi[0].mDWIAgent</t>
  </si>
  <si>
    <t>tsb_main</t>
  </si>
  <si>
    <t>twr_phone</t>
  </si>
  <si>
    <t>tsb_botany</t>
  </si>
  <si>
    <t>geographicBlob.dwi[1].mDWIAgent</t>
  </si>
  <si>
    <t>first_creditunion</t>
  </si>
  <si>
    <t>tsb_hamilton</t>
  </si>
  <si>
    <t>geographicBlob.dwi[2].mDWIAgent</t>
  </si>
  <si>
    <t>GRM_tap</t>
  </si>
  <si>
    <t>twr_nzhl</t>
  </si>
  <si>
    <t>geographicBlob.dwi[3].mDWIAgent</t>
  </si>
  <si>
    <t>Kiwibank</t>
  </si>
  <si>
    <t>geographicBlob.dwi[4].mDWIAgent</t>
  </si>
  <si>
    <t>geographicBlob.dwi[5].mDWIAgent</t>
  </si>
  <si>
    <t>Policy Producer Cd</t>
  </si>
  <si>
    <t>Policy Type</t>
  </si>
  <si>
    <t>PolicyVariations</t>
  </si>
  <si>
    <t>MD</t>
  </si>
  <si>
    <t>OCNEP</t>
  </si>
  <si>
    <t>QAG</t>
  </si>
  <si>
    <t>rateEffectiveDate</t>
  </si>
  <si>
    <t>vehicle.geographicBlob.dwi[0].mDWIAgent</t>
  </si>
  <si>
    <t>vehicle.geographicBlob.dwi[1].mDWIAgent</t>
  </si>
  <si>
    <t>vehicle.geographicBlob.dwi[2].mDWIAgent</t>
  </si>
  <si>
    <t>NZVNISS2004AEGV</t>
  </si>
  <si>
    <t>twr_fintel</t>
  </si>
  <si>
    <t>vehicle.geographicBlob.dwi[3].mDWIAgent</t>
  </si>
  <si>
    <t>vehicle.geographicBlob.dwi[3].mDWIVehID</t>
  </si>
  <si>
    <t>vehicle.geographicBlob.dwi[3].mDWIIncptn</t>
  </si>
  <si>
    <t>vehicle.geographicBlob.dwi[3].mDWIOptimFctr</t>
  </si>
  <si>
    <t>vehicle.geographicBlob.dwi[4].mDWIAgent</t>
  </si>
  <si>
    <t>vehicle.geographicBlob.dwi[4].mDWIVehID</t>
  </si>
  <si>
    <t>vehicle.geographicBlob.dwi[4].mDWIIncptn</t>
  </si>
  <si>
    <t>vehicle.geographicBlob.dwi[4].mDWIOptimFctr</t>
  </si>
  <si>
    <t>vehicle.geographicBlob.dwi[5].mDWIAgent</t>
  </si>
  <si>
    <t>vehicle.geographicBlob.dwi[5].mDWIVehID</t>
  </si>
  <si>
    <t>vehicle.geographicBlob.dwi[5].mDWIIncptn</t>
  </si>
  <si>
    <t>vehicle.geographicBlob.dwi[5].mDWIOptimFctr</t>
  </si>
  <si>
    <t>NZVTOYO2002AEIJ</t>
  </si>
  <si>
    <t>ROTO05</t>
  </si>
  <si>
    <t>NZVBMW_2005AEAA</t>
  </si>
  <si>
    <t>vehicle.agreedValue</t>
  </si>
  <si>
    <t>vehicle.marketValue</t>
  </si>
  <si>
    <t>7500</t>
  </si>
  <si>
    <r>
      <t xml:space="preserve">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policyDataVar</t>
    </r>
  </si>
  <si>
    <t>policy1var1</t>
  </si>
  <si>
    <t>policy1var2</t>
  </si>
  <si>
    <t>policy1var19</t>
  </si>
  <si>
    <t>policy2var1</t>
  </si>
  <si>
    <t>policy2var2</t>
  </si>
  <si>
    <t>policy2var3</t>
  </si>
  <si>
    <t>policy2var14</t>
  </si>
  <si>
    <t>policy67</t>
  </si>
  <si>
    <t>policy67var1</t>
  </si>
  <si>
    <t>vehicle.optionalCoverages[0].limit</t>
  </si>
  <si>
    <t xml:space="preserve"> </t>
  </si>
  <si>
    <t>&gt;policyDataVar</t>
  </si>
  <si>
    <t>Total Premium</t>
  </si>
  <si>
    <t>_res_.$Formula$CompanyPremium</t>
  </si>
  <si>
    <t>NegativeMTB</t>
  </si>
  <si>
    <t>twr_staff</t>
  </si>
  <si>
    <t>NZVHOND1997ABTW</t>
  </si>
  <si>
    <r>
      <t xml:space="preserve">Run </t>
    </r>
    <r>
      <rPr>
        <b/>
        <sz val="10"/>
        <rFont val="Franklin Gothic Book"/>
        <family val="2"/>
      </rPr>
      <t xml:space="preserve">PolicyPremium </t>
    </r>
    <r>
      <rPr>
        <sz val="10"/>
        <color theme="0" tint="-0.34998626667073579"/>
        <rFont val="Franklin Gothic Book"/>
        <family val="2"/>
      </rPr>
      <t>DeterminePolicyPremiumRun</t>
    </r>
  </si>
  <si>
    <t>policy1testVar</t>
  </si>
  <si>
    <r>
      <t xml:space="preserve">Run </t>
    </r>
    <r>
      <rPr>
        <b/>
        <sz val="10"/>
        <rFont val="Franklin Gothic Book"/>
        <family val="2"/>
      </rPr>
      <t xml:space="preserve"> VariatePolicyPremiums test1</t>
    </r>
  </si>
  <si>
    <t xml:space="preserve">VehicleSignwritingCoverage </t>
  </si>
  <si>
    <t>policy1testVar9</t>
  </si>
  <si>
    <t>policy1testVar18</t>
  </si>
  <si>
    <t>policy2testVar</t>
  </si>
  <si>
    <t>policy2testVar5</t>
  </si>
  <si>
    <t xml:space="preserve">VehicleRoadWiseBenefit </t>
  </si>
  <si>
    <t>policy3testVar</t>
  </si>
  <si>
    <t>750</t>
  </si>
  <si>
    <t>400</t>
  </si>
  <si>
    <t>1000</t>
  </si>
  <si>
    <t>1500</t>
  </si>
  <si>
    <t>P00000000144</t>
  </si>
  <si>
    <t>TMI_Agency</t>
  </si>
  <si>
    <t>vOip9QArQzvZ2xnkjdtCnA</t>
  </si>
  <si>
    <t>policy68</t>
  </si>
  <si>
    <r>
      <t xml:space="preserve">Run </t>
    </r>
    <r>
      <rPr>
        <b/>
        <sz val="10"/>
        <rFont val="Franklin Gothic Book"/>
        <family val="2"/>
      </rPr>
      <t>VariatePolicyPremiums</t>
    </r>
  </si>
  <si>
    <t>Marta</t>
  </si>
  <si>
    <t>added test scenario to verify that no variations are calculated for MTB</t>
  </si>
  <si>
    <r>
      <rPr>
        <sz val="10"/>
        <color theme="0" tint="-0.34998626667073579"/>
        <rFont val="Franklin Gothic Book"/>
        <family val="2"/>
      </rPr>
      <t>Test PolicyPremium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PolicyPremium21datasetTest</t>
    </r>
  </si>
  <si>
    <t>_res_.$Formula$PolicyPremium.mainCoverage</t>
  </si>
  <si>
    <t>_res_.$Formula$PolicyPremium.roadSideCoverage</t>
  </si>
  <si>
    <t>Main Coverage</t>
  </si>
  <si>
    <t>RoadSide Coverage</t>
  </si>
  <si>
    <t>Company Premium</t>
  </si>
  <si>
    <t>39.13</t>
  </si>
  <si>
    <t>31.3</t>
  </si>
  <si>
    <t>35.22</t>
  </si>
  <si>
    <r>
      <rPr>
        <sz val="10"/>
        <color theme="0" tint="-0.34998626667073579"/>
        <rFont val="Franklin Gothic Book"/>
        <family val="2"/>
      </rPr>
      <t>Test PolicyPremium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PolicyPremiumTest</t>
    </r>
  </si>
  <si>
    <t>_res_.$Formula$BillablePremium</t>
  </si>
  <si>
    <t>Billable Premium</t>
  </si>
  <si>
    <t>_context_.requestDate</t>
  </si>
  <si>
    <t>Request Date</t>
  </si>
  <si>
    <t>added PolicyPremiumTest to test rules versioning</t>
  </si>
  <si>
    <r>
      <rPr>
        <sz val="10"/>
        <color theme="0" tint="-0.34998626667073579"/>
        <rFont val="Franklin Gothic Book"/>
        <family val="2"/>
      </rPr>
      <t>Test PolicyPremium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PolicyPremiumTestVar</t>
    </r>
  </si>
  <si>
    <t>requestDate</t>
  </si>
  <si>
    <t>P00000002860</t>
  </si>
  <si>
    <t>isMOVQWBOWtIBga0Rq1HlA</t>
  </si>
  <si>
    <t>Tower_Agency</t>
  </si>
  <si>
    <t>Request</t>
  </si>
  <si>
    <t>P00000002860_1</t>
  </si>
  <si>
    <t>null</t>
  </si>
  <si>
    <t>P00000002860_2</t>
  </si>
  <si>
    <t>31.31</t>
  </si>
  <si>
    <t>driver12172018</t>
  </si>
  <si>
    <t>005</t>
  </si>
  <si>
    <t>policy12172018_1</t>
  </si>
  <si>
    <t>policy12172018_2</t>
  </si>
  <si>
    <t>policy12172018_3</t>
  </si>
  <si>
    <r>
      <rPr>
        <sz val="10"/>
        <color theme="0" tint="-0.34998626667073579"/>
        <rFont val="Franklin Gothic Book"/>
        <family val="2"/>
      </rPr>
      <t>Test makeDXPVariations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makeDXPVariationsTest</t>
    </r>
  </si>
  <si>
    <t>origin</t>
  </si>
  <si>
    <t>_res_[0].planName</t>
  </si>
  <si>
    <t>_res_[0].vehicle.optionalCoverages[0].coverageName</t>
  </si>
  <si>
    <t>_res_[0].vehicle.optionalCoverages[1].coverageName</t>
  </si>
  <si>
    <t>_res_[1].vehicle.optionalCoverages[0].coverageName</t>
  </si>
  <si>
    <t>_res_[1].vehicle.optionalCoverages[1].coverageName</t>
  </si>
  <si>
    <t>_res_[1].planName</t>
  </si>
  <si>
    <t>_res_[2].vehicle.optionalCoverages[0].coverageName</t>
  </si>
  <si>
    <t>_res_[2].planName</t>
  </si>
  <si>
    <t>_res_[3].vehicle.optionalCoverages[0].coverageName</t>
  </si>
  <si>
    <t>_res_[3].planName</t>
  </si>
  <si>
    <t>_res_[4].vehicle.optionalCoverages[0].coverageName</t>
  </si>
  <si>
    <t>_res_[4].vehicle.optionalCoverages[1].coverageName</t>
  </si>
  <si>
    <t>_res_[4].planName</t>
  </si>
  <si>
    <t>_res_[5].vehicle.optionalCoverages[0].coverageName</t>
  </si>
  <si>
    <t>_res_[5].planName</t>
  </si>
  <si>
    <t>_res_[6].vehicle.optionalCoverages[0].coverageName</t>
  </si>
  <si>
    <t>_res_[6].planName</t>
  </si>
  <si>
    <t>_res_[7].planName</t>
  </si>
  <si>
    <t>_res_[8].vehicle.optionalCoverages[0].coverageName</t>
  </si>
  <si>
    <t>_res_[8].vehicle.optionalCoverages[1].coverageName</t>
  </si>
  <si>
    <t>_res_[8].planName</t>
  </si>
  <si>
    <t>_res_[9].vehicle.optionalCoverages[0].coverageName</t>
  </si>
  <si>
    <t>_res_[9].planName</t>
  </si>
  <si>
    <t>_res_[10].vehicle.optionalCoverages[0].coverageName</t>
  </si>
  <si>
    <t>_res_[10].planName</t>
  </si>
  <si>
    <t>_res_[11].planName</t>
  </si>
  <si>
    <t>_res_[12].vehicle.optionalCoverages[0].coverageName</t>
  </si>
  <si>
    <t>_res_[12].vehicle.optionalCoverages[1].coverageName</t>
  </si>
  <si>
    <t>_res_[12].planName</t>
  </si>
  <si>
    <t>_res_[13].vehicle.optionalCoverages[0].coverageName</t>
  </si>
  <si>
    <t>_res_[13].planName</t>
  </si>
  <si>
    <t>policy12182018</t>
  </si>
  <si>
    <t>_res_[0].vehicle.optionalCoverages[2].coverageName</t>
  </si>
  <si>
    <t>_res_[0].vehicle.optionalCoverages[3].coverageName</t>
  </si>
  <si>
    <t>_res_[1].vehicle.optionalCoverages[2].coverageName</t>
  </si>
  <si>
    <t>_res_[2].vehicle.optionalCoverages[1].coverageName</t>
  </si>
  <si>
    <t>_res_[2].vehicle.optionalCoverages[2].coverageName</t>
  </si>
  <si>
    <t>_res_[3].vehicle.optionalCoverages[1].coverageName</t>
  </si>
  <si>
    <t>_res_[4].vehicle.optionalCoverages[2].coverageName</t>
  </si>
  <si>
    <t>_res_[5].vehicle.optionalCoverages[1].coverageName</t>
  </si>
  <si>
    <t>_res_[6].vehicle.optionalCoverages[1].coverageName</t>
  </si>
  <si>
    <t>_res_[7].vehicle.optionalCoverages[0].coverageName</t>
  </si>
  <si>
    <t>_res_[8].vehicle.optionalCoverages[2].coverageName</t>
  </si>
  <si>
    <t>_res_[9].vehicle.optionalCoverages[1].coverageName</t>
  </si>
  <si>
    <t>_res_[10].vehicle.optionalCoverages[1].coverageName</t>
  </si>
  <si>
    <t>_res_[11].vehicle.optionalCoverages[0].coverageName</t>
  </si>
  <si>
    <t>_res_[14].planName</t>
  </si>
  <si>
    <t>_res_[14].vehicle.optionalCoverages[0].coverageName</t>
  </si>
  <si>
    <t>_res_[15].planName</t>
  </si>
  <si>
    <t>_res_[15].vehicle.optionalCoverages[0].coverageName</t>
  </si>
  <si>
    <t>_res_[16].planName</t>
  </si>
  <si>
    <t>_res_[16].vehicle.optionalCoverages[0].coverageName</t>
  </si>
  <si>
    <t>_res_[16].vehicle.optionalCoverages[1].coverageName</t>
  </si>
  <si>
    <t>_res_[17].planName</t>
  </si>
  <si>
    <t>_res_[17].vehicle.optionalCoverages[0].coverageName</t>
  </si>
  <si>
    <t>Other</t>
  </si>
  <si>
    <t>makeDXPVariationsTest</t>
  </si>
  <si>
    <t>updated OtherSpecified value for limitDisplay to Other in test data</t>
  </si>
  <si>
    <t>test_1.1</t>
  </si>
  <si>
    <t>test_7.1</t>
  </si>
  <si>
    <t>test_25.1</t>
  </si>
  <si>
    <t>test_25.2</t>
  </si>
  <si>
    <t>GRM_Unknown</t>
  </si>
  <si>
    <t>GRM_ICBC</t>
  </si>
  <si>
    <t>vehicle.optionalCoverages[3].limit</t>
  </si>
  <si>
    <t>NZVHOLD2012AEFA</t>
  </si>
  <si>
    <t>NZVSUZU2015ABAS</t>
  </si>
  <si>
    <t>NZVTOYO2007AEDO</t>
  </si>
  <si>
    <t>CNTB22</t>
  </si>
  <si>
    <t>WLGN28</t>
  </si>
  <si>
    <t>OTGO27</t>
  </si>
  <si>
    <t>//67 Carruthers Street, Ilam, Christchurch 8041</t>
  </si>
  <si>
    <t>//53 Strasbourge Street, Martinborough 5711</t>
  </si>
  <si>
    <t>//129 London Street, Dunedin, 9016</t>
  </si>
  <si>
    <r>
      <t xml:space="preserve">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policyDataSIT1</t>
    </r>
  </si>
  <si>
    <r>
      <rPr>
        <sz val="10"/>
        <color theme="0" tint="-0.34998626667073579"/>
        <rFont val="Franklin Gothic Book"/>
        <family val="2"/>
      </rPr>
      <t>Test PolicyPremium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PolicyPremiumTest_SIT1</t>
    </r>
  </si>
  <si>
    <t>&gt;policyDataSIT1</t>
  </si>
  <si>
    <t>56.52</t>
  </si>
  <si>
    <t>_context_.currentDate</t>
  </si>
  <si>
    <t>policy eff date</t>
  </si>
  <si>
    <t>rate request date</t>
  </si>
  <si>
    <t>PMT,CMT,MTB-rules-29012019-29012019</t>
  </si>
  <si>
    <t>PMT,CMT,MTB-rules-31012019-31012019</t>
  </si>
  <si>
    <r>
      <t xml:space="preserve">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policyDataSIT2</t>
    </r>
  </si>
  <si>
    <r>
      <rPr>
        <sz val="10"/>
        <color theme="0" tint="-0.34998626667073579"/>
        <rFont val="Franklin Gothic Book"/>
        <family val="2"/>
      </rPr>
      <t>Test PolicyPremium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PolicyPremiumTest_SIT2</t>
    </r>
  </si>
  <si>
    <t>&gt;policyDataSIT2</t>
  </si>
  <si>
    <t>0.050000000000000044</t>
  </si>
  <si>
    <t>0.15</t>
  </si>
  <si>
    <t>0.23</t>
  </si>
  <si>
    <t>0.3</t>
  </si>
  <si>
    <t>0.35</t>
  </si>
  <si>
    <t>0.325</t>
  </si>
  <si>
    <t>0.025000000000000022</t>
  </si>
  <si>
    <t>0.4</t>
  </si>
  <si>
    <t>0.55</t>
  </si>
  <si>
    <t>0.7</t>
  </si>
  <si>
    <t>0.85</t>
  </si>
  <si>
    <t>1.375</t>
  </si>
  <si>
    <t>1.65</t>
  </si>
  <si>
    <t>1.925</t>
  </si>
  <si>
    <t>2.2</t>
  </si>
  <si>
    <t>2.475</t>
  </si>
  <si>
    <t>2.75</t>
  </si>
  <si>
    <t>5.5</t>
  </si>
  <si>
    <t>13.75</t>
  </si>
  <si>
    <t>27.5</t>
  </si>
  <si>
    <t>82.5</t>
  </si>
  <si>
    <t>137.5</t>
  </si>
  <si>
    <t>274.725</t>
  </si>
  <si>
    <t>74.72</t>
  </si>
  <si>
    <t>15.87</t>
  </si>
  <si>
    <t>27.97</t>
  </si>
  <si>
    <t>100.28</t>
  </si>
  <si>
    <t>44.43</t>
  </si>
  <si>
    <t>100.95</t>
  </si>
  <si>
    <t>1.05</t>
  </si>
  <si>
    <t>-25</t>
  </si>
  <si>
    <t>14.13</t>
  </si>
  <si>
    <t>-1.68</t>
  </si>
  <si>
    <t>29.62</t>
  </si>
  <si>
    <t>-0.84</t>
  </si>
  <si>
    <t>34.38</t>
  </si>
  <si>
    <t>46.91</t>
  </si>
  <si>
    <t>78.21</t>
  </si>
  <si>
    <t>48.86</t>
  </si>
  <si>
    <t>84.08</t>
  </si>
  <si>
    <t>42.5</t>
  </si>
  <si>
    <t>73.8</t>
  </si>
  <si>
    <t>43.86</t>
  </si>
  <si>
    <t>75.17</t>
  </si>
  <si>
    <t>78.93</t>
  </si>
  <si>
    <t>110.23</t>
  </si>
  <si>
    <t>102.87</t>
  </si>
  <si>
    <t>142</t>
  </si>
  <si>
    <t>103.93</t>
  </si>
  <si>
    <t>143.06</t>
  </si>
  <si>
    <t>125.13</t>
  </si>
  <si>
    <t>164.26</t>
  </si>
  <si>
    <t>27.9</t>
  </si>
  <si>
    <t>67.03</t>
  </si>
  <si>
    <t>30.13</t>
  </si>
  <si>
    <t>69.26</t>
  </si>
  <si>
    <t>2509.42</t>
  </si>
  <si>
    <t>56.53</t>
  </si>
  <si>
    <t>0.07343</t>
  </si>
  <si>
    <t>0.15505</t>
  </si>
  <si>
    <t>0.2415</t>
  </si>
  <si>
    <t>0.38266666666666665</t>
  </si>
  <si>
    <t>0.68425</t>
  </si>
  <si>
    <t>0.65835</t>
  </si>
  <si>
    <t>0.8038333333333334</t>
  </si>
  <si>
    <t>1.0765333333333336</t>
  </si>
  <si>
    <t>1.50075</t>
  </si>
  <si>
    <t>1.725</t>
  </si>
  <si>
    <t>Test MultiplicativeBase MultiplicativeBaseTest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</si>
</sst>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5" formatCode="&quot;$&quot;#,##0_);\(&quot;$&quot;#,##0\)"/>
    <numFmt numFmtId="44" formatCode="_(&quot;$&quot;* #,##0.00_);_(&quot;$&quot;* \(#,##0.00\);_(&quot;$&quot;* &quot;-&quot;??_);_(@_)"/>
    <numFmt numFmtId="164" formatCode="dd\ mmm\ yy"/>
    <numFmt numFmtId="165" formatCode="0.0000"/>
    <numFmt numFmtId="166" formatCode="&quot;$&quot;#,##0.00"/>
    <numFmt numFmtId="167" formatCode="d/mm/yyyy;@"/>
    <numFmt numFmtId="168" formatCode="&quot;$&quot;#,##0"/>
    <numFmt numFmtId="169" formatCode="0.00000"/>
  </numFmts>
  <fonts count="31" x14ac:knownFonts="1">
    <font>
      <sz val="11"/>
      <color rgb="000000"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34998626667073579"/>
      <name val="Franklin Gothic Book"/>
      <family val="2"/>
    </font>
    <font>
      <b/>
      <sz val="10"/>
      <name val="Franklin Gothic Book"/>
      <family val="2"/>
    </font>
    <font>
      <sz val="10"/>
      <color rgb="000000" theme="1"/>
      <name val="Franklin Gothic Book"/>
      <family val="2"/>
    </font>
    <font>
      <sz val="9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theme="0" tint="-0.34998626667073579"/>
      <name val="Franklin Gothic Book"/>
      <family val="2"/>
    </font>
    <font>
      <sz val="10"/>
      <color rgb="FFFFFF" theme="0" tint="-0.499984740745262"/>
      <name val="Franklin Gothic Book"/>
      <family val="2"/>
    </font>
    <font>
      <sz val="10"/>
      <color indexed="8"/>
      <name val="Arial"/>
      <family val="2"/>
    </font>
    <font>
      <b/>
      <sz val="10"/>
      <color rgb="000000" theme="1"/>
      <name val="Franklin Gothic Book"/>
      <family val="2"/>
    </font>
    <font>
      <b/>
      <sz val="11"/>
      <name val="Franklin Gothic Book"/>
      <family val="2"/>
    </font>
    <font>
      <u/>
      <sz val="11"/>
      <color theme="10"/>
      <name val="Calibri"/>
      <family val="2"/>
      <scheme val="minor"/>
    </font>
    <font>
      <sz val="10"/>
      <name val="Franklin Gothic Book"/>
      <family val="2"/>
    </font>
    <font>
      <b/>
      <sz val="11"/>
      <color theme="0" tint="-0.34998626667073579"/>
      <name val="Franklin Gothic Book"/>
      <family val="2"/>
    </font>
    <font>
      <b/>
      <sz val="10"/>
      <color theme="0" tint="-0.34998626667073579"/>
      <name val="Franklin Gothic Book"/>
      <family val="2"/>
    </font>
    <font>
      <sz val="10"/>
      <color theme="0" tint="-0.34998626667073579"/>
      <name val="Arial"/>
      <family val="2"/>
      <charset val="204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Franklin Gothic Book"/>
      <family val="2"/>
    </font>
    <font>
      <sz val="10"/>
      <color rgb="FFFF0000"/>
      <name val="Franklin Gothic Book"/>
      <family val="2"/>
    </font>
    <font>
      <b/>
      <sz val="10"/>
      <color rgb="FFFF0000"/>
      <name val="Franklin Gothic Book"/>
      <family val="2"/>
    </font>
    <font>
      <sz val="10"/>
      <color theme="9" tint="-0.249977111117893"/>
      <name val="Franklin Gothic Book"/>
      <family val="2"/>
    </font>
    <font>
      <b/>
      <sz val="10"/>
      <color theme="9" tint="-0.249977111117893"/>
      <name val="Franklin Gothic Book"/>
      <family val="2"/>
    </font>
    <font>
      <sz val="11"/>
      <color rgb="FFFFFF" theme="0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00B0F0"/>
      <name val="Franklin Gothic Book"/>
      <family val="2"/>
    </font>
    <font>
      <b/>
      <sz val="11"/>
      <color theme="1"/>
      <name val="Franklin Gothic Book"/>
      <family val="2"/>
    </font>
    <font>
      <sz val="11"/>
      <name val="Franklin Gothic Book"/>
      <family val="2"/>
    </font>
    <font>
      <sz val="11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"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" theme="0" tint="-0.34998626667073579"/>
        <bgColor indexed="64"/>
      </patternFill>
    </fill>
    <fill>
      <patternFill patternType="solid">
        <fgColor rgb="4F81BD"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6B8B7"/>
      </patternFill>
    </fill>
    <fill>
      <patternFill patternType="solid">
        <fgColor rgb="FFD8E4B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</borders>
  <cellStyleXfs count="13">
    <xf borderId="0" fillId="0" fontId="0" numFmtId="0" xfId="0"/>
    <xf borderId="0" fillId="0" fontId="1" numFmtId="0" xfId="1"/>
    <xf borderId="0" fillId="0" fontId="1" numFmtId="0" xfId="2"/>
    <xf borderId="0" fillId="0" fontId="1" numFmtId="0" xfId="3"/>
    <xf borderId="0" fillId="0" fontId="9" numFmtId="0" xfId="4">
      <alignment vertical="top"/>
    </xf>
    <xf applyAlignment="0" applyBorder="0" applyNumberFormat="0" applyProtection="0" borderId="0" fillId="4" fontId="4" numFmtId="0" xfId="5"/>
    <xf borderId="0" fillId="2" fontId="5" numFmtId="0" xfId="6">
      <alignment horizontal="left"/>
    </xf>
    <xf applyAlignment="0" applyBorder="0" applyFill="0" applyNumberFormat="0" applyProtection="0" borderId="0" fillId="0" fontId="12" numFmtId="0" xfId="7"/>
    <xf borderId="0" fillId="0" fontId="1" numFmtId="0" xfId="8"/>
    <xf borderId="0" fillId="0" fontId="1" numFmtId="0" xfId="9"/>
    <xf applyAlignment="0" applyBorder="0" applyFill="0" applyFont="0" applyProtection="0" borderId="0" fillId="0" fontId="1" numFmtId="44" xfId="10"/>
    <xf applyAlignment="0" applyBorder="0" applyFill="0" applyFont="0" applyProtection="0" borderId="0" fillId="0" fontId="1" numFmtId="9" xfId="11"/>
    <xf borderId="0" fillId="0" fontId="1" numFmtId="0" xfId="12"/>
  </cellStyleXfs>
  <cellXfs count="456">
    <xf borderId="0" fillId="0" fontId="0" numFmtId="0" xfId="0"/>
    <xf applyAlignment="1" applyBorder="1" applyFill="1" applyFont="1" borderId="1" fillId="2" fontId="2" numFmtId="0" xfId="2">
      <alignment horizontal="center" vertical="center"/>
    </xf>
    <xf applyAlignment="1" applyBorder="1" applyFill="1" applyFont="1" borderId="0" fillId="2" fontId="7" numFmtId="0" xfId="1">
      <alignment horizontal="center" wrapText="1"/>
    </xf>
    <xf applyAlignment="1" applyBorder="1" applyFill="1" applyFont="1" borderId="0" fillId="3" fontId="6" numFmtId="0" xfId="2">
      <alignment horizontal="center"/>
    </xf>
    <xf borderId="0" fillId="0" fontId="0" numFmtId="0" xfId="0"/>
    <xf applyBorder="1" applyFill="1" applyFont="1" borderId="0" fillId="2" fontId="8" numFmtId="0" xfId="0"/>
    <xf applyAlignment="1" applyBorder="1" applyFill="1" applyFont="1" borderId="0" fillId="5" fontId="3" numFmtId="0" xfId="5">
      <alignment horizontal="center" vertical="top" wrapText="1"/>
    </xf>
    <xf applyAlignment="1" applyBorder="1" applyFill="1" applyFont="1" borderId="0" fillId="6" fontId="10" numFmtId="0" xfId="5">
      <alignment horizontal="center" vertical="top" wrapText="1"/>
    </xf>
    <xf applyAlignment="1" applyBorder="1" applyFill="1" applyFont="1" applyNumberFormat="1" borderId="2" fillId="2" fontId="8" numFmtId="0" xfId="0">
      <alignment vertical="center" wrapText="1"/>
    </xf>
    <xf applyBorder="1" applyFill="1" applyFont="1" borderId="0" fillId="2" fontId="4" numFmtId="0" xfId="6">
      <alignment horizontal="left"/>
    </xf>
    <xf applyAlignment="1" applyBorder="1" applyFill="1" applyFont="1" borderId="0" fillId="7" fontId="4" numFmtId="0" quotePrefix="1" xfId="0">
      <alignment wrapText="1"/>
    </xf>
    <xf applyBorder="1" applyFill="1" applyFont="1" borderId="4" fillId="2" fontId="4" numFmtId="0" xfId="6">
      <alignment horizontal="left"/>
    </xf>
    <xf applyAlignment="1" applyBorder="1" applyFill="1" applyFont="1" borderId="4" fillId="7" fontId="4" numFmtId="0" quotePrefix="1" xfId="0">
      <alignment wrapText="1"/>
    </xf>
    <xf applyAlignment="1" applyFont="1" borderId="0" fillId="0" fontId="4" numFmtId="0" xfId="0">
      <alignment horizontal="center" vertical="center"/>
    </xf>
    <xf applyAlignment="1" applyBorder="1" applyFont="1" borderId="4" fillId="0" fontId="4" numFmtId="0" xfId="0">
      <alignment horizontal="center" vertical="center"/>
    </xf>
    <xf applyAlignment="1" applyBorder="1" applyFill="1" applyFont="1" borderId="0" fillId="0" fontId="4" numFmtId="0" quotePrefix="1" xfId="0">
      <alignment horizontal="center" vertical="center"/>
    </xf>
    <xf applyAlignment="1" applyFill="1" applyFont="1" borderId="0" fillId="0" fontId="4" numFmtId="0" xfId="0">
      <alignment horizontal="center" vertical="center"/>
    </xf>
    <xf applyAlignment="1" applyBorder="1" applyFill="1" applyFont="1" borderId="4" fillId="0" fontId="4" numFmtId="0" xfId="0">
      <alignment horizontal="center" vertical="center"/>
    </xf>
    <xf applyAlignment="1" applyFill="1" applyFont="1" applyNumberFormat="1" borderId="0" fillId="0" fontId="4" numFmtId="164" xfId="4">
      <alignment horizontal="center" vertical="center"/>
    </xf>
    <xf applyAlignment="1" applyBorder="1" applyFill="1" applyFont="1" applyNumberFormat="1" borderId="4" fillId="0" fontId="4" numFmtId="164" xfId="4">
      <alignment horizontal="center" vertical="center"/>
    </xf>
    <xf applyAlignment="1" borderId="0" fillId="0" fontId="12" numFmtId="0" xfId="7">
      <alignment vertical="center" wrapText="1"/>
    </xf>
    <xf applyAlignment="1" applyFill="1" applyFont="1" applyNumberFormat="1" borderId="0" fillId="0" fontId="4" numFmtId="165" xfId="0">
      <alignment horizontal="center" vertical="center"/>
    </xf>
    <xf applyAlignment="1" applyBorder="1" applyFill="1" applyFont="1" applyNumberFormat="1" borderId="4" fillId="0" fontId="4" numFmtId="165" xfId="0">
      <alignment horizontal="center" vertical="center"/>
    </xf>
    <xf applyAlignment="1" applyFont="1" applyNumberFormat="1" borderId="0" fillId="0" fontId="4" numFmtId="165" xfId="0">
      <alignment horizontal="center" vertical="center"/>
    </xf>
    <xf applyAlignment="1" applyBorder="1" applyFont="1" applyNumberFormat="1" borderId="4" fillId="0" fontId="4" numFmtId="165" xfId="0">
      <alignment horizontal="center" vertical="center"/>
    </xf>
    <xf applyAlignment="1" applyBorder="1" applyFill="1" applyFont="1" borderId="4" fillId="2" fontId="4" numFmtId="0" xfId="0">
      <alignment horizontal="right"/>
    </xf>
    <xf applyBorder="1" applyFill="1" applyFont="1" borderId="4" fillId="8" fontId="10" numFmtId="0" xfId="3"/>
    <xf applyBorder="1" applyFill="1" applyFont="1" borderId="4" fillId="8" fontId="4" numFmtId="0" xfId="3"/>
    <xf applyAlignment="1" applyFill="1" applyFont="1" borderId="0" fillId="2" fontId="4" numFmtId="0" xfId="0">
      <alignment horizontal="right"/>
    </xf>
    <xf applyBorder="1" applyFill="1" applyFont="1" borderId="0" fillId="8" fontId="10" numFmtId="0" xfId="3"/>
    <xf applyBorder="1" applyFill="1" applyFont="1" borderId="0" fillId="8" fontId="4" numFmtId="0" xfId="3"/>
    <xf applyAlignment="1" applyFill="1" applyFont="1" applyNumberFormat="1" borderId="0" fillId="2" fontId="4" numFmtId="14" xfId="0">
      <alignment horizontal="right"/>
    </xf>
    <xf applyAlignment="1" applyBorder="1" applyFill="1" applyFont="1" borderId="5" fillId="8" fontId="3" numFmtId="0" xfId="8">
      <alignment horizontal="left"/>
    </xf>
    <xf applyAlignment="1" applyBorder="1" applyFill="1" applyFont="1" borderId="5" fillId="8" fontId="13" numFmtId="0" xfId="8">
      <alignment horizontal="left"/>
    </xf>
    <xf applyAlignment="1" applyBorder="1" applyFill="1" applyFont="1" borderId="2" fillId="2" fontId="2" numFmtId="0" xfId="8"/>
    <xf applyAlignment="1" applyBorder="1" applyFill="1" applyFont="1" borderId="2" fillId="2" fontId="14" numFmtId="0" xfId="8"/>
    <xf applyBorder="1" applyFill="1" applyFont="1" borderId="5" fillId="8" fontId="10" numFmtId="0" xfId="3"/>
    <xf applyBorder="1" applyFill="1" applyFont="1" borderId="5" fillId="8" fontId="4" numFmtId="0" xfId="3"/>
    <xf applyAlignment="1" applyBorder="1" applyFill="1" applyFont="1" borderId="0" fillId="8" fontId="3" numFmtId="0" xfId="8">
      <alignment horizontal="left"/>
    </xf>
    <xf applyAlignment="1" applyBorder="1" applyFill="1" applyFont="1" borderId="0" fillId="8" fontId="13" numFmtId="0" xfId="8">
      <alignment horizontal="left"/>
    </xf>
    <xf applyBorder="1" borderId="2" fillId="0" fontId="0" numFmtId="0" xfId="0"/>
    <xf applyAlignment="1" applyBorder="1" applyFill="1" applyFont="1" borderId="0" fillId="2" fontId="4" numFmtId="0" xfId="0">
      <alignment horizontal="right"/>
    </xf>
    <xf applyAlignment="1" applyBorder="1" applyFill="1" applyFont="1" borderId="2" fillId="2" fontId="16" numFmtId="0" xfId="8"/>
    <xf applyAlignment="1" applyBorder="1" applyFont="1" applyNumberFormat="1" borderId="0" fillId="0" fontId="4" numFmtId="165" xfId="0">
      <alignment horizontal="center" vertical="center"/>
    </xf>
    <xf applyAlignment="1" applyBorder="1" applyFill="1" applyFont="1" borderId="5" fillId="2" fontId="6" numFmtId="0" xfId="2">
      <alignment horizontal="center"/>
    </xf>
    <xf applyAlignment="1" applyBorder="1" applyFill="1" applyFont="1" applyNumberFormat="1" borderId="0" fillId="0" fontId="13" numFmtId="166" xfId="0">
      <alignment horizontal="center" vertical="center"/>
    </xf>
    <xf applyAlignment="1" applyBorder="1" applyFill="1" applyFont="1" applyNumberFormat="1" borderId="0" fillId="0" fontId="13" numFmtId="165" xfId="0">
      <alignment horizontal="center" vertical="center"/>
    </xf>
    <xf applyAlignment="1" applyBorder="1" applyFill="1" applyFont="1" borderId="0" fillId="6" fontId="10" numFmtId="0" xfId="5">
      <alignment horizontal="center" vertical="center" wrapText="1"/>
    </xf>
    <xf applyAlignment="1" applyFill="1" applyFont="1" applyNumberFormat="1" borderId="0" fillId="2" fontId="4" numFmtId="2" xfId="0">
      <alignment horizontal="right"/>
    </xf>
    <xf applyAlignment="1" borderId="0" fillId="0" fontId="0" numFmtId="0" xfId="0">
      <alignment horizontal="left" vertical="center"/>
    </xf>
    <xf applyAlignment="1" applyBorder="1" applyFill="1" applyFont="1" borderId="0" fillId="8" fontId="4" numFmtId="0" xfId="3">
      <alignment horizontal="left" vertical="center"/>
    </xf>
    <xf applyAlignment="1" applyBorder="1" applyFill="1" applyFont="1" borderId="0" fillId="8" fontId="10" numFmtId="0" xfId="3">
      <alignment horizontal="left" vertical="center"/>
    </xf>
    <xf applyAlignment="1" applyBorder="1" applyFill="1" applyFont="1" borderId="0" fillId="3" fontId="4" numFmtId="0" xfId="2">
      <alignment horizontal="center" vertical="center"/>
    </xf>
    <xf applyAlignment="1" applyBorder="1" applyFill="1" applyFont="1" borderId="0" fillId="0" fontId="4" numFmtId="0" xfId="2">
      <alignment horizontal="center" vertical="center"/>
    </xf>
    <xf applyAlignment="1" applyFont="1" applyNumberFormat="1" borderId="0" fillId="0" fontId="13" numFmtId="165" xfId="0">
      <alignment horizontal="center" vertical="center"/>
    </xf>
    <xf applyAlignment="1" applyFill="1" applyFont="1" borderId="0" fillId="2" fontId="4" numFmtId="0" xfId="0">
      <alignment horizontal="right" vertical="center" wrapText="1"/>
    </xf>
    <xf applyAlignment="1" applyBorder="1" applyFont="1" borderId="0" fillId="0" fontId="4" numFmtId="0" xfId="0">
      <alignment horizontal="center" vertical="center"/>
    </xf>
    <xf applyAlignment="1" applyBorder="1" applyFont="1" borderId="5" fillId="0" fontId="4" numFmtId="0" xfId="0"/>
    <xf applyAlignment="1" applyBorder="1" applyFont="1" borderId="5" fillId="0" fontId="4" numFmtId="0" xfId="0">
      <alignment horizontal="center"/>
    </xf>
    <xf applyBorder="1" borderId="5" fillId="0" fontId="0" numFmtId="0" xfId="0"/>
    <xf applyBorder="1" applyFill="1" applyFont="1" borderId="5" fillId="2" fontId="8" numFmtId="0" xfId="0"/>
    <xf applyBorder="1" applyFill="1" borderId="5" fillId="2" fontId="0" numFmtId="0" xfId="0"/>
    <xf applyAlignment="1" applyBorder="1" applyFill="1" applyFont="1" borderId="4" fillId="2" fontId="7" numFmtId="0" xfId="1">
      <alignment horizontal="center" wrapText="1"/>
    </xf>
    <xf applyBorder="1" applyFill="1" applyFont="1" borderId="4" fillId="2" fontId="8" numFmtId="0" xfId="0"/>
    <xf applyBorder="1" applyFill="1" borderId="4" fillId="2" fontId="0" numFmtId="0" xfId="0"/>
    <xf applyAlignment="1" applyFont="1" applyNumberFormat="1" borderId="0" fillId="0" fontId="4" numFmtId="166" xfId="0">
      <alignment horizontal="center" vertical="center"/>
    </xf>
    <xf applyBorder="1" applyFont="1" borderId="0" fillId="0" fontId="17" numFmtId="0" xfId="0"/>
    <xf applyAlignment="1" applyBorder="1" applyFill="1" applyFont="1" borderId="0" fillId="2" fontId="4" numFmtId="0" xfId="2">
      <alignment horizontal="center"/>
    </xf>
    <xf applyAlignment="1" applyBorder="1" applyFill="1" applyFont="1" borderId="2" fillId="2" fontId="2" numFmtId="0" xfId="2">
      <alignment vertical="center"/>
    </xf>
    <xf applyAlignment="1" borderId="0" fillId="0" fontId="0" numFmtId="0" xfId="0">
      <alignment horizontal="center"/>
    </xf>
    <xf applyAlignment="1" applyFill="1" applyFont="1" applyNumberFormat="1" borderId="0" fillId="2" fontId="4" numFmtId="0" xfId="0">
      <alignment horizontal="right"/>
    </xf>
    <xf applyBorder="1" applyFill="1" borderId="2" fillId="2" fontId="0" numFmtId="0" xfId="0"/>
    <xf applyAlignment="1" applyBorder="1" applyFill="1" applyFont="1" borderId="5" fillId="2" fontId="4" numFmtId="0" xfId="0">
      <alignment horizontal="right"/>
    </xf>
    <xf applyAlignment="1" applyBorder="1" applyFill="1" applyFont="1" borderId="4" fillId="2" fontId="4" numFmtId="0" quotePrefix="1" xfId="0">
      <alignment horizontal="right"/>
    </xf>
    <xf applyAlignment="1" applyBorder="1" applyFill="1" borderId="3" fillId="9" fontId="0" numFmtId="0" xfId="0">
      <alignment wrapText="1"/>
    </xf>
    <xf applyAlignment="1" applyBorder="1" applyFill="1" borderId="3" fillId="10" fontId="0" numFmtId="0" xfId="0">
      <alignment wrapText="1"/>
    </xf>
    <xf applyAlignment="1" applyBorder="1" applyFont="1" borderId="2" fillId="0" fontId="4" numFmtId="0" xfId="0"/>
    <xf applyAlignment="1" applyFill="1" borderId="0" fillId="2" fontId="0" numFmtId="0" xfId="0">
      <alignment horizontal="center"/>
    </xf>
    <xf applyFont="1" borderId="0" fillId="0" fontId="19" numFmtId="0" xfId="0"/>
    <xf applyAlignment="1" applyBorder="1" applyFill="1" applyFont="1" borderId="0" fillId="2" fontId="8" numFmtId="0" xfId="0">
      <alignment horizontal="center"/>
    </xf>
    <xf applyAlignment="1" applyBorder="1" applyFill="1" applyFont="1" borderId="5" fillId="5" fontId="3" numFmtId="0" xfId="5">
      <alignment horizontal="center" vertical="top" wrapText="1"/>
    </xf>
    <xf applyAlignment="1" applyBorder="1" applyFill="1" applyFont="1" borderId="5" fillId="6" fontId="10" numFmtId="0" xfId="5">
      <alignment horizontal="center" vertical="top" wrapText="1"/>
    </xf>
    <xf applyAlignment="1" applyBorder="1" applyFill="1" applyFont="1" applyNumberFormat="1" borderId="0" fillId="0" fontId="4" numFmtId="165" xfId="0">
      <alignment horizontal="center"/>
    </xf>
    <xf applyAlignment="1" applyBorder="1" applyFill="1" applyFont="1" applyNumberFormat="1" borderId="4" fillId="0" fontId="4" numFmtId="165" xfId="0">
      <alignment horizontal="center"/>
    </xf>
    <xf applyAlignment="1" applyBorder="1" applyFill="1" applyFont="1" applyNumberFormat="1" borderId="0" fillId="0" fontId="4" numFmtId="14" xfId="12">
      <alignment horizontal="center"/>
    </xf>
    <xf applyAlignment="1" applyBorder="1" applyFill="1" applyFont="1" applyNumberFormat="1" borderId="4" fillId="0" fontId="4" numFmtId="14" xfId="12">
      <alignment horizontal="center"/>
    </xf>
    <xf applyAlignment="1" applyBorder="1" applyFill="1" applyFont="1" applyNumberFormat="1" borderId="0" fillId="0" fontId="4" numFmtId="0" xfId="12">
      <alignment horizontal="center"/>
    </xf>
    <xf applyAlignment="1" applyBorder="1" applyFill="1" applyFont="1" applyNumberFormat="1" borderId="4" fillId="0" fontId="4" numFmtId="0" xfId="12">
      <alignment horizontal="center"/>
    </xf>
    <xf applyAlignment="1" applyBorder="1" applyFill="1" applyFont="1" applyNumberFormat="1" borderId="0" fillId="0" fontId="4" numFmtId="10" xfId="11">
      <alignment horizontal="center"/>
    </xf>
    <xf applyAlignment="1" applyBorder="1" applyFill="1" applyFont="1" applyNumberFormat="1" borderId="4" fillId="0" fontId="4" numFmtId="10" xfId="11">
      <alignment horizontal="center"/>
    </xf>
    <xf applyAlignment="1" applyBorder="1" applyFill="1" applyFont="1" applyNumberFormat="1" borderId="0" fillId="0" fontId="4" numFmtId="5" xfId="10">
      <alignment horizontal="center"/>
    </xf>
    <xf applyBorder="1" applyFill="1" borderId="4" fillId="0" fontId="0" numFmtId="0" xfId="0"/>
    <xf applyAlignment="1" applyBorder="1" applyFill="1" applyFont="1" applyNumberFormat="1" borderId="4" fillId="0" fontId="4" numFmtId="5" xfId="10">
      <alignment horizontal="center"/>
    </xf>
    <xf applyAlignment="1" applyBorder="1" applyFill="1" applyFont="1" applyNumberFormat="1" borderId="0" fillId="0" fontId="4" numFmtId="168" xfId="0">
      <alignment horizontal="center"/>
    </xf>
    <xf applyAlignment="1" applyBorder="1" applyFill="1" applyFont="1" applyNumberFormat="1" borderId="4" fillId="0" fontId="4" numFmtId="168" xfId="0">
      <alignment horizontal="center"/>
    </xf>
    <xf applyAlignment="1" applyBorder="1" applyFill="1" applyFont="1" borderId="5" fillId="5" fontId="3" numFmtId="0" xfId="0">
      <alignment horizontal="center" vertical="center" wrapText="1"/>
    </xf>
    <xf applyAlignment="1" applyBorder="1" applyFill="1" applyFont="1" borderId="0" fillId="0" fontId="4" numFmtId="0" xfId="4">
      <alignment horizontal="center" vertical="center"/>
    </xf>
    <xf applyAlignment="1" applyBorder="1" applyFill="1" applyFont="1" borderId="0" fillId="0" fontId="4" numFmtId="0" xfId="9">
      <alignment horizontal="center" vertical="center"/>
    </xf>
    <xf applyAlignment="1" applyBorder="1" applyFill="1" borderId="0" fillId="0" fontId="0" numFmtId="0" xfId="0">
      <alignment horizontal="center"/>
    </xf>
    <xf applyAlignment="1" applyBorder="1" applyFill="1" borderId="4" fillId="0" fontId="0" numFmtId="0" xfId="0">
      <alignment horizontal="center"/>
    </xf>
    <xf applyAlignment="1" applyBorder="1" applyFill="1" applyFont="1" borderId="0" fillId="0" fontId="4" numFmtId="0" xfId="4">
      <alignment horizontal="center"/>
    </xf>
    <xf applyAlignment="1" applyBorder="1" applyFill="1" borderId="0" fillId="0" fontId="0" numFmtId="0" xfId="0"/>
    <xf applyAlignment="1" applyBorder="1" applyFill="1" applyFont="1" borderId="0" fillId="0" fontId="4" numFmtId="0" xfId="9">
      <alignment horizontal="center"/>
    </xf>
    <xf applyAlignment="1" applyBorder="1" applyFill="1" applyFont="1" borderId="4" fillId="0" fontId="4" numFmtId="0" xfId="9">
      <alignment horizontal="center"/>
    </xf>
    <xf applyAlignment="1" applyBorder="1" applyFill="1" applyFont="1" borderId="0" fillId="2" fontId="8" numFmtId="0" xfId="0">
      <alignment horizontal="center" vertical="center"/>
    </xf>
    <xf applyAlignment="1" applyFill="1" applyFont="1" borderId="0" fillId="0" fontId="20" numFmtId="0" xfId="0">
      <alignment horizontal="left" indent="1" vertical="center"/>
    </xf>
    <xf applyAlignment="1" applyBorder="1" applyFill="1" applyFont="1" borderId="4" fillId="0" fontId="20" numFmtId="0" xfId="0">
      <alignment horizontal="left" indent="1" vertical="center"/>
    </xf>
    <xf applyFill="1" borderId="0" fillId="2" fontId="0" numFmtId="0" xfId="0"/>
    <xf applyAlignment="1" applyFill="1" applyFont="1" borderId="0" fillId="2" fontId="21" numFmtId="0" xfId="0">
      <alignment horizontal="right"/>
    </xf>
    <xf applyAlignment="1" applyBorder="1" applyFill="1" applyFont="1" borderId="0" fillId="2" fontId="21" numFmtId="0" xfId="0">
      <alignment horizontal="right"/>
    </xf>
    <xf applyAlignment="1" applyBorder="1" applyFill="1" applyFont="1" borderId="0" fillId="2" fontId="13" numFmtId="0" xfId="0">
      <alignment horizontal="right"/>
    </xf>
    <xf applyAlignment="1" applyBorder="1" applyFill="1" applyFont="1" borderId="5" fillId="2" fontId="10" numFmtId="0" xfId="0">
      <alignment horizontal="right"/>
    </xf>
    <xf applyAlignment="1" applyBorder="1" applyFill="1" applyFont="1" borderId="4" fillId="2" fontId="21" numFmtId="0" xfId="0">
      <alignment horizontal="right"/>
    </xf>
    <xf applyAlignment="1" applyBorder="1" applyFill="1" applyFont="1" borderId="0" fillId="2" fontId="4" numFmtId="0" xfId="9">
      <alignment horizontal="center" vertical="center"/>
    </xf>
    <xf applyAlignment="1" applyBorder="1" applyFill="1" applyFont="1" borderId="4" fillId="2" fontId="4" numFmtId="0" xfId="0">
      <alignment horizontal="right"/>
    </xf>
    <xf applyAlignment="1" applyFill="1" applyFont="1" borderId="0" fillId="2" fontId="4" numFmtId="0" xfId="0">
      <alignment horizontal="right"/>
    </xf>
    <xf applyAlignment="1" applyFill="1" applyFont="1" applyNumberFormat="1" borderId="0" fillId="2" fontId="4" numFmtId="14" xfId="0">
      <alignment horizontal="right"/>
    </xf>
    <xf applyAlignment="1" applyBorder="1" applyFill="1" applyFont="1" borderId="0" fillId="2" fontId="4" numFmtId="0" xfId="0">
      <alignment horizontal="right"/>
    </xf>
    <xf applyAlignment="1" applyFill="1" applyFont="1" borderId="0" fillId="2" fontId="4" numFmtId="0" xfId="0">
      <alignment horizontal="right" vertical="center" wrapText="1"/>
    </xf>
    <xf applyAlignment="1" applyFill="1" applyFont="1" applyNumberFormat="1" borderId="0" fillId="2" fontId="4" numFmtId="0" xfId="0">
      <alignment horizontal="right"/>
    </xf>
    <xf applyAlignment="1" applyBorder="1" applyFill="1" applyFont="1" borderId="5" fillId="2" fontId="4" numFmtId="0" xfId="0">
      <alignment horizontal="right"/>
    </xf>
    <xf applyAlignment="1" applyBorder="1" applyFill="1" applyFont="1" borderId="4" fillId="2" fontId="4" numFmtId="0" quotePrefix="1" xfId="0">
      <alignment horizontal="right"/>
    </xf>
    <xf applyAlignment="1" applyFill="1" applyFont="1" borderId="0" fillId="2" fontId="21" numFmtId="0" xfId="0">
      <alignment horizontal="right"/>
    </xf>
    <xf applyAlignment="1" applyFill="1" applyFont="1" borderId="0" fillId="2" fontId="10" numFmtId="0" xfId="0">
      <alignment horizontal="right"/>
    </xf>
    <xf applyAlignment="1" applyFill="1" borderId="0" fillId="2" fontId="0" numFmtId="0" xfId="0">
      <alignment horizontal="right"/>
    </xf>
    <xf applyAlignment="1" applyFont="1" borderId="0" fillId="0" fontId="19" numFmtId="0" xfId="0">
      <alignment horizontal="right"/>
    </xf>
    <xf applyAlignment="1" applyFill="1" applyFont="1" borderId="0" fillId="2" fontId="22" numFmtId="0" xfId="0">
      <alignment horizontal="right"/>
    </xf>
    <xf applyBorder="1" applyFill="1" applyFont="1" borderId="0" fillId="2" fontId="4" numFmtId="0" xfId="0"/>
    <xf applyBorder="1" applyFill="1" applyFont="1" borderId="0" fillId="2" fontId="13" numFmtId="0" xfId="0"/>
    <xf applyAlignment="1" applyBorder="1" applyFill="1" applyFont="1" applyNumberFormat="1" borderId="0" fillId="0" fontId="4" numFmtId="14" xfId="0">
      <alignment horizontal="center" vertical="center"/>
    </xf>
    <xf applyAlignment="1" applyBorder="1" applyFill="1" applyFont="1" borderId="0" fillId="0" fontId="4" numFmtId="0" xfId="0">
      <alignment horizontal="center" vertical="center"/>
    </xf>
    <xf applyBorder="1" borderId="0" fillId="0" fontId="0" numFmtId="0" xfId="0"/>
    <xf applyFont="1" borderId="0" fillId="0" fontId="6" numFmtId="0" xfId="0"/>
    <xf applyBorder="1" applyFont="1" applyNumberFormat="1" borderId="0" fillId="0" fontId="6" numFmtId="14" xfId="0"/>
    <xf applyBorder="1" applyFont="1" borderId="0" fillId="0" fontId="6" numFmtId="0" xfId="0"/>
    <xf applyAlignment="1" applyBorder="1" applyFont="1" borderId="0" fillId="0" fontId="6" numFmtId="0" xfId="0">
      <alignment horizontal="center"/>
    </xf>
    <xf applyAlignment="1" applyBorder="1" applyFont="1" borderId="4" fillId="0" fontId="6" numFmtId="0" xfId="0">
      <alignment horizontal="center"/>
    </xf>
    <xf applyBorder="1" applyFont="1" applyNumberFormat="1" borderId="4" fillId="0" fontId="6" numFmtId="14" xfId="0"/>
    <xf applyBorder="1" applyFont="1" borderId="4" fillId="0" fontId="6" numFmtId="0" xfId="0"/>
    <xf applyAlignment="1" applyBorder="1" borderId="0" fillId="0" fontId="12" numFmtId="0" xfId="7">
      <alignment vertical="center" wrapText="1"/>
    </xf>
    <xf applyAlignment="1" applyBorder="1" applyFont="1" borderId="0" fillId="0" fontId="4" numFmtId="0" xfId="0"/>
    <xf borderId="0" fillId="0" fontId="0" numFmtId="0" quotePrefix="1" xfId="0"/>
    <xf applyAlignment="1" applyBorder="1" applyFill="1" applyFont="1" borderId="5" fillId="6" fontId="10" numFmtId="0" xfId="5">
      <alignment horizontal="center" vertical="center" wrapText="1"/>
    </xf>
    <xf applyAlignment="1" applyFont="1" borderId="0" fillId="0" fontId="4" numFmtId="0" xfId="0">
      <alignment horizontal="center"/>
    </xf>
    <xf applyAlignment="1" applyFont="1" borderId="0" fillId="0" fontId="4" numFmtId="0" xfId="0"/>
    <xf applyAlignment="1" applyFont="1" applyNumberFormat="1" borderId="0" fillId="0" fontId="4" numFmtId="167" xfId="0"/>
    <xf applyAlignment="1" applyFont="1" applyNumberFormat="1" borderId="0" fillId="0" fontId="4" numFmtId="14" xfId="0"/>
    <xf applyAlignment="1" applyFont="1" borderId="0" fillId="0" fontId="4" numFmtId="0" xfId="0">
      <alignment horizontal="left"/>
    </xf>
    <xf applyAlignment="1" applyBorder="1" borderId="0" fillId="0" fontId="0" numFmtId="0" xfId="0">
      <alignment horizontal="center" vertical="center"/>
    </xf>
    <xf applyAlignment="1" applyBorder="1" applyNumberFormat="1" borderId="0" fillId="0" fontId="0" numFmtId="14" xfId="0">
      <alignment horizontal="center" vertical="center"/>
    </xf>
    <xf applyAlignment="1" applyBorder="1" applyFill="1" applyNumberFormat="1" borderId="0" fillId="11" fontId="0" numFmtId="1" xfId="0">
      <alignment horizontal="center" vertical="center"/>
    </xf>
    <xf applyAlignment="1" applyBorder="1" applyFill="1" applyNumberFormat="1" borderId="0" fillId="11" fontId="0" numFmtId="165" xfId="0">
      <alignment horizontal="center" vertical="center"/>
    </xf>
    <xf applyAlignment="1" applyBorder="1" applyFill="1" applyNumberFormat="1" borderId="0" fillId="11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NumberFormat="1" borderId="0" fillId="0" fontId="0" numFmtId="14" xfId="0">
      <alignment horizontal="center"/>
    </xf>
    <xf applyAlignment="1" applyBorder="1" applyFill="1" borderId="4" fillId="0" fontId="0" numFmtId="0" xfId="0">
      <alignment horizontal="center" vertical="center"/>
    </xf>
    <xf applyAlignment="1" applyBorder="1" applyNumberFormat="1" borderId="4" fillId="0" fontId="0" numFmtId="14" xfId="0">
      <alignment horizontal="center"/>
    </xf>
    <xf applyAlignment="1" applyBorder="1" applyFill="1" applyNumberFormat="1" borderId="4" fillId="11" fontId="0" numFmtId="0" xfId="0">
      <alignment horizontal="center" vertical="center"/>
    </xf>
    <xf borderId="0" fillId="0" fontId="0" numFmtId="0" xfId="0"/>
    <xf applyBorder="1" applyFill="1" applyFont="1" borderId="0" fillId="2" fontId="8" numFmtId="0" xfId="0"/>
    <xf applyAlignment="1" applyBorder="1" applyFill="1" applyFont="1" borderId="0" fillId="5" fontId="3" numFmtId="0" xfId="5">
      <alignment horizontal="center" vertical="top" wrapText="1"/>
    </xf>
    <xf applyAlignment="1" applyBorder="1" applyFill="1" applyFont="1" borderId="0" fillId="6" fontId="10" numFmtId="0" xfId="5">
      <alignment horizontal="center" vertical="top" wrapText="1"/>
    </xf>
    <xf applyAlignment="1" applyBorder="1" applyFill="1" applyFont="1" borderId="0" fillId="0" fontId="4" numFmtId="0" quotePrefix="1" xfId="0">
      <alignment horizontal="center" vertical="center"/>
    </xf>
    <xf applyAlignment="1" applyFill="1" applyFont="1" borderId="0" fillId="0" fontId="4" numFmtId="0" xfId="0">
      <alignment horizontal="center" vertical="center"/>
    </xf>
    <xf applyAlignment="1" applyFill="1" applyFont="1" applyNumberFormat="1" borderId="0" fillId="0" fontId="4" numFmtId="164" xfId="4">
      <alignment horizontal="center" vertical="center"/>
    </xf>
    <xf applyBorder="1" applyFill="1" applyFont="1" borderId="0" fillId="5" fontId="13" numFmtId="0" xfId="0"/>
    <xf applyFill="1" applyFont="1" borderId="0" fillId="5" fontId="18" numFmtId="0" xfId="0"/>
    <xf applyAlignment="1" applyBorder="1" applyFill="1" applyFont="1" borderId="0" fillId="12" fontId="4" numFmtId="0" quotePrefix="1" xfId="0">
      <alignment horizontal="center" vertical="center"/>
    </xf>
    <xf applyAlignment="1" applyFill="1" applyFont="1" borderId="0" fillId="12" fontId="4" numFmtId="0" xfId="0">
      <alignment horizontal="center" vertical="center"/>
    </xf>
    <xf applyAlignment="1" applyFill="1" applyFont="1" borderId="0" fillId="0" fontId="4" numFmtId="0" xfId="0">
      <alignment horizontal="center"/>
    </xf>
    <xf applyAlignment="1" applyFill="1" applyFont="1" borderId="0" fillId="12" fontId="4" numFmtId="0" xfId="0">
      <alignment horizontal="center"/>
    </xf>
    <xf applyAlignment="1" applyFill="1" applyFont="1" applyNumberFormat="1" borderId="0" fillId="12" fontId="4" numFmtId="164" xfId="4">
      <alignment horizontal="center" vertical="center"/>
    </xf>
    <xf applyAlignment="1" applyBorder="1" applyFill="1" applyFont="1" borderId="4" fillId="12" fontId="4" numFmtId="0" xfId="0">
      <alignment horizontal="center"/>
    </xf>
    <xf applyAlignment="1" applyBorder="1" applyFill="1" applyFont="1" borderId="4" fillId="12" fontId="4" numFmtId="0" xfId="0">
      <alignment horizontal="center" vertical="center"/>
    </xf>
    <xf applyAlignment="1" applyBorder="1" applyFill="1" applyFont="1" applyNumberFormat="1" borderId="4" fillId="12" fontId="4" numFmtId="164" xfId="4">
      <alignment horizontal="center" vertical="center"/>
    </xf>
    <xf applyAlignment="1" applyBorder="1" applyFill="1" applyFont="1" borderId="2" fillId="2" fontId="6" numFmtId="0" xfId="2">
      <alignment horizontal="center"/>
    </xf>
    <xf applyBorder="1" applyFill="1" applyFont="1" borderId="4" fillId="8" fontId="23" numFmtId="0" xfId="3"/>
    <xf applyBorder="1" applyFill="1" applyFont="1" borderId="4" fillId="8" fontId="24" numFmtId="0" xfId="3"/>
    <xf applyAlignment="1" applyBorder="1" applyFill="1" applyFont="1" borderId="4" fillId="2" fontId="23" numFmtId="0" xfId="0">
      <alignment horizontal="right"/>
    </xf>
    <xf applyFont="1" borderId="0" fillId="0" fontId="25" numFmtId="0" xfId="0"/>
    <xf applyAlignment="1" applyBorder="1" applyFill="1" applyFont="1" borderId="0" fillId="2" fontId="4" numFmtId="0" quotePrefix="1" xfId="0">
      <alignment horizontal="right"/>
    </xf>
    <xf applyAlignment="1" applyFill="1" applyFont="1" borderId="0" fillId="2" fontId="4" numFmtId="0" quotePrefix="1" xfId="0">
      <alignment horizontal="right"/>
    </xf>
    <xf applyAlignment="1" applyBorder="1" applyFill="1" applyFont="1" borderId="2" fillId="2" fontId="13" numFmtId="0" xfId="2">
      <alignment vertical="center"/>
    </xf>
    <xf applyAlignment="1" applyBorder="1" applyFill="1" applyFont="1" borderId="5" fillId="13" fontId="13" numFmtId="0" xfId="0">
      <alignment horizontal="left"/>
    </xf>
    <xf applyAlignment="1" applyBorder="1" applyFill="1" applyFont="1" borderId="5" fillId="2" fontId="13" numFmtId="0" xfId="0">
      <alignment horizontal="left"/>
    </xf>
    <xf applyAlignment="1" applyBorder="1" applyFill="1" applyFont="1" borderId="6" fillId="13" fontId="4" numFmtId="0" xfId="0">
      <alignment horizontal="left"/>
    </xf>
    <xf applyAlignment="1" applyBorder="1" applyFill="1" applyFont="1" borderId="5" fillId="2" fontId="4" numFmtId="0" xfId="0">
      <alignment horizontal="left"/>
    </xf>
    <xf applyAlignment="1" applyBorder="1" applyFill="1" applyFont="1" borderId="7" fillId="2" fontId="4" numFmtId="0" xfId="0">
      <alignment horizontal="left"/>
    </xf>
    <xf applyAlignment="1" applyFill="1" applyFont="1" borderId="0" fillId="13" fontId="13" numFmtId="0" xfId="0">
      <alignment horizontal="left"/>
    </xf>
    <xf applyAlignment="1" applyFill="1" applyFont="1" borderId="0" fillId="2" fontId="13" numFmtId="0" xfId="0">
      <alignment horizontal="left"/>
    </xf>
    <xf applyAlignment="1" applyBorder="1" applyFill="1" applyFont="1" borderId="8" fillId="13" fontId="4" numFmtId="0" xfId="0">
      <alignment horizontal="left"/>
    </xf>
    <xf applyAlignment="1" applyFill="1" applyFont="1" borderId="0" fillId="2" fontId="4" numFmtId="0" xfId="0">
      <alignment horizontal="left"/>
    </xf>
    <xf applyAlignment="1" applyBorder="1" applyFill="1" applyFont="1" borderId="9" fillId="2" fontId="4" numFmtId="0" xfId="0">
      <alignment horizontal="left"/>
    </xf>
    <xf applyAlignment="1" applyBorder="1" applyFill="1" applyFont="1" borderId="0" fillId="13" fontId="13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Fill="1" applyFont="1" applyNumberFormat="1" borderId="0" fillId="13" fontId="13" numFmtId="14" xfId="0">
      <alignment horizontal="left"/>
    </xf>
    <xf applyAlignment="1" applyFill="1" applyFont="1" applyNumberFormat="1" borderId="0" fillId="2" fontId="13" numFmtId="14" xfId="0">
      <alignment horizontal="left"/>
    </xf>
    <xf applyAlignment="1" applyBorder="1" applyFill="1" applyFont="1" applyNumberFormat="1" borderId="8" fillId="13" fontId="4" numFmtId="14" xfId="0">
      <alignment horizontal="left"/>
    </xf>
    <xf applyAlignment="1" applyFill="1" applyFont="1" applyNumberFormat="1" borderId="0" fillId="2" fontId="4" numFmtId="14" xfId="0">
      <alignment horizontal="left"/>
    </xf>
    <xf applyAlignment="1" applyBorder="1" applyFill="1" applyFont="1" applyNumberFormat="1" borderId="9" fillId="2" fontId="4" numFmtId="14" xfId="0">
      <alignment horizontal="left"/>
    </xf>
    <xf applyAlignment="1" applyBorder="1" applyFill="1" applyFont="1" applyNumberFormat="1" borderId="0" fillId="13" fontId="13" numFmtId="14" xfId="0">
      <alignment horizontal="left"/>
    </xf>
    <xf applyAlignment="1" applyBorder="1" applyFill="1" applyFont="1" applyNumberFormat="1" borderId="0" fillId="2" fontId="13" numFmtId="14" xfId="0">
      <alignment horizontal="left"/>
    </xf>
    <xf applyAlignment="1" applyBorder="1" applyFill="1" applyFont="1" borderId="0" fillId="2" fontId="4" numFmtId="0" xfId="0">
      <alignment horizontal="left"/>
    </xf>
    <xf applyAlignment="1" applyFill="1" applyFont="1" borderId="0" fillId="2" fontId="21" numFmtId="0" xfId="0">
      <alignment horizontal="left"/>
    </xf>
    <xf applyAlignment="1" applyBorder="1" applyFill="1" applyFont="1" borderId="9" fillId="2" fontId="21" numFmtId="0" xfId="0">
      <alignment horizontal="left"/>
    </xf>
    <xf applyAlignment="1" applyBorder="1" applyFill="1" applyFont="1" borderId="0" fillId="2" fontId="21" numFmtId="0" xfId="0">
      <alignment horizontal="left"/>
    </xf>
    <xf applyAlignment="1" applyBorder="1" applyFill="1" applyFont="1" borderId="4" fillId="13" fontId="13" numFmtId="0" xfId="0">
      <alignment horizontal="left"/>
    </xf>
    <xf applyAlignment="1" applyBorder="1" applyFill="1" applyFont="1" borderId="4" fillId="2" fontId="13" numFmtId="0" xfId="0">
      <alignment horizontal="left"/>
    </xf>
    <xf applyAlignment="1" applyBorder="1" applyFill="1" applyFont="1" borderId="10" fillId="13" fontId="4" numFmtId="0" xfId="0">
      <alignment horizontal="left"/>
    </xf>
    <xf applyAlignment="1" applyBorder="1" applyFill="1" applyFont="1" borderId="4" fillId="2" fontId="4" numFmtId="0" xfId="0">
      <alignment horizontal="left"/>
    </xf>
    <xf applyAlignment="1" applyBorder="1" applyFill="1" applyFont="1" borderId="11" fillId="2" fontId="4" numFmtId="0" xfId="0">
      <alignment horizontal="left"/>
    </xf>
    <xf applyAlignment="1" applyBorder="1" applyFill="1" applyFont="1" borderId="0" fillId="12" fontId="13" numFmtId="0" xfId="0">
      <alignment horizontal="left" vertical="center"/>
    </xf>
    <xf applyAlignment="1" applyBorder="1" applyFill="1" applyFont="1" borderId="9" fillId="0" fontId="13" numFmtId="0" xfId="0">
      <alignment horizontal="left" vertical="center"/>
    </xf>
    <xf applyAlignment="1" applyFill="1" applyFont="1" borderId="0" fillId="12" fontId="4" numFmtId="0" xfId="0">
      <alignment horizontal="left"/>
    </xf>
    <xf applyAlignment="1" applyBorder="1" applyFill="1" applyFont="1" borderId="9" fillId="12" fontId="4" numFmtId="0" xfId="0">
      <alignment horizontal="left" vertical="center"/>
    </xf>
    <xf applyAlignment="1" applyBorder="1" applyFill="1" applyFont="1" borderId="0" fillId="12" fontId="13" numFmtId="0" xfId="0">
      <alignment horizontal="left"/>
    </xf>
    <xf applyAlignment="1" applyFill="1" applyFont="1" borderId="0" fillId="13" fontId="13" numFmtId="0" xfId="0">
      <alignment horizontal="left" vertical="center"/>
    </xf>
    <xf applyAlignment="1" applyFill="1" applyFont="1" borderId="0" fillId="2" fontId="13" numFmtId="0" xfId="0">
      <alignment horizontal="left" vertical="center"/>
    </xf>
    <xf applyAlignment="1" applyFill="1" applyFont="1" borderId="0" fillId="12" fontId="13" numFmtId="0" xfId="0">
      <alignment horizontal="left" vertical="center"/>
    </xf>
    <xf applyAlignment="1" applyBorder="1" applyFill="1" applyFont="1" borderId="8" fillId="13" fontId="4" numFmtId="0" xfId="0">
      <alignment horizontal="left" vertical="center"/>
    </xf>
    <xf applyAlignment="1" applyFill="1" applyFont="1" borderId="0" fillId="2" fontId="4" numFmtId="0" xfId="0">
      <alignment horizontal="left" vertical="center"/>
    </xf>
    <xf applyAlignment="1" applyFill="1" applyFont="1" borderId="0" fillId="12" fontId="4" numFmtId="0" xfId="0">
      <alignment horizontal="left" vertical="center"/>
    </xf>
    <xf applyAlignment="1" applyBorder="1" applyFill="1" applyFont="1" borderId="0" fillId="13" fontId="13" numFmtId="0" xfId="0">
      <alignment horizontal="left" vertical="center"/>
    </xf>
    <xf applyAlignment="1" applyBorder="1" applyFill="1" applyFont="1" borderId="0" fillId="2" fontId="13" numFmtId="0" xfId="0">
      <alignment horizontal="left" vertical="center"/>
    </xf>
    <xf applyAlignment="1" applyBorder="1" applyFill="1" applyFont="1" borderId="9" fillId="12" fontId="4" numFmtId="0" xfId="0">
      <alignment horizontal="left"/>
    </xf>
    <xf applyAlignment="1" applyBorder="1" applyFill="1" applyFont="1" borderId="0" fillId="13" fontId="13" numFmtId="0" quotePrefix="1" xfId="0">
      <alignment horizontal="left"/>
    </xf>
    <xf applyAlignment="1" applyBorder="1" applyFill="1" applyFont="1" borderId="0" fillId="2" fontId="13" numFmtId="0" quotePrefix="1" xfId="0">
      <alignment horizontal="left"/>
    </xf>
    <xf applyAlignment="1" applyBorder="1" applyFill="1" applyFont="1" borderId="8" fillId="13" fontId="4" numFmtId="0" quotePrefix="1" xfId="0">
      <alignment horizontal="left"/>
    </xf>
    <xf applyAlignment="1" applyBorder="1" applyFill="1" applyFont="1" borderId="0" fillId="2" fontId="4" numFmtId="0" quotePrefix="1" xfId="0">
      <alignment horizontal="left"/>
    </xf>
    <xf applyAlignment="1" applyBorder="1" applyFill="1" applyFont="1" borderId="9" fillId="2" fontId="4" numFmtId="0" quotePrefix="1" xfId="0">
      <alignment horizontal="left"/>
    </xf>
    <xf applyAlignment="1" applyBorder="1" applyFill="1" applyFont="1" borderId="4" fillId="13" fontId="13" numFmtId="0" quotePrefix="1" xfId="0">
      <alignment horizontal="left"/>
    </xf>
    <xf applyAlignment="1" applyBorder="1" applyFill="1" applyFont="1" borderId="4" fillId="2" fontId="13" numFmtId="0" quotePrefix="1" xfId="0">
      <alignment horizontal="left"/>
    </xf>
    <xf applyAlignment="1" applyBorder="1" applyFill="1" applyFont="1" borderId="10" fillId="13" fontId="4" numFmtId="0" quotePrefix="1" xfId="0">
      <alignment horizontal="left"/>
    </xf>
    <xf applyAlignment="1" applyBorder="1" applyFill="1" applyFont="1" borderId="4" fillId="2" fontId="4" numFmtId="0" quotePrefix="1" xfId="0">
      <alignment horizontal="left"/>
    </xf>
    <xf applyAlignment="1" applyBorder="1" applyFill="1" applyFont="1" borderId="11" fillId="2" fontId="4" numFmtId="0" quotePrefix="1" xfId="0">
      <alignment horizontal="left"/>
    </xf>
    <xf applyAlignment="1" applyFill="1" applyFont="1" borderId="0" fillId="13" fontId="18" numFmtId="0" xfId="0">
      <alignment horizontal="left"/>
    </xf>
    <xf applyAlignment="1" applyFill="1" applyFont="1" borderId="0" fillId="2" fontId="18" numFmtId="0" xfId="0">
      <alignment horizontal="left"/>
    </xf>
    <xf applyAlignment="1" applyBorder="1" applyFill="1" borderId="8" fillId="13" fontId="0" numFmtId="0" xfId="0">
      <alignment horizontal="left"/>
    </xf>
    <xf applyAlignment="1" applyFill="1" borderId="0" fillId="2" fontId="0" numFmtId="0" xfId="0">
      <alignment horizontal="left"/>
    </xf>
    <xf applyAlignment="1" applyBorder="1" applyFill="1" borderId="9" fillId="2" fontId="0" numFmtId="0" xfId="0">
      <alignment horizontal="left"/>
    </xf>
    <xf applyAlignment="1" applyBorder="1" applyFill="1" applyFont="1" borderId="0" fillId="13" fontId="18" numFmtId="0" xfId="0">
      <alignment horizontal="left"/>
    </xf>
    <xf applyAlignment="1" applyBorder="1" applyFill="1" applyFont="1" borderId="0" fillId="2" fontId="18" numFmtId="0" xfId="0">
      <alignment horizontal="left"/>
    </xf>
    <xf applyAlignment="1" applyFill="1" applyFont="1" applyNumberFormat="1" borderId="0" fillId="13" fontId="13" numFmtId="0" xfId="0">
      <alignment horizontal="left"/>
    </xf>
    <xf applyAlignment="1" applyFill="1" applyFont="1" applyNumberFormat="1" borderId="0" fillId="2" fontId="13" numFmtId="0" xfId="0">
      <alignment horizontal="left"/>
    </xf>
    <xf applyAlignment="1" applyBorder="1" applyFill="1" applyFont="1" applyNumberFormat="1" borderId="8" fillId="13" fontId="4" numFmtId="0" xfId="0">
      <alignment horizontal="left"/>
    </xf>
    <xf applyAlignment="1" applyFill="1" applyFont="1" applyNumberFormat="1" borderId="0" fillId="2" fontId="4" numFmtId="0" xfId="0">
      <alignment horizontal="left"/>
    </xf>
    <xf applyAlignment="1" applyBorder="1" applyFill="1" applyFont="1" applyNumberFormat="1" borderId="9" fillId="2" fontId="4" numFmtId="0" xfId="0">
      <alignment horizontal="left"/>
    </xf>
    <xf applyAlignment="1" applyBorder="1" applyFill="1" applyFont="1" applyNumberFormat="1" borderId="0" fillId="13" fontId="13" numFmtId="0" xfId="0">
      <alignment horizontal="left"/>
    </xf>
    <xf applyAlignment="1" applyBorder="1" applyFill="1" applyFont="1" applyNumberFormat="1" borderId="0" fillId="2" fontId="13" numFmtId="0" xfId="0">
      <alignment horizontal="left"/>
    </xf>
    <xf applyAlignment="1" applyBorder="1" applyFill="1" applyFont="1" borderId="0" fillId="2" fontId="8" numFmtId="0" xfId="1">
      <alignment horizontal="center" wrapText="1"/>
    </xf>
    <xf applyAlignment="1" applyBorder="1" applyFill="1" applyFont="1" borderId="4" fillId="2" fontId="8" numFmtId="0" xfId="1">
      <alignment horizontal="center" wrapText="1"/>
    </xf>
    <xf applyAlignment="1" applyBorder="1" applyFill="1" applyFont="1" borderId="0" fillId="5" fontId="10" numFmtId="0" xfId="2">
      <alignment horizontal="center" vertical="center"/>
    </xf>
    <xf applyAlignment="1" applyFill="1" applyFont="1" applyNumberFormat="1" borderId="0" fillId="2" fontId="4" numFmtId="164" xfId="4">
      <alignment horizontal="center" vertical="center"/>
    </xf>
    <xf applyAlignment="1" applyBorder="1" applyFill="1" applyFont="1" applyNumberFormat="1" borderId="0" fillId="2" fontId="13" numFmtId="166" xfId="0">
      <alignment horizontal="center" vertical="center"/>
    </xf>
    <xf applyAlignment="1" applyBorder="1" applyFill="1" applyFont="1" applyNumberFormat="1" borderId="4" fillId="2" fontId="4" numFmtId="164" xfId="4">
      <alignment horizontal="center" vertical="center"/>
    </xf>
    <xf applyAlignment="1" applyBorder="1" applyFill="1" applyFont="1" applyNumberFormat="1" borderId="4" fillId="2" fontId="13" numFmtId="166" xfId="0">
      <alignment horizontal="center" vertical="center"/>
    </xf>
    <xf applyAlignment="1" applyBorder="1" applyFill="1" applyFont="1" borderId="2" fillId="2" fontId="23" numFmtId="0" xfId="2">
      <alignment vertical="center"/>
    </xf>
    <xf applyAlignment="1" applyFill="1" applyFont="1" applyNumberFormat="1" borderId="0" fillId="2" fontId="23" numFmtId="14" xfId="0">
      <alignment horizontal="right"/>
    </xf>
    <xf applyAlignment="1" applyBorder="1" applyFill="1" applyFont="1" borderId="0" fillId="2" fontId="23" numFmtId="0" xfId="0">
      <alignment horizontal="right"/>
    </xf>
    <xf applyAlignment="1" applyBorder="1" applyFill="1" applyFont="1" applyNumberFormat="1" borderId="0" fillId="2" fontId="4" numFmtId="164" xfId="4">
      <alignment horizontal="center" vertical="center"/>
    </xf>
    <xf applyAlignment="1" applyFill="1" applyFont="1" borderId="0" fillId="13" fontId="21" numFmtId="0" xfId="0">
      <alignment horizontal="left"/>
    </xf>
    <xf applyAlignment="1" applyBorder="1" applyFill="1" applyFont="1" borderId="0" fillId="13" fontId="21" numFmtId="0" xfId="0">
      <alignment horizontal="left"/>
    </xf>
    <xf applyAlignment="1" applyFill="1" applyFont="1" borderId="0" fillId="2" fontId="13" numFmtId="0" xfId="0">
      <alignment horizontal="right"/>
    </xf>
    <xf applyAlignment="1" applyFill="1" applyFont="1" applyNumberFormat="1" borderId="0" fillId="2" fontId="13" numFmtId="14" xfId="0">
      <alignment horizontal="right"/>
    </xf>
    <xf applyAlignment="1" applyBorder="1" applyFill="1" applyFont="1" borderId="4" fillId="2" fontId="13" numFmtId="0" xfId="0">
      <alignment horizontal="right"/>
    </xf>
    <xf applyAlignment="1" applyBorder="1" applyFill="1" applyFont="1" borderId="4" fillId="2" fontId="13" numFmtId="0" quotePrefix="1" xfId="0">
      <alignment horizontal="right"/>
    </xf>
    <xf applyAlignment="1" applyBorder="1" applyFill="1" applyFont="1" borderId="0" fillId="2" fontId="13" numFmtId="0" quotePrefix="1" xfId="0">
      <alignment horizontal="right"/>
    </xf>
    <xf applyAlignment="1" applyFill="1" applyFont="1" borderId="0" fillId="2" fontId="18" numFmtId="0" xfId="0">
      <alignment horizontal="center"/>
    </xf>
    <xf applyAlignment="1" applyFill="1" applyFont="1" applyNumberFormat="1" borderId="0" fillId="2" fontId="13" numFmtId="0" xfId="0">
      <alignment horizontal="right"/>
    </xf>
    <xf applyAlignment="1" applyBorder="1" applyFill="1" applyFont="1" applyNumberFormat="1" borderId="4" fillId="2" fontId="13" numFmtId="0" xfId="0">
      <alignment horizontal="right"/>
    </xf>
    <xf applyAlignment="1" applyBorder="1" applyFill="1" applyFont="1" borderId="5" fillId="2" fontId="4" numFmtId="0" xfId="2">
      <alignment horizontal="center"/>
    </xf>
    <xf applyBorder="1" applyFont="1" borderId="2" fillId="0" fontId="26" numFmtId="0" xfId="0"/>
    <xf applyAlignment="1" applyBorder="1" applyFill="1" applyFont="1" applyNumberFormat="1" borderId="4" fillId="2" fontId="4" numFmtId="0" xfId="0">
      <alignment horizontal="right"/>
    </xf>
    <xf applyAlignment="1" applyBorder="1" applyFill="1" applyFont="1" applyNumberFormat="1" borderId="0" fillId="2" fontId="4" numFmtId="0" xfId="0">
      <alignment horizontal="right"/>
    </xf>
    <xf applyBorder="1" borderId="4" fillId="0" fontId="0" numFmtId="0" xfId="0"/>
    <xf applyFill="1" applyFont="1" borderId="0" fillId="2" fontId="8" numFmtId="0" xfId="0"/>
    <xf applyAlignment="1" applyBorder="1" applyFill="1" applyFont="1" borderId="0" fillId="3" fontId="28" numFmtId="0" xfId="2">
      <alignment horizontal="center"/>
    </xf>
    <xf applyAlignment="1" applyBorder="1" applyFill="1" applyFont="1" borderId="0" fillId="2" fontId="6" numFmtId="0" xfId="2">
      <alignment horizontal="center"/>
    </xf>
    <xf applyAlignment="1" applyBorder="1" applyFill="1" borderId="0" fillId="2" fontId="0" numFmtId="0" xfId="0">
      <alignment horizontal="center"/>
    </xf>
    <xf applyAlignment="1" applyBorder="1" applyFill="1" applyFont="1" borderId="0" fillId="2" fontId="29" numFmtId="0" xfId="2">
      <alignment horizontal="center"/>
    </xf>
    <xf applyAlignment="1" applyBorder="1" applyFill="1" applyFont="1" borderId="0" fillId="2" fontId="18" numFmtId="0" xfId="0">
      <alignment horizontal="center"/>
    </xf>
    <xf applyAlignment="1" applyBorder="1" applyFill="1" applyFont="1" borderId="4" fillId="2" fontId="4" numFmtId="0" xfId="2">
      <alignment horizontal="center"/>
    </xf>
    <xf applyAlignment="1" applyBorder="1" applyFill="1" applyFont="1" borderId="4" fillId="2" fontId="6" numFmtId="0" xfId="2">
      <alignment horizontal="center"/>
    </xf>
    <xf applyAlignment="1" applyBorder="1" applyFill="1" borderId="4" fillId="2" fontId="0" numFmtId="0" xfId="0">
      <alignment horizontal="center"/>
    </xf>
    <xf applyAlignment="1" applyBorder="1" applyFill="1" borderId="3" fillId="9" fontId="0" numFmtId="0" xfId="0">
      <alignment vertical="center" wrapText="1"/>
    </xf>
    <xf applyAlignment="1" applyNumberFormat="1" borderId="0" fillId="0" fontId="0" numFmtId="14" xfId="0">
      <alignment horizontal="center"/>
    </xf>
    <xf applyAlignment="1" applyBorder="1" applyFill="1" applyNumberFormat="1" borderId="0" fillId="11" fontId="0" numFmtId="2" xfId="0">
      <alignment horizontal="center" vertical="center"/>
    </xf>
    <xf applyAlignment="1" applyBorder="1" applyFill="1" applyNumberFormat="1" borderId="4" fillId="11" fontId="0" numFmtId="2" xfId="0">
      <alignment horizontal="center" vertical="center"/>
    </xf>
    <xf applyAlignment="1" applyBorder="1" applyFill="1" applyFont="1" applyNumberFormat="1" borderId="0" fillId="0" fontId="13" numFmtId="168" xfId="0">
      <alignment horizontal="center"/>
    </xf>
    <xf applyAlignment="1" applyFill="1" applyFont="1" applyNumberFormat="1" borderId="0" fillId="0" fontId="13" numFmtId="164" xfId="4">
      <alignment horizontal="center" vertical="center"/>
    </xf>
    <xf applyAlignment="1" applyBorder="1" applyFill="1" applyFont="1" applyNumberFormat="1" borderId="4" fillId="0" fontId="13" numFmtId="168" xfId="0">
      <alignment horizontal="center"/>
    </xf>
    <xf applyAlignment="1" applyBorder="1" applyFill="1" applyFont="1" applyNumberFormat="1" borderId="0" fillId="0" fontId="13" numFmtId="14" xfId="4">
      <alignment horizontal="center" vertical="center"/>
    </xf>
    <xf applyAlignment="1" applyBorder="1" applyFill="1" applyFont="1" applyNumberFormat="1" borderId="4" fillId="0" fontId="13" numFmtId="14" xfId="4">
      <alignment horizontal="center" vertical="center"/>
    </xf>
    <xf applyAlignment="1" applyBorder="1" applyFill="1" applyFont="1" applyNumberFormat="1" borderId="0" fillId="0" fontId="13" numFmtId="165" xfId="0">
      <alignment horizontal="center"/>
    </xf>
    <xf applyAlignment="1" applyBorder="1" applyFont="1" applyNumberFormat="1" borderId="0" fillId="0" fontId="18" numFmtId="14" xfId="0">
      <alignment horizontal="center" vertical="center"/>
    </xf>
    <xf applyAlignment="1" applyBorder="1" applyFont="1" applyNumberFormat="1" borderId="4" fillId="0" fontId="18" numFmtId="14" xfId="0">
      <alignment horizontal="center"/>
    </xf>
    <xf applyAlignment="1" applyBorder="1" applyFill="1" applyFont="1" applyNumberFormat="1" borderId="0" fillId="2" fontId="13" numFmtId="14" xfId="4">
      <alignment horizontal="center" vertical="center"/>
    </xf>
    <xf applyAlignment="1" applyBorder="1" applyFill="1" applyFont="1" applyNumberFormat="1" borderId="4" fillId="2" fontId="13" numFmtId="14" xfId="4">
      <alignment horizontal="center" vertical="center"/>
    </xf>
    <xf applyAlignment="1" applyBorder="1" applyFill="1" applyFont="1" applyNumberFormat="1" borderId="5" fillId="2" fontId="13" numFmtId="14" xfId="4">
      <alignment horizontal="center" vertical="center"/>
    </xf>
    <xf applyAlignment="1" applyBorder="1" applyFill="1" applyFont="1" applyNumberFormat="1" borderId="5" fillId="2" fontId="4" numFmtId="164" xfId="4">
      <alignment horizontal="center" vertical="center"/>
    </xf>
    <xf applyAlignment="1" applyBorder="1" applyFill="1" applyFont="1" applyNumberFormat="1" borderId="5" fillId="2" fontId="13" numFmtId="166" xfId="0">
      <alignment horizontal="center" vertical="center"/>
    </xf>
    <xf applyAlignment="1" applyBorder="1" applyFill="1" applyFont="1" borderId="0" fillId="2" fontId="4" numFmtId="0" xfId="2">
      <alignment horizontal="left" vertical="center"/>
    </xf>
    <xf applyAlignment="1" applyBorder="1" applyFill="1" applyFont="1" borderId="5" fillId="2" fontId="4" numFmtId="0" xfId="2">
      <alignment horizontal="left" vertical="center"/>
    </xf>
    <xf applyAlignment="1" applyBorder="1" applyFill="1" applyFont="1" borderId="4" fillId="2" fontId="4" numFmtId="0" xfId="2">
      <alignment horizontal="left" vertical="center"/>
    </xf>
    <xf applyAlignment="1" applyFill="1" applyFont="1" borderId="0" fillId="2" fontId="21" numFmtId="0" xfId="0">
      <alignment horizontal="left" vertical="center"/>
    </xf>
    <xf applyAlignment="1" applyBorder="1" applyFill="1" applyFont="1" borderId="7" fillId="13" fontId="13" numFmtId="0" xfId="0">
      <alignment horizontal="left"/>
    </xf>
    <xf applyAlignment="1" applyBorder="1" applyFill="1" applyFont="1" borderId="9" fillId="13" fontId="13" numFmtId="0" xfId="0">
      <alignment horizontal="left"/>
    </xf>
    <xf applyAlignment="1" applyBorder="1" applyFill="1" applyFont="1" applyNumberFormat="1" borderId="9" fillId="13" fontId="13" numFmtId="14" xfId="0">
      <alignment horizontal="left"/>
    </xf>
    <xf applyAlignment="1" applyBorder="1" applyFill="1" applyFont="1" borderId="11" fillId="13" fontId="13" numFmtId="0" xfId="0">
      <alignment horizontal="left"/>
    </xf>
    <xf applyAlignment="1" applyBorder="1" applyFill="1" applyFont="1" borderId="9" fillId="13" fontId="4" numFmtId="0" xfId="0">
      <alignment horizontal="left" vertical="center"/>
    </xf>
    <xf applyAlignment="1" applyBorder="1" applyFill="1" applyFont="1" borderId="9" fillId="13" fontId="13" numFmtId="0" xfId="0">
      <alignment horizontal="left" vertical="center"/>
    </xf>
    <xf applyAlignment="1" applyBorder="1" applyFill="1" applyFont="1" borderId="9" fillId="13" fontId="13" numFmtId="0" quotePrefix="1" xfId="0">
      <alignment horizontal="left"/>
    </xf>
    <xf applyAlignment="1" applyBorder="1" applyFill="1" applyFont="1" borderId="11" fillId="13" fontId="13" numFmtId="0" quotePrefix="1" xfId="0">
      <alignment horizontal="left"/>
    </xf>
    <xf applyAlignment="1" applyBorder="1" applyFill="1" applyFont="1" borderId="9" fillId="13" fontId="18" numFmtId="0" xfId="0">
      <alignment horizontal="left"/>
    </xf>
    <xf applyAlignment="1" applyBorder="1" applyFill="1" applyFont="1" applyNumberFormat="1" borderId="9" fillId="13" fontId="13" numFmtId="0" xfId="0">
      <alignment horizontal="left"/>
    </xf>
    <xf applyFont="1" borderId="0" fillId="0" fontId="4" numFmtId="0" xfId="0"/>
    <xf applyFill="1" applyFont="1" borderId="0" fillId="2" fontId="4" numFmtId="0" xfId="0"/>
    <xf applyAlignment="1" applyBorder="1" applyFill="1" applyFont="1" borderId="8" fillId="2" fontId="4" numFmtId="0" xfId="0">
      <alignment horizontal="left"/>
    </xf>
    <xf applyAlignment="1" applyBorder="1" applyFill="1" applyFont="1" borderId="10" fillId="2" fontId="4" numFmtId="0" xfId="0">
      <alignment horizontal="left"/>
    </xf>
    <xf applyAlignment="1" applyBorder="1" applyFill="1" applyFont="1" applyNumberFormat="1" borderId="8" fillId="2" fontId="4" numFmtId="2" xfId="0">
      <alignment horizontal="left"/>
    </xf>
    <xf applyAlignment="1" applyBorder="1" applyFill="1" applyFont="1" borderId="0" fillId="0" fontId="14" numFmtId="0" xfId="8"/>
    <xf applyAlignment="1" applyBorder="1" applyFill="1" applyFont="1" borderId="0" fillId="0" fontId="2" numFmtId="0" xfId="8"/>
    <xf applyAlignment="1" applyBorder="1" applyFill="1" applyFont="1" borderId="2" fillId="2" fontId="4" numFmtId="0" xfId="2">
      <alignment horizontal="center"/>
    </xf>
    <xf applyAlignment="1" applyBorder="1" applyFill="1" applyFont="1" borderId="4" fillId="3" fontId="28" numFmtId="0" xfId="2">
      <alignment horizontal="center"/>
    </xf>
    <xf applyAlignment="1" applyBorder="1" applyFill="1" applyFont="1" borderId="8" fillId="2" fontId="4" numFmtId="0" xfId="0">
      <alignment horizontal="right"/>
    </xf>
    <xf applyAlignment="1" applyBorder="1" applyFill="1" applyFont="1" applyNumberFormat="1" borderId="8" fillId="2" fontId="4" numFmtId="14" xfId="0">
      <alignment horizontal="right"/>
    </xf>
    <xf applyAlignment="1" applyBorder="1" applyFill="1" applyFont="1" borderId="10" fillId="2" fontId="4" numFmtId="0" xfId="0">
      <alignment horizontal="right"/>
    </xf>
    <xf applyAlignment="1" applyBorder="1" applyFill="1" applyFont="1" borderId="6" fillId="2" fontId="4" numFmtId="0" xfId="2">
      <alignment horizontal="left"/>
    </xf>
    <xf applyAlignment="1" applyBorder="1" applyFill="1" applyFont="1" applyNumberFormat="1" borderId="8" fillId="2" fontId="4" numFmtId="14" xfId="0">
      <alignment horizontal="left"/>
    </xf>
    <xf applyAlignment="1" applyBorder="1" borderId="8" fillId="0" fontId="0" numFmtId="0" xfId="0">
      <alignment horizontal="left"/>
    </xf>
    <xf applyAlignment="1" applyBorder="1" applyFill="1" applyFont="1" borderId="8" fillId="2" fontId="4" numFmtId="0" xfId="0">
      <alignment horizontal="left" vertical="center" wrapText="1"/>
    </xf>
    <xf applyAlignment="1" applyBorder="1" applyFill="1" applyFont="1" borderId="8" fillId="2" fontId="4" numFmtId="0" quotePrefix="1" xfId="0">
      <alignment horizontal="left"/>
    </xf>
    <xf applyAlignment="1" applyBorder="1" applyFill="1" borderId="8" fillId="2" fontId="0" numFmtId="0" xfId="0">
      <alignment horizontal="center"/>
    </xf>
    <xf applyAlignment="1" applyBorder="1" applyFill="1" applyFont="1" applyNumberFormat="1" borderId="10" fillId="2" fontId="4" numFmtId="0" xfId="0">
      <alignment horizontal="right"/>
    </xf>
    <xf applyAlignment="1" applyBorder="1" applyFill="1" applyFont="1" borderId="8" fillId="12" fontId="4" numFmtId="0" xfId="0">
      <alignment horizontal="left"/>
    </xf>
    <xf applyAlignment="1" applyBorder="1" applyFill="1" applyFont="1" borderId="10" fillId="12" fontId="4" numFmtId="0" xfId="0">
      <alignment horizontal="left"/>
    </xf>
    <xf applyAlignment="1" applyBorder="1" applyFill="1" applyFont="1" applyNumberFormat="1" borderId="8" fillId="12" fontId="4" numFmtId="0" xfId="0">
      <alignment horizontal="right"/>
    </xf>
    <xf applyAlignment="1" applyBorder="1" applyFill="1" applyFont="1" borderId="8" fillId="12" fontId="4" numFmtId="0" xfId="0">
      <alignment horizontal="right"/>
    </xf>
    <xf applyAlignment="1" applyBorder="1" applyFill="1" applyFont="1" applyNumberFormat="1" borderId="8" fillId="12" fontId="4" numFmtId="14" xfId="0">
      <alignment horizontal="right"/>
    </xf>
    <xf applyAlignment="1" applyBorder="1" applyFill="1" applyFont="1" borderId="10" fillId="12" fontId="4" numFmtId="0" xfId="0">
      <alignment horizontal="right"/>
    </xf>
    <xf applyAlignment="1" applyBorder="1" applyFill="1" borderId="8" fillId="2" fontId="0" numFmtId="0" xfId="0">
      <alignment horizontal="right"/>
    </xf>
    <xf applyAlignment="1" applyBorder="1" applyFill="1" borderId="3" fillId="14" fontId="0" numFmtId="0" xfId="0">
      <alignment vertical="center" wrapText="1"/>
    </xf>
    <xf applyAlignment="1" applyBorder="1" applyFill="1" applyFont="1" borderId="5" fillId="2" fontId="13" numFmtId="0" xfId="0">
      <alignment horizontal="right"/>
    </xf>
    <xf applyAlignment="1" applyFill="1" applyFont="1" borderId="0" fillId="2" fontId="13" numFmtId="0" xfId="0">
      <alignment horizontal="right" vertical="center"/>
    </xf>
    <xf applyAlignment="1" applyFill="1" applyFont="1" borderId="0" fillId="2" fontId="18" numFmtId="0" xfId="0">
      <alignment horizontal="right"/>
    </xf>
    <xf applyAlignment="1" applyBorder="1" applyFill="1" applyFont="1" borderId="8" fillId="2" fontId="13" numFmtId="0" xfId="0">
      <alignment horizontal="left"/>
    </xf>
    <xf applyAlignment="1" applyBorder="1" applyFill="1" applyFont="1" borderId="8" fillId="2" fontId="27" numFmtId="0" xfId="0">
      <alignment horizontal="left"/>
    </xf>
    <xf applyAlignment="1" applyBorder="1" applyFill="1" applyFont="1" borderId="8" fillId="2" fontId="13" numFmtId="0" xfId="0">
      <alignment horizontal="left" vertical="center"/>
    </xf>
    <xf applyFill="1" applyNumberFormat="1" borderId="0" fillId="2" fontId="0" numFmtId="14" xfId="0"/>
    <xf applyBorder="1" applyFill="1" applyNumberFormat="1" borderId="0" fillId="2" fontId="0" numFmtId="14" xfId="0"/>
    <xf applyBorder="1" applyFill="1" applyFont="1" applyNumberFormat="1" borderId="0" fillId="2" fontId="18" numFmtId="14" xfId="0"/>
    <xf applyAlignment="1" applyBorder="1" applyFill="1" applyFont="1" borderId="6" fillId="2" fontId="13" numFmtId="0" xfId="0">
      <alignment horizontal="left"/>
    </xf>
    <xf applyAlignment="1" applyBorder="1" applyFill="1" applyFont="1" applyNumberFormat="1" borderId="8" fillId="2" fontId="13" numFmtId="14" xfId="0">
      <alignment horizontal="left"/>
    </xf>
    <xf applyAlignment="1" applyBorder="1" applyFill="1" applyFont="1" borderId="10" fillId="2" fontId="13" numFmtId="0" xfId="0">
      <alignment horizontal="left"/>
    </xf>
    <xf applyAlignment="1" applyBorder="1" applyFill="1" applyFont="1" borderId="8" fillId="2" fontId="13" numFmtId="0" quotePrefix="1" xfId="0">
      <alignment horizontal="left"/>
    </xf>
    <xf applyAlignment="1" applyBorder="1" applyFill="1" applyFont="1" borderId="8" fillId="2" fontId="27" numFmtId="0" quotePrefix="1" xfId="0">
      <alignment horizontal="left"/>
    </xf>
    <xf applyAlignment="1" applyBorder="1" applyFill="1" applyFont="1" borderId="10" fillId="2" fontId="27" numFmtId="0" quotePrefix="1" xfId="0">
      <alignment horizontal="left"/>
    </xf>
    <xf applyAlignment="1" applyBorder="1" applyFill="1" applyFont="1" borderId="10" fillId="2" fontId="27" numFmtId="0" xfId="0">
      <alignment horizontal="left"/>
    </xf>
    <xf applyAlignment="1" applyBorder="1" applyFill="1" applyFont="1" applyNumberFormat="1" borderId="8" fillId="2" fontId="27" numFmtId="14" xfId="0">
      <alignment horizontal="left"/>
    </xf>
    <xf applyAlignment="1" applyBorder="1" applyFill="1" applyFont="1" borderId="8" fillId="2" fontId="26" numFmtId="0" xfId="0">
      <alignment horizontal="left"/>
    </xf>
    <xf applyAlignment="1" applyBorder="1" applyFill="1" applyFont="1" applyNumberFormat="1" borderId="10" fillId="2" fontId="27" numFmtId="0" xfId="0">
      <alignment horizontal="left"/>
    </xf>
    <xf applyAlignment="1" applyBorder="1" applyFill="1" applyFont="1" applyNumberFormat="1" borderId="8" fillId="2" fontId="27" numFmtId="0" xfId="0">
      <alignment horizontal="left"/>
    </xf>
    <xf applyFont="1" borderId="0" fillId="0" fontId="18" numFmtId="0" xfId="0"/>
    <xf applyAlignment="1" applyBorder="1" applyFill="1" applyFont="1" borderId="4" fillId="2" fontId="29" numFmtId="0" xfId="2">
      <alignment horizontal="center"/>
    </xf>
    <xf applyAlignment="1" applyBorder="1" applyFill="1" applyFont="1" borderId="4" fillId="2" fontId="18" numFmtId="0" xfId="0">
      <alignment horizontal="center"/>
    </xf>
    <xf applyBorder="1" applyFill="1" applyFont="1" applyNumberFormat="1" borderId="4" fillId="2" fontId="18" numFmtId="14" xfId="0"/>
    <xf applyAlignment="1" applyBorder="1" applyFill="1" applyFont="1" borderId="0" fillId="2" fontId="27" numFmtId="0" xfId="0">
      <alignment horizontal="left"/>
    </xf>
    <xf applyAlignment="1" applyBorder="1" applyFill="1" applyFont="1" borderId="0" fillId="2" fontId="27" numFmtId="0" quotePrefix="1" xfId="0">
      <alignment horizontal="left"/>
    </xf>
    <xf applyAlignment="1" applyBorder="1" applyFill="1" applyFont="1" borderId="4" fillId="2" fontId="27" numFmtId="0" quotePrefix="1" xfId="0">
      <alignment horizontal="left"/>
    </xf>
    <xf applyAlignment="1" applyBorder="1" applyFill="1" applyFont="1" borderId="4" fillId="2" fontId="27" numFmtId="0" xfId="0">
      <alignment horizontal="left"/>
    </xf>
    <xf applyAlignment="1" applyBorder="1" applyFill="1" applyFont="1" applyNumberFormat="1" borderId="0" fillId="2" fontId="27" numFmtId="14" xfId="0">
      <alignment horizontal="left"/>
    </xf>
    <xf applyAlignment="1" applyBorder="1" applyFill="1" applyFont="1" borderId="0" fillId="2" fontId="26" numFmtId="0" xfId="0">
      <alignment horizontal="left"/>
    </xf>
    <xf applyAlignment="1" applyBorder="1" applyFill="1" applyFont="1" applyNumberFormat="1" borderId="4" fillId="2" fontId="27" numFmtId="0" xfId="0">
      <alignment horizontal="left"/>
    </xf>
    <xf applyAlignment="1" applyBorder="1" applyFill="1" applyFont="1" applyNumberFormat="1" borderId="0" fillId="2" fontId="27" numFmtId="0" xfId="0">
      <alignment horizontal="left"/>
    </xf>
    <xf applyAlignment="1" applyBorder="1" applyFill="1" applyFont="1" borderId="4" fillId="2" fontId="26" numFmtId="0" xfId="0">
      <alignment horizontal="center"/>
    </xf>
    <xf applyBorder="1" applyFill="1" applyFont="1" applyNumberFormat="1" borderId="4" fillId="2" fontId="26" numFmtId="14" xfId="0"/>
    <xf applyAlignment="1" applyBorder="1" applyFill="1" applyFont="1" applyNumberFormat="1" borderId="0" fillId="2" fontId="13" numFmtId="166" xfId="0">
      <alignment horizontal="left" vertical="center"/>
    </xf>
    <xf applyAlignment="1" applyBorder="1" applyFill="1" applyFont="1" borderId="0" fillId="2" fontId="8" numFmtId="0" xfId="1">
      <alignment horizontal="left" wrapText="1"/>
    </xf>
    <xf applyAlignment="1" applyBorder="1" applyFill="1" applyFont="1" borderId="0" fillId="2" fontId="8" numFmtId="0" xfId="0">
      <alignment horizontal="left"/>
    </xf>
    <xf applyAlignment="1" applyBorder="1" applyFill="1" applyFont="1" borderId="0" fillId="6" fontId="10" numFmtId="0" xfId="5">
      <alignment horizontal="left" vertical="center"/>
    </xf>
    <xf applyAlignment="1" applyBorder="1" applyFill="1" applyFont="1" borderId="0" fillId="5" fontId="10" numFmtId="0" xfId="2">
      <alignment horizontal="left" vertical="center"/>
    </xf>
    <xf applyAlignment="1" applyBorder="1" applyFill="1" applyFont="1" borderId="0" fillId="5" fontId="3" numFmtId="0" xfId="5">
      <alignment horizontal="left" vertical="top"/>
    </xf>
    <xf applyAlignment="1" applyBorder="1" applyFill="1" applyFont="1" borderId="4" fillId="2" fontId="8" numFmtId="0" xfId="0">
      <alignment horizontal="left"/>
    </xf>
    <xf applyAlignment="1" applyBorder="1" applyFill="1" applyFont="1" borderId="12" fillId="2" fontId="8" numFmtId="0" xfId="0">
      <alignment horizontal="left"/>
    </xf>
    <xf applyAlignment="1" applyBorder="1" applyFill="1" applyFont="1" borderId="12" fillId="6" fontId="10" numFmtId="0" xfId="5">
      <alignment horizontal="left" vertical="center"/>
    </xf>
    <xf applyAlignment="1" applyBorder="1" applyFill="1" applyFont="1" applyNumberFormat="1" borderId="12" fillId="2" fontId="13" numFmtId="166" xfId="0">
      <alignment horizontal="left" vertical="center"/>
    </xf>
    <xf applyAlignment="1" applyBorder="1" applyFill="1" applyFont="1" borderId="13" fillId="2" fontId="8" numFmtId="0" xfId="0">
      <alignment horizontal="left"/>
    </xf>
    <xf applyAlignment="1" applyBorder="1" applyFill="1" applyFont="1" borderId="13" fillId="6" fontId="10" numFmtId="0" xfId="5">
      <alignment horizontal="left" vertical="center"/>
    </xf>
    <xf applyAlignment="1" applyBorder="1" applyFill="1" applyFont="1" applyNumberFormat="1" borderId="13" fillId="2" fontId="13" numFmtId="166" xfId="0">
      <alignment horizontal="left" vertical="center"/>
    </xf>
    <xf applyAlignment="1" applyBorder="1" applyFill="1" applyFont="1" applyNumberFormat="1" borderId="0" fillId="2" fontId="13" numFmtId="2" xfId="0">
      <alignment horizontal="left"/>
    </xf>
    <xf applyAlignment="1" applyBorder="1" applyFill="1" applyFont="1" applyNumberFormat="1" borderId="4" fillId="2" fontId="13" numFmtId="0" xfId="0">
      <alignment horizontal="left"/>
    </xf>
    <xf applyAlignment="1" applyBorder="1" applyFill="1" applyFont="1" applyNumberFormat="1" borderId="0" fillId="2" fontId="4" numFmtId="164" xfId="4">
      <alignment horizontal="left" vertical="center"/>
    </xf>
    <xf applyAlignment="1" applyBorder="1" applyFill="1" applyFont="1" borderId="6" fillId="2" fontId="4" numFmtId="0" xfId="2">
      <alignment horizontal="left" vertical="center"/>
    </xf>
    <xf applyAlignment="1" applyBorder="1" applyFill="1" applyFont="1" applyNumberFormat="1" borderId="8" fillId="2" fontId="4" numFmtId="164" xfId="4">
      <alignment horizontal="left" vertical="center"/>
    </xf>
    <xf applyAlignment="1" applyBorder="1" applyFill="1" applyFont="1" applyNumberFormat="1" borderId="8" fillId="2" fontId="13" numFmtId="166" xfId="0">
      <alignment horizontal="left" vertical="center"/>
    </xf>
    <xf applyAlignment="1" applyBorder="1" applyFill="1" applyFont="1" applyNumberFormat="1" borderId="14" fillId="2" fontId="13" numFmtId="166" xfId="0">
      <alignment horizontal="left" vertical="center"/>
    </xf>
    <xf applyAlignment="1" applyBorder="1" applyFill="1" applyFont="1" borderId="15" fillId="2" fontId="8" numFmtId="0" xfId="0">
      <alignment horizontal="left"/>
    </xf>
    <xf applyAlignment="1" applyBorder="1" applyFill="1" applyFont="1" borderId="15" fillId="5" fontId="3" numFmtId="0" xfId="5">
      <alignment horizontal="left" vertical="top"/>
    </xf>
    <xf applyAlignment="1" applyBorder="1" applyFill="1" applyFont="1" applyNumberFormat="1" borderId="15" fillId="2" fontId="13" numFmtId="14" xfId="4">
      <alignment horizontal="left" vertical="center"/>
    </xf>
    <xf applyAlignment="1" applyBorder="1" applyFill="1" applyFont="1" applyNumberFormat="1" borderId="16" fillId="2" fontId="13" numFmtId="14" xfId="4">
      <alignment horizontal="left" vertical="center"/>
    </xf>
    <xf applyAlignment="1" applyBorder="1" applyFill="1" applyFont="1" borderId="15" fillId="6" fontId="10" numFmtId="0" xfId="5">
      <alignment horizontal="left" vertical="center"/>
    </xf>
    <xf applyAlignment="1" applyBorder="1" applyFill="1" applyFont="1" applyNumberFormat="1" borderId="15" fillId="2" fontId="13" numFmtId="166" xfId="0">
      <alignment horizontal="left" vertical="center"/>
    </xf>
    <xf applyAlignment="1" applyBorder="1" applyFill="1" applyFont="1" applyNumberFormat="1" borderId="16" fillId="2" fontId="13" numFmtId="166" xfId="0">
      <alignment horizontal="left" vertical="center"/>
    </xf>
    <xf applyBorder="1" applyFont="1" borderId="5" fillId="0" fontId="18" numFmtId="0" xfId="0"/>
    <xf applyAlignment="1" applyBorder="1" applyFill="1" applyFont="1" borderId="5" fillId="15" fontId="13" numFmtId="0" xfId="0">
      <alignment horizontal="left"/>
    </xf>
    <xf applyAlignment="1" applyFill="1" applyFont="1" borderId="0" fillId="15" fontId="13" numFmtId="0" xfId="0">
      <alignment horizontal="left"/>
    </xf>
    <xf applyAlignment="1" applyFill="1" applyFont="1" applyNumberFormat="1" borderId="0" fillId="15" fontId="13" numFmtId="14" xfId="0">
      <alignment horizontal="left"/>
    </xf>
    <xf applyAlignment="1" applyBorder="1" applyFill="1" applyFont="1" borderId="0" fillId="15" fontId="21" numFmtId="0" xfId="0">
      <alignment horizontal="left"/>
    </xf>
    <xf applyAlignment="1" applyBorder="1" applyFill="1" applyFont="1" borderId="4" fillId="15" fontId="13" numFmtId="0" xfId="0">
      <alignment horizontal="left"/>
    </xf>
    <xf applyAlignment="1" applyBorder="1" applyFill="1" applyFont="1" borderId="0" fillId="15" fontId="13" numFmtId="0" xfId="0">
      <alignment horizontal="left"/>
    </xf>
    <xf applyAlignment="1" applyFill="1" applyFont="1" borderId="0" fillId="15" fontId="13" numFmtId="0" xfId="0">
      <alignment horizontal="left" vertical="center"/>
    </xf>
    <xf applyAlignment="1" applyBorder="1" applyFill="1" applyFont="1" borderId="0" fillId="0" fontId="13" numFmtId="0" xfId="0">
      <alignment horizontal="left" vertical="center"/>
    </xf>
    <xf applyAlignment="1" applyBorder="1" applyFill="1" applyFont="1" borderId="0" fillId="15" fontId="13" numFmtId="0" quotePrefix="1" xfId="0">
      <alignment horizontal="left"/>
    </xf>
    <xf applyAlignment="1" applyBorder="1" applyFill="1" applyFont="1" borderId="4" fillId="15" fontId="13" numFmtId="0" quotePrefix="1" xfId="0">
      <alignment horizontal="left"/>
    </xf>
    <xf applyAlignment="1" applyFill="1" applyFont="1" borderId="0" fillId="15" fontId="18" numFmtId="0" xfId="0">
      <alignment horizontal="left"/>
    </xf>
    <xf applyAlignment="1" applyFill="1" applyFont="1" applyNumberFormat="1" borderId="0" fillId="15" fontId="13" numFmtId="0" xfId="0">
      <alignment horizontal="left"/>
    </xf>
    <xf applyAlignment="1" applyBorder="1" applyFill="1" borderId="0" fillId="11" fontId="0" numFmtId="0" xfId="0">
      <alignment vertical="center" wrapText="1"/>
    </xf>
    <xf applyAlignment="1" applyBorder="1" applyFill="1" applyFont="1" borderId="0" fillId="2" fontId="4" numFmtId="0" xfId="2">
      <alignment horizontal="center" vertical="center"/>
    </xf>
    <xf applyAlignment="1" applyBorder="1" applyFill="1" applyFont="1" borderId="4" fillId="2" fontId="4" numFmtId="0" xfId="2">
      <alignment horizontal="center" vertical="center"/>
    </xf>
    <xf applyAlignment="1" applyBorder="1" applyFill="1" borderId="4" fillId="11" fontId="0" numFmtId="0" xfId="0">
      <alignment vertical="center" wrapText="1"/>
    </xf>
    <xf applyAlignment="1" applyFill="1" applyFont="1" borderId="0" fillId="2" fontId="13" numFmtId="0" xfId="0">
      <alignment horizontal="center"/>
    </xf>
    <xf applyAlignment="1" applyBorder="1" applyFill="1" applyFont="1" borderId="4" fillId="2" fontId="13" numFmtId="0" xfId="0">
      <alignment horizontal="center"/>
    </xf>
    <xf applyAlignment="1" applyBorder="1" applyFont="1" borderId="3" fillId="0" fontId="6" numFmtId="0" xfId="2">
      <alignment vertical="center"/>
    </xf>
    <xf applyAlignment="1" applyBorder="1" applyFill="1" applyFont="1" borderId="2" fillId="2" fontId="8" numFmtId="0" xfId="0">
      <alignment horizontal="center" vertical="center"/>
    </xf>
    <xf applyAlignment="1" applyBorder="1" applyFill="1" applyFont="1" borderId="5" fillId="2" fontId="2" numFmtId="0" xfId="2">
      <alignment vertical="center"/>
    </xf>
    <xf applyAlignment="1" applyBorder="1" applyFill="1" applyFont="1" borderId="3" fillId="2" fontId="13" numFmtId="0" xfId="0">
      <alignment horizontal="left"/>
    </xf>
    <xf applyAlignment="1" applyBorder="1" applyFill="1" applyFont="1" applyNumberFormat="1" borderId="3" fillId="2" fontId="13" numFmtId="14" xfId="0">
      <alignment horizontal="left"/>
    </xf>
    <xf applyAlignment="1" applyBorder="1" applyFill="1" applyFont="1" borderId="3" fillId="2" fontId="21" numFmtId="0" xfId="0">
      <alignment horizontal="left" wrapText="1"/>
    </xf>
    <xf applyAlignment="1" applyBorder="1" applyFill="1" applyFont="1" borderId="3" fillId="2" fontId="13" numFmtId="0" xfId="0">
      <alignment horizontal="left" wrapText="1"/>
    </xf>
    <xf applyAlignment="1" applyBorder="1" applyFill="1" applyFont="1" borderId="3" fillId="2" fontId="13" numFmtId="0" xfId="0">
      <alignment horizontal="left" vertical="center" wrapText="1"/>
    </xf>
    <xf applyAlignment="1" applyBorder="1" applyFill="1" applyFont="1" borderId="3" fillId="2" fontId="21" numFmtId="0" xfId="0">
      <alignment horizontal="left"/>
    </xf>
    <xf applyAlignment="1" applyBorder="1" applyFill="1" applyFont="1" borderId="3" fillId="2" fontId="13" numFmtId="0" quotePrefix="1" xfId="0">
      <alignment horizontal="left"/>
    </xf>
    <xf applyAlignment="1" applyBorder="1" applyFill="1" applyFont="1" borderId="3" fillId="2" fontId="18" numFmtId="0" xfId="0">
      <alignment horizontal="left"/>
    </xf>
    <xf applyAlignment="1" applyBorder="1" applyFill="1" applyFont="1" applyNumberFormat="1" borderId="3" fillId="2" fontId="13" numFmtId="0" xfId="0">
      <alignment horizontal="left"/>
    </xf>
    <xf applyAlignment="1" applyBorder="1" applyFill="1" applyFont="1" borderId="3" fillId="2" fontId="13" numFmtId="0" xfId="0">
      <alignment horizontal="left" vertical="center"/>
    </xf>
    <xf applyBorder="1" applyFill="1" applyFont="1" borderId="3" fillId="8" fontId="8" numFmtId="0" xfId="3"/>
    <xf applyAlignment="1" applyBorder="1" applyFill="1" applyFont="1" borderId="3" fillId="8" fontId="8" numFmtId="0" xfId="8">
      <alignment horizontal="left"/>
    </xf>
    <xf applyBorder="1" applyFill="1" applyFont="1" borderId="3" fillId="8" fontId="10" numFmtId="0" xfId="3"/>
    <xf applyAlignment="1" applyBorder="1" applyFill="1" applyFont="1" borderId="3" fillId="8" fontId="3" numFmtId="0" xfId="8">
      <alignment horizontal="left"/>
    </xf>
    <xf applyNumberFormat="1" borderId="0" fillId="0" fontId="0" numFmtId="169" xfId="0"/>
    <xf applyAlignment="1" applyBorder="1" applyFill="1" applyFont="1" applyNumberFormat="1" borderId="0" fillId="0" fontId="4" numFmtId="164" xfId="4">
      <alignment horizontal="center" vertical="center"/>
    </xf>
    <xf applyBorder="1" applyNumberFormat="1" borderId="0" fillId="0" fontId="0" numFmtId="169" xfId="0"/>
    <xf applyBorder="1" applyNumberFormat="1" borderId="4" fillId="0" fontId="0" numFmtId="169" xfId="0"/>
    <xf applyAlignment="1" applyBorder="1" applyFill="1" applyFont="1" borderId="2" fillId="2" fontId="2" numFmtId="0" xfId="2">
      <alignment horizontal="center" vertical="center"/>
    </xf>
    <xf applyAlignment="1" applyBorder="1" applyFont="1" borderId="2" fillId="0" fontId="4" numFmtId="0" xfId="0">
      <alignment horizontal="center"/>
    </xf>
    <xf applyAlignment="1" applyBorder="1" applyFont="1" borderId="2" fillId="0" fontId="4" numFmtId="0" xfId="0">
      <alignment horizontal="left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2" fillId="2" fontId="13" numFmtId="0" xfId="0">
      <alignment horizontal="center" vertical="center"/>
    </xf>
    <xf applyAlignment="1" applyBorder="1" applyFont="1" borderId="3" fillId="0" fontId="6" numFmtId="0" xfId="2">
      <alignment horizontal="left"/>
    </xf>
    <xf applyAlignment="1" applyBorder="1" applyFont="1" borderId="17" fillId="0" fontId="6" numFmtId="0" xfId="2">
      <alignment horizontal="center" vertical="center"/>
    </xf>
    <xf applyAlignment="1" applyBorder="1" applyFont="1" borderId="18" fillId="0" fontId="6" numFmtId="0" xfId="2">
      <alignment horizontal="center" vertical="center"/>
    </xf>
    <xf borderId="0" fillId="0" fontId="0" numFmtId="0" xfId="0"/>
    <xf applyAlignment="1" applyBorder="1" applyFill="1" applyFont="1" applyNumberFormat="true" borderId="4" fillId="0" fontId="13" numFmtId="14" xfId="0">
      <alignment horizontal="center"/>
    </xf>
    <xf applyAlignment="1" applyBorder="1" applyFill="1" applyFont="1" applyNumberFormat="true" borderId="0" fillId="0" fontId="13" numFmtId="14" xfId="0">
      <alignment horizontal="center"/>
    </xf>
    <xf applyAlignment="1" applyBorder="1" applyFill="1" applyFont="1" applyNumberFormat="true" borderId="0" fillId="0" fontId="13" numFmtId="14" xfId="0">
      <alignment horizontal="center"/>
    </xf>
    <xf applyBorder="true" borderId="20" fillId="0" fontId="0" numFmtId="0" xfId="0"/>
  </cellXfs>
  <cellStyles count="13">
    <cellStyle builtinId="0" name="Normal" xfId="0"/>
    <cellStyle name=" 1 2 2" xfId="1"/>
    <cellStyle name=" 1" xfId="2"/>
    <cellStyle name="Normal 2" xfId="3"/>
    <cellStyle name="Normal 3" xfId="4"/>
    <cellStyle name="=C:\WINNT\SYSTEM32\COMMAND.COM 4" xfId="5"/>
    <cellStyle name="20% - Accent1 3 2 2" xfId="6"/>
    <cellStyle builtinId="8" name="Hyperlink" xfId="7"/>
    <cellStyle name="Normal 7 3" xfId="8"/>
    <cellStyle name="20% - Accent2 2" xfId="9"/>
    <cellStyle builtinId="4" name="Currency" xfId="10"/>
    <cellStyle builtinId="5" name="Percent" xfId="11"/>
    <cellStyle name="Currency 3" xfId="12"/>
  </cellStyles>
  <dxfs count="0"/>
  <tableStyles count="1" defaultPivotStyle="PivotStyleLight16" defaultTableStyle="TableStyleMedium2">
    <tableStyle count="0" name="Table Style 1" pivo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externalLinks/externalLink1.xml" Type="http://schemas.openxmlformats.org/officeDocument/2006/relationships/externalLink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externalLinks/_rels/externalLink1.xml.rels><?xml version="1.0" encoding="UTF-8" standalone="yes"?><Relationships xmlns="http://schemas.openxmlformats.org/package/2006/relationships"><Relationship Id="rId1" Target="/Projects/QuickPremiumEstimator_Nov.2017v1.0.case%20motor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2:CM136"/>
  <sheetViews>
    <sheetView workbookViewId="0" zoomScale="85" zoomScaleNormal="85">
      <pane activePane="bottomRight" state="frozen" topLeftCell="D7" xSplit="3" ySplit="3"/>
      <selection activeCell="D1" pane="topRight" sqref="D1"/>
      <selection activeCell="A4" pane="bottomLeft" sqref="A4"/>
      <selection activeCell="G23" pane="bottomRight" sqref="G23"/>
    </sheetView>
  </sheetViews>
  <sheetFormatPr defaultColWidth="39.28515625" defaultRowHeight="15" x14ac:dyDescent="0.25"/>
  <cols>
    <col min="1" max="1" bestFit="true" customWidth="true" style="4" width="17.85546875" collapsed="true"/>
    <col min="2" max="2" customWidth="true" style="4" width="10.28515625" collapsed="true"/>
    <col min="3" max="3" bestFit="true" customWidth="true" style="4" width="40.7109375" collapsed="true"/>
    <col min="4" max="4" bestFit="true" customWidth="true" style="4" width="48.7109375" collapsed="true"/>
    <col min="5" max="40" bestFit="true" customWidth="true" style="4" width="42.28515625" collapsed="true"/>
    <col min="41" max="46" bestFit="true" customWidth="true" style="4" width="13.7109375" collapsed="true"/>
    <col min="47" max="70" bestFit="true" customWidth="true" style="4" width="42.28515625" collapsed="true"/>
    <col min="71" max="71" bestFit="true" customWidth="true" style="4" width="12.42578125" collapsed="true"/>
    <col min="72" max="72" bestFit="true" customWidth="true" style="4" width="42.28515625" collapsed="true"/>
    <col min="73" max="74" bestFit="true" customWidth="true" style="4" width="21.140625" collapsed="true"/>
    <col min="75" max="75" bestFit="true" customWidth="true" style="4" width="12.42578125" collapsed="true"/>
    <col min="76" max="76" bestFit="true" customWidth="true" style="4" width="29.0" collapsed="true"/>
    <col min="77" max="77" bestFit="true" customWidth="true" style="4" width="17.85546875" collapsed="true"/>
    <col min="78" max="78" bestFit="true" customWidth="true" style="4" width="42.28515625" collapsed="true"/>
    <col min="79" max="79" bestFit="true" customWidth="true" style="4" width="31.28515625" collapsed="true"/>
    <col min="80" max="81" customWidth="true" style="4" width="13.7109375" collapsed="true"/>
    <col min="82" max="82" customWidth="true" style="158" width="13.7109375" collapsed="true"/>
    <col min="83" max="90" customWidth="true" style="4" width="13.7109375" collapsed="true"/>
    <col min="91" max="16384" style="4" width="39.28515625" collapsed="true"/>
  </cols>
  <sheetData>
    <row r="2" spans="1:90" x14ac:dyDescent="0.25">
      <c r="CB2" s="158"/>
    </row>
    <row r="3" spans="1:90" x14ac:dyDescent="0.25">
      <c r="C3" s="443" t="s">
        <v>107</v>
      </c>
      <c r="D3" s="443"/>
      <c r="E3" s="68"/>
      <c r="F3" s="68"/>
      <c r="G3" s="68"/>
      <c r="H3" s="68"/>
      <c r="I3" s="68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40"/>
      <c r="BT3" s="40"/>
      <c r="BU3" s="40"/>
      <c r="BV3" s="40"/>
      <c r="BW3" s="40"/>
      <c r="BX3" s="40"/>
      <c r="BY3" s="40"/>
      <c r="BZ3" s="40"/>
      <c r="CA3" s="40"/>
      <c r="CB3" s="256"/>
      <c r="CC3" s="40"/>
      <c r="CD3" s="40"/>
      <c r="CE3" s="271"/>
      <c r="CF3" s="40"/>
      <c r="CG3"/>
    </row>
    <row ht="15.75" r="4" spans="1:90" x14ac:dyDescent="0.3">
      <c r="A4" s="35" t="s">
        <v>106</v>
      </c>
      <c r="B4" s="42"/>
      <c r="C4" s="30" t="s">
        <v>105</v>
      </c>
      <c r="D4" s="29" t="s">
        <v>105</v>
      </c>
      <c r="E4" s="72" t="s">
        <v>0</v>
      </c>
      <c r="F4" s="117" t="s">
        <v>104</v>
      </c>
      <c r="G4" s="117" t="s">
        <v>125</v>
      </c>
      <c r="H4" s="117" t="s">
        <v>126</v>
      </c>
      <c r="I4" s="117" t="s">
        <v>127</v>
      </c>
      <c r="J4" s="117" t="s">
        <v>129</v>
      </c>
      <c r="K4" s="117" t="s">
        <v>130</v>
      </c>
      <c r="L4" s="117" t="s">
        <v>131</v>
      </c>
      <c r="M4" s="117" t="s">
        <v>132</v>
      </c>
      <c r="N4" s="117" t="s">
        <v>133</v>
      </c>
      <c r="O4" s="117" t="s">
        <v>191</v>
      </c>
      <c r="P4" s="117" t="s">
        <v>192</v>
      </c>
      <c r="Q4" s="117" t="s">
        <v>193</v>
      </c>
      <c r="R4" s="117" t="s">
        <v>194</v>
      </c>
      <c r="S4" s="117" t="s">
        <v>195</v>
      </c>
      <c r="T4" s="117" t="s">
        <v>196</v>
      </c>
      <c r="U4" s="117" t="s">
        <v>197</v>
      </c>
      <c r="V4" s="117" t="s">
        <v>198</v>
      </c>
      <c r="W4" s="117" t="s">
        <v>199</v>
      </c>
      <c r="X4" s="117" t="s">
        <v>200</v>
      </c>
      <c r="Y4" s="117" t="s">
        <v>201</v>
      </c>
      <c r="Z4" s="117" t="s">
        <v>202</v>
      </c>
      <c r="AA4" s="117" t="s">
        <v>203</v>
      </c>
      <c r="AB4" s="117" t="s">
        <v>204</v>
      </c>
      <c r="AC4" s="117" t="s">
        <v>205</v>
      </c>
      <c r="AD4" s="117" t="s">
        <v>206</v>
      </c>
      <c r="AE4" s="117" t="s">
        <v>207</v>
      </c>
      <c r="AF4" s="117" t="s">
        <v>208</v>
      </c>
      <c r="AG4" s="117" t="s">
        <v>209</v>
      </c>
      <c r="AH4" s="117" t="s">
        <v>210</v>
      </c>
      <c r="AI4" s="117" t="s">
        <v>211</v>
      </c>
      <c r="AJ4" s="117" t="s">
        <v>212</v>
      </c>
      <c r="AK4" s="117" t="s">
        <v>213</v>
      </c>
      <c r="AL4" s="117" t="s">
        <v>214</v>
      </c>
      <c r="AM4" s="117" t="s">
        <v>215</v>
      </c>
      <c r="AN4" s="117" t="s">
        <v>216</v>
      </c>
      <c r="AO4" s="117" t="s">
        <v>217</v>
      </c>
      <c r="AP4" s="117" t="s">
        <v>218</v>
      </c>
      <c r="AQ4" s="117" t="s">
        <v>219</v>
      </c>
      <c r="AR4" s="117" t="s">
        <v>220</v>
      </c>
      <c r="AS4" s="117" t="s">
        <v>221</v>
      </c>
      <c r="AT4" s="117" t="s">
        <v>222</v>
      </c>
      <c r="AU4" s="117" t="s">
        <v>223</v>
      </c>
      <c r="AV4" s="117" t="s">
        <v>224</v>
      </c>
      <c r="AW4" s="117" t="s">
        <v>225</v>
      </c>
      <c r="AX4" s="117" t="s">
        <v>226</v>
      </c>
      <c r="AY4" s="117" t="s">
        <v>227</v>
      </c>
      <c r="AZ4" s="117" t="s">
        <v>228</v>
      </c>
      <c r="BA4" s="117" t="s">
        <v>229</v>
      </c>
      <c r="BB4" s="117" t="s">
        <v>230</v>
      </c>
      <c r="BC4" s="117" t="s">
        <v>231</v>
      </c>
      <c r="BD4" s="117" t="s">
        <v>232</v>
      </c>
      <c r="BE4" s="117" t="s">
        <v>233</v>
      </c>
      <c r="BF4" s="117" t="s">
        <v>234</v>
      </c>
      <c r="BG4" s="117" t="s">
        <v>235</v>
      </c>
      <c r="BH4" s="117" t="s">
        <v>236</v>
      </c>
      <c r="BI4" s="117" t="s">
        <v>237</v>
      </c>
      <c r="BJ4" s="117" t="s">
        <v>238</v>
      </c>
      <c r="BK4" s="117" t="s">
        <v>239</v>
      </c>
      <c r="BL4" s="117" t="s">
        <v>240</v>
      </c>
      <c r="BM4" s="117" t="s">
        <v>241</v>
      </c>
      <c r="BN4" s="117" t="s">
        <v>242</v>
      </c>
      <c r="BO4" s="117" t="s">
        <v>243</v>
      </c>
      <c r="BP4" s="117" t="s">
        <v>244</v>
      </c>
      <c r="BQ4" s="117" t="s">
        <v>245</v>
      </c>
      <c r="BR4" s="117" t="s">
        <v>246</v>
      </c>
      <c r="BS4" s="117" t="s">
        <v>950</v>
      </c>
      <c r="BT4" s="117" t="s">
        <v>951</v>
      </c>
      <c r="BU4" s="117" t="s">
        <v>952</v>
      </c>
      <c r="BV4" s="117" t="s">
        <v>953</v>
      </c>
      <c r="BW4" s="117" t="s">
        <v>954</v>
      </c>
      <c r="BX4" s="117" t="s">
        <v>955</v>
      </c>
      <c r="BY4" s="117" t="s">
        <v>956</v>
      </c>
      <c r="BZ4" s="117" t="s">
        <v>957</v>
      </c>
      <c r="CA4" s="117" t="s">
        <v>1166</v>
      </c>
      <c r="CB4" s="110" t="s">
        <v>1202</v>
      </c>
      <c r="CC4" s="117" t="s">
        <v>1209</v>
      </c>
      <c r="CD4" s="270" t="s">
        <v>1226</v>
      </c>
      <c r="CE4" s="342" t="s">
        <v>1229</v>
      </c>
      <c r="CF4" s="327" t="s">
        <v>1250</v>
      </c>
      <c r="CG4" s="327" t="s">
        <v>1254</v>
      </c>
      <c r="CH4" s="327" t="s">
        <v>1256</v>
      </c>
      <c r="CI4" s="351" t="s">
        <v>1260</v>
      </c>
      <c r="CJ4" s="184" t="s">
        <v>1261</v>
      </c>
      <c r="CK4" s="184" t="s">
        <v>1262</v>
      </c>
      <c r="CL4" s="184" t="s">
        <v>1296</v>
      </c>
    </row>
    <row r="5" spans="1:90" x14ac:dyDescent="0.25">
      <c r="C5" s="30" t="s">
        <v>103</v>
      </c>
      <c r="D5" s="29" t="s">
        <v>103</v>
      </c>
      <c r="E5" s="115" t="s">
        <v>280</v>
      </c>
      <c r="F5" s="28" t="s">
        <v>279</v>
      </c>
      <c r="G5" s="28" t="s">
        <v>279</v>
      </c>
      <c r="H5" s="28" t="s">
        <v>279</v>
      </c>
      <c r="I5" s="28" t="s">
        <v>279</v>
      </c>
      <c r="J5" s="28" t="s">
        <v>279</v>
      </c>
      <c r="K5" s="28" t="s">
        <v>279</v>
      </c>
      <c r="L5" s="28" t="s">
        <v>279</v>
      </c>
      <c r="M5" s="28" t="s">
        <v>279</v>
      </c>
      <c r="N5" s="28" t="s">
        <v>279</v>
      </c>
      <c r="O5" s="28" t="s">
        <v>279</v>
      </c>
      <c r="P5" s="28" t="s">
        <v>279</v>
      </c>
      <c r="Q5" s="28" t="s">
        <v>279</v>
      </c>
      <c r="R5" s="28" t="s">
        <v>279</v>
      </c>
      <c r="S5" s="28" t="s">
        <v>279</v>
      </c>
      <c r="T5" s="28" t="s">
        <v>279</v>
      </c>
      <c r="U5" s="28" t="s">
        <v>279</v>
      </c>
      <c r="V5" s="28" t="s">
        <v>279</v>
      </c>
      <c r="W5" s="28" t="s">
        <v>279</v>
      </c>
      <c r="X5" s="28" t="s">
        <v>279</v>
      </c>
      <c r="Y5" s="28" t="s">
        <v>279</v>
      </c>
      <c r="Z5" s="28" t="s">
        <v>279</v>
      </c>
      <c r="AA5" s="28" t="s">
        <v>279</v>
      </c>
      <c r="AB5" s="28" t="s">
        <v>280</v>
      </c>
      <c r="AC5" s="28" t="s">
        <v>280</v>
      </c>
      <c r="AD5" s="28" t="s">
        <v>280</v>
      </c>
      <c r="AE5" s="28" t="s">
        <v>280</v>
      </c>
      <c r="AF5" s="28" t="s">
        <v>280</v>
      </c>
      <c r="AG5" s="28" t="s">
        <v>280</v>
      </c>
      <c r="AH5" s="28" t="s">
        <v>280</v>
      </c>
      <c r="AI5" s="28" t="s">
        <v>280</v>
      </c>
      <c r="AJ5" s="28" t="s">
        <v>280</v>
      </c>
      <c r="AK5" s="28" t="s">
        <v>280</v>
      </c>
      <c r="AL5" s="28" t="s">
        <v>280</v>
      </c>
      <c r="AM5" s="28" t="s">
        <v>280</v>
      </c>
      <c r="AN5" s="28" t="s">
        <v>280</v>
      </c>
      <c r="AO5" s="28" t="s">
        <v>280</v>
      </c>
      <c r="AP5" s="28" t="s">
        <v>280</v>
      </c>
      <c r="AQ5" s="28" t="s">
        <v>280</v>
      </c>
      <c r="AR5" s="28" t="s">
        <v>280</v>
      </c>
      <c r="AS5" s="28" t="s">
        <v>280</v>
      </c>
      <c r="AT5" s="28" t="s">
        <v>280</v>
      </c>
      <c r="AU5" s="28" t="s">
        <v>279</v>
      </c>
      <c r="AV5" s="28" t="s">
        <v>279</v>
      </c>
      <c r="AW5" s="28" t="s">
        <v>279</v>
      </c>
      <c r="AX5" s="28" t="s">
        <v>279</v>
      </c>
      <c r="AY5" s="28" t="s">
        <v>279</v>
      </c>
      <c r="AZ5" s="28" t="s">
        <v>279</v>
      </c>
      <c r="BA5" s="28" t="s">
        <v>279</v>
      </c>
      <c r="BB5" s="28" t="s">
        <v>279</v>
      </c>
      <c r="BC5" s="28" t="s">
        <v>279</v>
      </c>
      <c r="BD5" s="28" t="s">
        <v>279</v>
      </c>
      <c r="BE5" s="28" t="s">
        <v>279</v>
      </c>
      <c r="BF5" s="28" t="s">
        <v>279</v>
      </c>
      <c r="BG5" s="28" t="s">
        <v>279</v>
      </c>
      <c r="BH5" s="28" t="s">
        <v>279</v>
      </c>
      <c r="BI5" s="28" t="s">
        <v>279</v>
      </c>
      <c r="BJ5" s="28" t="s">
        <v>279</v>
      </c>
      <c r="BK5" s="28" t="s">
        <v>279</v>
      </c>
      <c r="BL5" s="28" t="s">
        <v>279</v>
      </c>
      <c r="BM5" s="28" t="s">
        <v>279</v>
      </c>
      <c r="BN5" s="28" t="s">
        <v>279</v>
      </c>
      <c r="BO5" s="28" t="s">
        <v>279</v>
      </c>
      <c r="BP5" s="28" t="s">
        <v>279</v>
      </c>
      <c r="BQ5" s="28" t="s">
        <v>279</v>
      </c>
      <c r="BR5" s="28" t="s">
        <v>279</v>
      </c>
      <c r="BS5" s="28" t="s">
        <v>279</v>
      </c>
      <c r="BT5" s="28" t="s">
        <v>279</v>
      </c>
      <c r="BU5" s="28" t="s">
        <v>279</v>
      </c>
      <c r="BV5" s="28" t="s">
        <v>279</v>
      </c>
      <c r="BW5" s="28" t="s">
        <v>279</v>
      </c>
      <c r="BX5" s="28" t="s">
        <v>279</v>
      </c>
      <c r="BY5" s="28" t="s">
        <v>279</v>
      </c>
      <c r="BZ5" s="28" t="s">
        <v>279</v>
      </c>
      <c r="CA5" s="115" t="s">
        <v>280</v>
      </c>
      <c r="CB5" s="262" t="s">
        <v>280</v>
      </c>
      <c r="CC5" s="115" t="s">
        <v>279</v>
      </c>
      <c r="CD5" s="115" t="s">
        <v>279</v>
      </c>
      <c r="CE5" s="262" t="s">
        <v>280</v>
      </c>
      <c r="CF5" s="317" t="s">
        <v>279</v>
      </c>
      <c r="CG5" s="317" t="s">
        <v>279</v>
      </c>
      <c r="CH5" s="317" t="s">
        <v>279</v>
      </c>
      <c r="CI5" s="345" t="s">
        <v>279</v>
      </c>
      <c r="CJ5" s="194" t="s">
        <v>279</v>
      </c>
      <c r="CK5" s="194" t="s">
        <v>279</v>
      </c>
      <c r="CL5" s="194" t="s">
        <v>279</v>
      </c>
    </row>
    <row r="6" spans="1:90" x14ac:dyDescent="0.25">
      <c r="C6" s="30" t="s">
        <v>10</v>
      </c>
      <c r="D6" s="29" t="s">
        <v>10</v>
      </c>
      <c r="E6" s="31">
        <v>43100</v>
      </c>
      <c r="F6" s="31">
        <v>43100</v>
      </c>
      <c r="G6" s="31">
        <v>43100</v>
      </c>
      <c r="H6" s="31">
        <v>43100</v>
      </c>
      <c r="I6" s="31">
        <v>43100</v>
      </c>
      <c r="J6" s="31">
        <v>43100</v>
      </c>
      <c r="K6" s="31">
        <v>43100</v>
      </c>
      <c r="L6" s="31">
        <v>43100</v>
      </c>
      <c r="M6" s="31">
        <v>43100</v>
      </c>
      <c r="N6" s="31">
        <v>43100</v>
      </c>
      <c r="O6" s="31">
        <v>43100</v>
      </c>
      <c r="P6" s="31">
        <v>43100</v>
      </c>
      <c r="Q6" s="31">
        <v>43100</v>
      </c>
      <c r="R6" s="31">
        <v>43100</v>
      </c>
      <c r="S6" s="31">
        <v>43100</v>
      </c>
      <c r="T6" s="31">
        <v>43100</v>
      </c>
      <c r="U6" s="31">
        <v>43100</v>
      </c>
      <c r="V6" s="31">
        <v>43100</v>
      </c>
      <c r="W6" s="31">
        <v>43100</v>
      </c>
      <c r="X6" s="31">
        <v>43100</v>
      </c>
      <c r="Y6" s="31">
        <v>43100</v>
      </c>
      <c r="Z6" s="31">
        <v>43100</v>
      </c>
      <c r="AA6" s="31">
        <v>43100</v>
      </c>
      <c r="AB6" s="31">
        <v>43269</v>
      </c>
      <c r="AC6" s="31">
        <v>43269</v>
      </c>
      <c r="AD6" s="31">
        <v>43269</v>
      </c>
      <c r="AE6" s="31">
        <v>43269</v>
      </c>
      <c r="AF6" s="31">
        <v>43269</v>
      </c>
      <c r="AG6" s="31">
        <v>43634</v>
      </c>
      <c r="AH6" s="31">
        <v>43999</v>
      </c>
      <c r="AI6" s="31">
        <v>44364</v>
      </c>
      <c r="AJ6" s="31">
        <v>44729</v>
      </c>
      <c r="AK6" s="31">
        <v>45094</v>
      </c>
      <c r="AL6" s="31">
        <v>45459</v>
      </c>
      <c r="AM6" s="31">
        <v>45824</v>
      </c>
      <c r="AN6" s="31">
        <v>46189</v>
      </c>
      <c r="AO6" s="31">
        <v>43269</v>
      </c>
      <c r="AP6" s="31">
        <v>43269</v>
      </c>
      <c r="AQ6" s="31">
        <v>43269</v>
      </c>
      <c r="AR6" s="31">
        <v>43269</v>
      </c>
      <c r="AS6" s="31">
        <v>43269</v>
      </c>
      <c r="AT6" s="31">
        <v>43269</v>
      </c>
      <c r="AU6" s="31">
        <v>43269</v>
      </c>
      <c r="AV6" s="31">
        <v>43269</v>
      </c>
      <c r="AW6" s="31">
        <v>43269</v>
      </c>
      <c r="AX6" s="31">
        <v>43634</v>
      </c>
      <c r="AY6" s="31">
        <v>44000</v>
      </c>
      <c r="AZ6" s="31">
        <v>44000</v>
      </c>
      <c r="BA6" s="31">
        <v>44000</v>
      </c>
      <c r="BB6" s="31">
        <v>44000</v>
      </c>
      <c r="BC6" s="31">
        <v>44365</v>
      </c>
      <c r="BD6" s="31">
        <v>44730</v>
      </c>
      <c r="BE6" s="31">
        <v>45095</v>
      </c>
      <c r="BF6" s="31">
        <v>45461</v>
      </c>
      <c r="BG6" s="31">
        <v>43269</v>
      </c>
      <c r="BH6" s="31">
        <v>43269</v>
      </c>
      <c r="BI6" s="31">
        <v>43269</v>
      </c>
      <c r="BJ6" s="31">
        <v>43269</v>
      </c>
      <c r="BK6" s="31">
        <v>43269</v>
      </c>
      <c r="BL6" s="31">
        <v>43269</v>
      </c>
      <c r="BM6" s="31">
        <v>43269</v>
      </c>
      <c r="BN6" s="31">
        <v>43269</v>
      </c>
      <c r="BO6" s="31">
        <v>43269</v>
      </c>
      <c r="BP6" s="31">
        <v>43269</v>
      </c>
      <c r="BQ6" s="31">
        <v>43269</v>
      </c>
      <c r="BR6" s="31">
        <v>43269</v>
      </c>
      <c r="BS6" s="31">
        <v>43100</v>
      </c>
      <c r="BT6" s="31">
        <v>43100</v>
      </c>
      <c r="BU6" s="31">
        <v>43100</v>
      </c>
      <c r="BV6" s="31">
        <v>43100</v>
      </c>
      <c r="BW6" s="31">
        <v>43100</v>
      </c>
      <c r="BX6" s="31">
        <v>43100</v>
      </c>
      <c r="BY6" s="31">
        <v>43100</v>
      </c>
      <c r="BZ6" s="31">
        <v>43100</v>
      </c>
      <c r="CA6" s="31">
        <v>43425</v>
      </c>
      <c r="CB6" s="263">
        <v>43100</v>
      </c>
      <c r="CC6" s="116">
        <v>43434</v>
      </c>
      <c r="CD6" s="116">
        <v>43425</v>
      </c>
      <c r="CE6" s="263">
        <v>43100</v>
      </c>
      <c r="CF6" s="328">
        <v>43447</v>
      </c>
      <c r="CG6" s="328">
        <v>43447</v>
      </c>
      <c r="CH6" s="328">
        <v>43447</v>
      </c>
      <c r="CI6" s="352">
        <v>43086</v>
      </c>
      <c r="CJ6" s="201">
        <v>43086</v>
      </c>
      <c r="CK6" s="201">
        <v>43086</v>
      </c>
      <c r="CL6" s="201">
        <v>43086</v>
      </c>
    </row>
    <row customFormat="1" r="7" s="158" spans="1:90" x14ac:dyDescent="0.25">
      <c r="C7" s="30" t="s">
        <v>1170</v>
      </c>
      <c r="D7" s="29" t="s">
        <v>1170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>
        <v>43425</v>
      </c>
      <c r="CB7" s="263"/>
      <c r="CC7" s="116">
        <v>43434</v>
      </c>
      <c r="CD7" s="116">
        <v>43425</v>
      </c>
      <c r="CE7" s="263"/>
      <c r="CF7" s="328">
        <v>43447</v>
      </c>
      <c r="CG7" s="328">
        <v>43447</v>
      </c>
      <c r="CH7" s="328">
        <v>43447</v>
      </c>
      <c r="CI7" s="352"/>
      <c r="CJ7" s="201"/>
      <c r="CK7" s="201">
        <v>43086</v>
      </c>
      <c r="CL7" s="201">
        <v>43086</v>
      </c>
    </row>
    <row r="8" spans="1:90" x14ac:dyDescent="0.25">
      <c r="C8" s="30" t="s">
        <v>931</v>
      </c>
      <c r="D8" s="29" t="s">
        <v>932</v>
      </c>
      <c r="E8" s="41"/>
      <c r="F8" s="41" t="s">
        <v>102</v>
      </c>
      <c r="G8" s="41"/>
      <c r="H8" s="41" t="s">
        <v>102</v>
      </c>
      <c r="I8" s="41"/>
      <c r="J8" s="41"/>
      <c r="K8" s="41" t="s">
        <v>102</v>
      </c>
      <c r="L8" s="41" t="s">
        <v>102</v>
      </c>
      <c r="M8" s="41" t="s">
        <v>102</v>
      </c>
      <c r="N8" s="41" t="s">
        <v>102</v>
      </c>
      <c r="O8" s="41" t="s">
        <v>102</v>
      </c>
      <c r="P8" s="41" t="s">
        <v>102</v>
      </c>
      <c r="Q8" s="41" t="s">
        <v>102</v>
      </c>
      <c r="R8" s="41" t="s">
        <v>102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117" t="s">
        <v>1169</v>
      </c>
      <c r="CB8" s="110"/>
      <c r="CC8" s="117" t="s">
        <v>1210</v>
      </c>
      <c r="CD8" s="117" t="s">
        <v>1227</v>
      </c>
      <c r="CE8" s="110"/>
      <c r="CF8" s="317" t="s">
        <v>1252</v>
      </c>
      <c r="CG8" s="317" t="s">
        <v>1252</v>
      </c>
      <c r="CH8" s="317" t="s">
        <v>1252</v>
      </c>
      <c r="CI8" s="345" t="s">
        <v>1036</v>
      </c>
      <c r="CJ8" s="194" t="s">
        <v>1036</v>
      </c>
      <c r="CK8" s="194" t="s">
        <v>1036</v>
      </c>
      <c r="CL8" s="194" t="s">
        <v>1036</v>
      </c>
    </row>
    <row r="9" spans="1:90" x14ac:dyDescent="0.25">
      <c r="C9" s="30" t="s">
        <v>101</v>
      </c>
      <c r="D9" s="29" t="s">
        <v>101</v>
      </c>
      <c r="E9" s="28" t="s">
        <v>151</v>
      </c>
      <c r="F9" s="28" t="s">
        <v>151</v>
      </c>
      <c r="G9" s="28" t="s">
        <v>151</v>
      </c>
      <c r="H9" s="28" t="s">
        <v>151</v>
      </c>
      <c r="I9" s="28" t="s">
        <v>151</v>
      </c>
      <c r="J9" s="28" t="s">
        <v>151</v>
      </c>
      <c r="K9" s="28" t="s">
        <v>151</v>
      </c>
      <c r="L9" s="28" t="s">
        <v>151</v>
      </c>
      <c r="M9" s="28" t="s">
        <v>151</v>
      </c>
      <c r="N9" s="28" t="s">
        <v>151</v>
      </c>
      <c r="O9" s="28" t="s">
        <v>151</v>
      </c>
      <c r="P9" s="28" t="s">
        <v>151</v>
      </c>
      <c r="Q9" s="28" t="s">
        <v>151</v>
      </c>
      <c r="R9" s="28" t="s">
        <v>151</v>
      </c>
      <c r="S9" s="28" t="s">
        <v>151</v>
      </c>
      <c r="T9" s="28" t="s">
        <v>151</v>
      </c>
      <c r="U9" s="28" t="s">
        <v>151</v>
      </c>
      <c r="V9" s="28" t="s">
        <v>151</v>
      </c>
      <c r="W9" s="28" t="s">
        <v>151</v>
      </c>
      <c r="X9" s="28" t="s">
        <v>151</v>
      </c>
      <c r="Y9" s="28" t="s">
        <v>151</v>
      </c>
      <c r="Z9" s="28" t="s">
        <v>151</v>
      </c>
      <c r="AA9" s="28" t="s">
        <v>151</v>
      </c>
      <c r="AB9" s="28" t="s">
        <v>151</v>
      </c>
      <c r="AC9" s="28" t="s">
        <v>151</v>
      </c>
      <c r="AD9" s="28" t="s">
        <v>151</v>
      </c>
      <c r="AE9" s="28" t="s">
        <v>151</v>
      </c>
      <c r="AF9" s="28" t="s">
        <v>151</v>
      </c>
      <c r="AG9" s="28" t="s">
        <v>151</v>
      </c>
      <c r="AH9" s="28" t="s">
        <v>151</v>
      </c>
      <c r="AI9" s="28" t="s">
        <v>151</v>
      </c>
      <c r="AJ9" s="28" t="s">
        <v>151</v>
      </c>
      <c r="AK9" s="28" t="s">
        <v>151</v>
      </c>
      <c r="AL9" s="28" t="s">
        <v>151</v>
      </c>
      <c r="AM9" s="28" t="s">
        <v>151</v>
      </c>
      <c r="AN9" s="28" t="s">
        <v>151</v>
      </c>
      <c r="AO9" s="28" t="s">
        <v>247</v>
      </c>
      <c r="AP9" s="28" t="s">
        <v>247</v>
      </c>
      <c r="AQ9" s="28" t="s">
        <v>247</v>
      </c>
      <c r="AR9" s="28" t="s">
        <v>247</v>
      </c>
      <c r="AS9" s="28" t="s">
        <v>247</v>
      </c>
      <c r="AT9" s="28" t="s">
        <v>247</v>
      </c>
      <c r="AU9" s="28" t="s">
        <v>151</v>
      </c>
      <c r="AV9" s="28" t="s">
        <v>151</v>
      </c>
      <c r="AW9" s="28" t="s">
        <v>151</v>
      </c>
      <c r="AX9" s="28" t="s">
        <v>151</v>
      </c>
      <c r="AY9" s="28" t="s">
        <v>151</v>
      </c>
      <c r="AZ9" s="28" t="s">
        <v>151</v>
      </c>
      <c r="BA9" s="28" t="s">
        <v>151</v>
      </c>
      <c r="BB9" s="28" t="s">
        <v>151</v>
      </c>
      <c r="BC9" s="28" t="s">
        <v>151</v>
      </c>
      <c r="BD9" s="28" t="s">
        <v>151</v>
      </c>
      <c r="BE9" s="28" t="s">
        <v>151</v>
      </c>
      <c r="BF9" s="28" t="s">
        <v>151</v>
      </c>
      <c r="BG9" s="28" t="s">
        <v>151</v>
      </c>
      <c r="BH9" s="28" t="s">
        <v>151</v>
      </c>
      <c r="BI9" s="28" t="s">
        <v>151</v>
      </c>
      <c r="BJ9" s="28" t="s">
        <v>151</v>
      </c>
      <c r="BK9" s="28" t="s">
        <v>151</v>
      </c>
      <c r="BL9" s="28" t="s">
        <v>151</v>
      </c>
      <c r="BM9" s="28" t="s">
        <v>151</v>
      </c>
      <c r="BN9" s="28" t="s">
        <v>151</v>
      </c>
      <c r="BO9" s="28" t="s">
        <v>151</v>
      </c>
      <c r="BP9" s="28" t="s">
        <v>151</v>
      </c>
      <c r="BQ9" s="28" t="s">
        <v>151</v>
      </c>
      <c r="BR9" s="28" t="s">
        <v>151</v>
      </c>
      <c r="BS9" s="28" t="s">
        <v>151</v>
      </c>
      <c r="BT9" s="28" t="s">
        <v>151</v>
      </c>
      <c r="BU9" s="28" t="s">
        <v>151</v>
      </c>
      <c r="BV9" s="28" t="s">
        <v>151</v>
      </c>
      <c r="BW9" s="28" t="s">
        <v>151</v>
      </c>
      <c r="BX9" s="28" t="s">
        <v>151</v>
      </c>
      <c r="BY9" s="28" t="s">
        <v>151</v>
      </c>
      <c r="BZ9" s="28" t="s">
        <v>151</v>
      </c>
      <c r="CA9" s="115" t="s">
        <v>151</v>
      </c>
      <c r="CB9" s="262" t="s">
        <v>151</v>
      </c>
      <c r="CC9" s="115" t="s">
        <v>151</v>
      </c>
      <c r="CD9" s="115" t="s">
        <v>151</v>
      </c>
      <c r="CE9" s="262" t="s">
        <v>151</v>
      </c>
      <c r="CF9" s="317" t="s">
        <v>151</v>
      </c>
      <c r="CG9" s="317" t="s">
        <v>151</v>
      </c>
      <c r="CH9" s="317" t="s">
        <v>151</v>
      </c>
      <c r="CI9" s="345" t="s">
        <v>151</v>
      </c>
      <c r="CJ9" s="194" t="s">
        <v>1001</v>
      </c>
      <c r="CK9" s="194" t="s">
        <v>151</v>
      </c>
      <c r="CL9" s="194" t="s">
        <v>1001</v>
      </c>
    </row>
    <row r="10" spans="1:90" x14ac:dyDescent="0.25">
      <c r="C10" s="30" t="s">
        <v>153</v>
      </c>
      <c r="D10" s="29" t="s">
        <v>153</v>
      </c>
      <c r="E10" s="28" t="s">
        <v>1003</v>
      </c>
      <c r="F10" s="28" t="s">
        <v>160</v>
      </c>
      <c r="G10" s="28" t="s">
        <v>160</v>
      </c>
      <c r="H10" s="28" t="s">
        <v>160</v>
      </c>
      <c r="I10" s="28" t="s">
        <v>160</v>
      </c>
      <c r="J10" s="28" t="s">
        <v>160</v>
      </c>
      <c r="K10" s="28" t="s">
        <v>160</v>
      </c>
      <c r="L10" s="28" t="s">
        <v>160</v>
      </c>
      <c r="M10" s="28" t="s">
        <v>160</v>
      </c>
      <c r="N10" s="28" t="s">
        <v>160</v>
      </c>
      <c r="O10" s="28" t="s">
        <v>160</v>
      </c>
      <c r="P10" s="28" t="s">
        <v>160</v>
      </c>
      <c r="Q10" s="28" t="s">
        <v>160</v>
      </c>
      <c r="R10" s="28" t="s">
        <v>160</v>
      </c>
      <c r="S10" s="28" t="s">
        <v>160</v>
      </c>
      <c r="T10" s="28" t="s">
        <v>160</v>
      </c>
      <c r="U10" s="28" t="s">
        <v>160</v>
      </c>
      <c r="V10" s="28" t="s">
        <v>160</v>
      </c>
      <c r="W10" s="28" t="s">
        <v>160</v>
      </c>
      <c r="X10" s="28" t="s">
        <v>160</v>
      </c>
      <c r="Y10" s="28" t="s">
        <v>160</v>
      </c>
      <c r="Z10" s="28" t="s">
        <v>160</v>
      </c>
      <c r="AA10" s="28" t="s">
        <v>160</v>
      </c>
      <c r="AB10" s="28" t="s">
        <v>160</v>
      </c>
      <c r="AC10" s="28" t="s">
        <v>160</v>
      </c>
      <c r="AD10" s="28" t="s">
        <v>160</v>
      </c>
      <c r="AE10" s="28" t="s">
        <v>160</v>
      </c>
      <c r="AF10" s="28" t="s">
        <v>160</v>
      </c>
      <c r="AG10" s="28" t="s">
        <v>160</v>
      </c>
      <c r="AH10" s="28" t="s">
        <v>160</v>
      </c>
      <c r="AI10" s="28" t="s">
        <v>160</v>
      </c>
      <c r="AJ10" s="28" t="s">
        <v>160</v>
      </c>
      <c r="AK10" s="28" t="s">
        <v>160</v>
      </c>
      <c r="AL10" s="28" t="s">
        <v>160</v>
      </c>
      <c r="AM10" s="28" t="s">
        <v>160</v>
      </c>
      <c r="AN10" s="28" t="s">
        <v>160</v>
      </c>
      <c r="AO10" s="28" t="s">
        <v>160</v>
      </c>
      <c r="AP10" s="28" t="s">
        <v>160</v>
      </c>
      <c r="AQ10" s="28" t="s">
        <v>160</v>
      </c>
      <c r="AR10" s="28" t="s">
        <v>160</v>
      </c>
      <c r="AS10" s="28" t="s">
        <v>160</v>
      </c>
      <c r="AT10" s="28" t="s">
        <v>160</v>
      </c>
      <c r="AU10" s="28" t="s">
        <v>160</v>
      </c>
      <c r="AV10" s="28" t="s">
        <v>160</v>
      </c>
      <c r="AW10" s="28" t="s">
        <v>160</v>
      </c>
      <c r="AX10" s="28" t="s">
        <v>160</v>
      </c>
      <c r="AY10" s="28" t="s">
        <v>160</v>
      </c>
      <c r="AZ10" s="28" t="s">
        <v>160</v>
      </c>
      <c r="BA10" s="28" t="s">
        <v>160</v>
      </c>
      <c r="BB10" s="28" t="s">
        <v>160</v>
      </c>
      <c r="BC10" s="28" t="s">
        <v>160</v>
      </c>
      <c r="BD10" s="28" t="s">
        <v>160</v>
      </c>
      <c r="BE10" s="28" t="s">
        <v>160</v>
      </c>
      <c r="BF10" s="28" t="s">
        <v>160</v>
      </c>
      <c r="BG10" s="28" t="s">
        <v>160</v>
      </c>
      <c r="BH10" s="28" t="s">
        <v>160</v>
      </c>
      <c r="BI10" s="28" t="s">
        <v>160</v>
      </c>
      <c r="BJ10" s="28" t="s">
        <v>160</v>
      </c>
      <c r="BK10" s="28" t="s">
        <v>160</v>
      </c>
      <c r="BL10" s="28" t="s">
        <v>160</v>
      </c>
      <c r="BM10" s="28" t="s">
        <v>160</v>
      </c>
      <c r="BN10" s="28" t="s">
        <v>160</v>
      </c>
      <c r="BO10" s="28" t="s">
        <v>160</v>
      </c>
      <c r="BP10" s="28" t="s">
        <v>160</v>
      </c>
      <c r="BQ10" s="28" t="s">
        <v>160</v>
      </c>
      <c r="BR10" s="28" t="s">
        <v>160</v>
      </c>
      <c r="BS10" s="28" t="s">
        <v>160</v>
      </c>
      <c r="BT10" s="28" t="s">
        <v>160</v>
      </c>
      <c r="BU10" s="28" t="s">
        <v>160</v>
      </c>
      <c r="BV10" s="28" t="s">
        <v>160</v>
      </c>
      <c r="BW10" s="28" t="s">
        <v>160</v>
      </c>
      <c r="BX10" s="28" t="s">
        <v>160</v>
      </c>
      <c r="BY10" s="28" t="s">
        <v>160</v>
      </c>
      <c r="BZ10" s="28" t="s">
        <v>160</v>
      </c>
      <c r="CA10" s="115" t="s">
        <v>160</v>
      </c>
      <c r="CB10" s="262" t="s">
        <v>1003</v>
      </c>
      <c r="CC10" s="115" t="s">
        <v>1038</v>
      </c>
      <c r="CD10" s="115" t="s">
        <v>160</v>
      </c>
      <c r="CE10" s="262" t="s">
        <v>1038</v>
      </c>
      <c r="CF10" s="317" t="s">
        <v>160</v>
      </c>
      <c r="CG10" s="317" t="s">
        <v>160</v>
      </c>
      <c r="CH10" s="317" t="s">
        <v>160</v>
      </c>
      <c r="CI10" s="345" t="s">
        <v>160</v>
      </c>
      <c r="CJ10" s="194" t="s">
        <v>160</v>
      </c>
      <c r="CK10" s="194" t="s">
        <v>160</v>
      </c>
      <c r="CL10" s="194" t="s">
        <v>1003</v>
      </c>
    </row>
    <row r="11" spans="1:90" x14ac:dyDescent="0.25">
      <c r="C11" s="30" t="s">
        <v>100</v>
      </c>
      <c r="D11" s="29" t="s">
        <v>137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2</v>
      </c>
      <c r="K11" s="28">
        <v>1</v>
      </c>
      <c r="L11" s="28">
        <v>2</v>
      </c>
      <c r="M11" s="28">
        <v>2</v>
      </c>
      <c r="N11" s="28">
        <v>2</v>
      </c>
      <c r="O11" s="28">
        <v>1</v>
      </c>
      <c r="P11" s="28">
        <v>2</v>
      </c>
      <c r="Q11" s="28">
        <v>2</v>
      </c>
      <c r="R11" s="28">
        <v>2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2</v>
      </c>
      <c r="AC11" s="28">
        <v>2</v>
      </c>
      <c r="AD11" s="28">
        <v>2</v>
      </c>
      <c r="AE11" s="28">
        <v>2</v>
      </c>
      <c r="AF11" s="28">
        <v>3</v>
      </c>
      <c r="AG11" s="28">
        <v>3</v>
      </c>
      <c r="AH11" s="28">
        <v>3</v>
      </c>
      <c r="AI11" s="28">
        <v>3</v>
      </c>
      <c r="AJ11" s="28">
        <v>3</v>
      </c>
      <c r="AK11" s="28">
        <v>3</v>
      </c>
      <c r="AL11" s="28">
        <v>3</v>
      </c>
      <c r="AM11" s="28">
        <v>3</v>
      </c>
      <c r="AN11" s="28">
        <v>3</v>
      </c>
      <c r="AO11" s="28">
        <v>3</v>
      </c>
      <c r="AP11" s="28">
        <v>3</v>
      </c>
      <c r="AQ11" s="28">
        <v>3</v>
      </c>
      <c r="AR11" s="28">
        <v>3</v>
      </c>
      <c r="AS11" s="28">
        <v>3</v>
      </c>
      <c r="AT11" s="28">
        <v>3</v>
      </c>
      <c r="AU11" s="28">
        <v>3</v>
      </c>
      <c r="AV11" s="28">
        <v>3</v>
      </c>
      <c r="AW11" s="28">
        <v>3</v>
      </c>
      <c r="AX11" s="28">
        <v>3</v>
      </c>
      <c r="AY11" s="28">
        <v>3</v>
      </c>
      <c r="AZ11" s="28">
        <v>3</v>
      </c>
      <c r="BA11" s="28">
        <v>3</v>
      </c>
      <c r="BB11" s="28">
        <v>3</v>
      </c>
      <c r="BC11" s="28">
        <v>3</v>
      </c>
      <c r="BD11" s="28">
        <v>3</v>
      </c>
      <c r="BE11" s="28">
        <v>3</v>
      </c>
      <c r="BF11" s="28">
        <v>3</v>
      </c>
      <c r="BG11" s="28">
        <v>3</v>
      </c>
      <c r="BH11" s="28">
        <v>3</v>
      </c>
      <c r="BI11" s="28">
        <v>3</v>
      </c>
      <c r="BJ11" s="28">
        <v>3</v>
      </c>
      <c r="BK11" s="28">
        <v>3</v>
      </c>
      <c r="BL11" s="28">
        <v>3</v>
      </c>
      <c r="BM11" s="28">
        <v>3</v>
      </c>
      <c r="BN11" s="28">
        <v>3</v>
      </c>
      <c r="BO11" s="28">
        <v>3</v>
      </c>
      <c r="BP11" s="28">
        <v>3</v>
      </c>
      <c r="BQ11" s="28">
        <v>3</v>
      </c>
      <c r="BR11" s="28">
        <v>3</v>
      </c>
      <c r="BS11" s="28">
        <v>1</v>
      </c>
      <c r="BT11" s="28">
        <v>1</v>
      </c>
      <c r="BU11" s="28">
        <v>1</v>
      </c>
      <c r="BV11" s="28">
        <v>1</v>
      </c>
      <c r="BW11" s="28">
        <v>1</v>
      </c>
      <c r="BX11" s="28">
        <v>1</v>
      </c>
      <c r="BY11" s="28">
        <v>1</v>
      </c>
      <c r="BZ11" s="28">
        <v>1</v>
      </c>
      <c r="CA11" s="28">
        <v>1</v>
      </c>
      <c r="CB11" s="262">
        <v>1</v>
      </c>
      <c r="CC11" s="115">
        <v>5</v>
      </c>
      <c r="CD11" s="115">
        <v>1</v>
      </c>
      <c r="CE11" s="262">
        <v>1</v>
      </c>
      <c r="CF11" s="317">
        <v>1</v>
      </c>
      <c r="CG11" s="317">
        <v>1</v>
      </c>
      <c r="CH11" s="317">
        <v>1</v>
      </c>
      <c r="CI11" s="345">
        <v>1</v>
      </c>
      <c r="CJ11" s="194">
        <v>1</v>
      </c>
      <c r="CK11" s="194">
        <v>1</v>
      </c>
      <c r="CL11" s="194">
        <v>1</v>
      </c>
    </row>
    <row r="12" spans="1:90" x14ac:dyDescent="0.25">
      <c r="C12" s="30" t="s">
        <v>99</v>
      </c>
      <c r="D12" s="29" t="s">
        <v>99</v>
      </c>
      <c r="E12" s="28"/>
      <c r="F12" s="28" t="s">
        <v>161</v>
      </c>
      <c r="G12" s="28" t="s">
        <v>98</v>
      </c>
      <c r="H12" s="28"/>
      <c r="I12" s="28"/>
      <c r="J12" s="28"/>
      <c r="K12" s="28" t="s">
        <v>98</v>
      </c>
      <c r="L12" s="28" t="s">
        <v>98</v>
      </c>
      <c r="M12" s="28" t="s">
        <v>98</v>
      </c>
      <c r="N12" s="28" t="s">
        <v>98</v>
      </c>
      <c r="O12" s="28" t="s">
        <v>161</v>
      </c>
      <c r="P12" s="28" t="s">
        <v>161</v>
      </c>
      <c r="Q12" s="28" t="s">
        <v>161</v>
      </c>
      <c r="R12" s="28" t="s">
        <v>161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62"/>
      <c r="CC12" s="115"/>
      <c r="CD12" s="115"/>
      <c r="CE12" s="262"/>
      <c r="CF12" s="317"/>
      <c r="CG12" s="317"/>
      <c r="CH12" s="317"/>
      <c r="CI12" s="345"/>
      <c r="CJ12" s="194"/>
      <c r="CK12" s="194"/>
      <c r="CL12" s="194"/>
    </row>
    <row r="13" spans="1:90" x14ac:dyDescent="0.25">
      <c r="C13" s="30" t="s">
        <v>97</v>
      </c>
      <c r="D13" s="29" t="s">
        <v>97</v>
      </c>
      <c r="E13" s="28" t="s">
        <v>96</v>
      </c>
      <c r="F13" s="28" t="s">
        <v>96</v>
      </c>
      <c r="G13" s="28" t="s">
        <v>96</v>
      </c>
      <c r="H13" s="28" t="s">
        <v>96</v>
      </c>
      <c r="I13" s="28" t="s">
        <v>96</v>
      </c>
      <c r="J13" s="28" t="s">
        <v>96</v>
      </c>
      <c r="K13" s="28" t="s">
        <v>96</v>
      </c>
      <c r="L13" s="28" t="s">
        <v>96</v>
      </c>
      <c r="M13" s="28" t="s">
        <v>96</v>
      </c>
      <c r="N13" s="28" t="s">
        <v>96</v>
      </c>
      <c r="O13" s="28" t="s">
        <v>96</v>
      </c>
      <c r="P13" s="28" t="s">
        <v>96</v>
      </c>
      <c r="Q13" s="28" t="s">
        <v>96</v>
      </c>
      <c r="R13" s="28" t="s">
        <v>96</v>
      </c>
      <c r="S13" s="28" t="s">
        <v>96</v>
      </c>
      <c r="T13" s="28" t="s">
        <v>96</v>
      </c>
      <c r="U13" s="28" t="s">
        <v>96</v>
      </c>
      <c r="V13" s="28" t="s">
        <v>96</v>
      </c>
      <c r="W13" s="28" t="s">
        <v>96</v>
      </c>
      <c r="X13" s="28" t="s">
        <v>96</v>
      </c>
      <c r="Y13" s="28" t="s">
        <v>96</v>
      </c>
      <c r="Z13" s="28" t="s">
        <v>96</v>
      </c>
      <c r="AA13" s="28" t="s">
        <v>96</v>
      </c>
      <c r="AB13" s="28" t="s">
        <v>248</v>
      </c>
      <c r="AC13" s="28" t="s">
        <v>249</v>
      </c>
      <c r="AD13" s="28" t="s">
        <v>249</v>
      </c>
      <c r="AE13" s="28" t="s">
        <v>248</v>
      </c>
      <c r="AF13" s="28" t="s">
        <v>248</v>
      </c>
      <c r="AG13" s="28" t="s">
        <v>248</v>
      </c>
      <c r="AH13" s="28" t="s">
        <v>248</v>
      </c>
      <c r="AI13" s="28" t="s">
        <v>248</v>
      </c>
      <c r="AJ13" s="28" t="s">
        <v>248</v>
      </c>
      <c r="AK13" s="28" t="s">
        <v>248</v>
      </c>
      <c r="AL13" s="28" t="s">
        <v>248</v>
      </c>
      <c r="AM13" s="28" t="s">
        <v>248</v>
      </c>
      <c r="AN13" s="28" t="s">
        <v>248</v>
      </c>
      <c r="AO13" s="28" t="s">
        <v>248</v>
      </c>
      <c r="AP13" s="28" t="s">
        <v>248</v>
      </c>
      <c r="AQ13" s="28" t="s">
        <v>248</v>
      </c>
      <c r="AR13" s="28" t="s">
        <v>248</v>
      </c>
      <c r="AS13" s="28" t="s">
        <v>248</v>
      </c>
      <c r="AT13" s="28" t="s">
        <v>248</v>
      </c>
      <c r="AU13" s="28" t="s">
        <v>248</v>
      </c>
      <c r="AV13" s="28" t="s">
        <v>249</v>
      </c>
      <c r="AW13" s="28" t="s">
        <v>249</v>
      </c>
      <c r="AX13" s="28" t="s">
        <v>248</v>
      </c>
      <c r="AY13" s="28" t="s">
        <v>248</v>
      </c>
      <c r="AZ13" s="28" t="s">
        <v>249</v>
      </c>
      <c r="BA13" s="28" t="s">
        <v>249</v>
      </c>
      <c r="BB13" s="28" t="s">
        <v>249</v>
      </c>
      <c r="BC13" s="28" t="s">
        <v>248</v>
      </c>
      <c r="BD13" s="28" t="s">
        <v>248</v>
      </c>
      <c r="BE13" s="28" t="s">
        <v>248</v>
      </c>
      <c r="BF13" s="28" t="s">
        <v>248</v>
      </c>
      <c r="BG13" s="28" t="s">
        <v>248</v>
      </c>
      <c r="BH13" s="28" t="s">
        <v>249</v>
      </c>
      <c r="BI13" s="28" t="s">
        <v>249</v>
      </c>
      <c r="BJ13" s="28" t="s">
        <v>248</v>
      </c>
      <c r="BK13" s="28" t="s">
        <v>248</v>
      </c>
      <c r="BL13" s="28" t="s">
        <v>249</v>
      </c>
      <c r="BM13" s="28" t="s">
        <v>249</v>
      </c>
      <c r="BN13" s="28" t="s">
        <v>249</v>
      </c>
      <c r="BO13" s="28" t="s">
        <v>248</v>
      </c>
      <c r="BP13" s="28" t="s">
        <v>248</v>
      </c>
      <c r="BQ13" s="28" t="s">
        <v>248</v>
      </c>
      <c r="BR13" s="28" t="s">
        <v>248</v>
      </c>
      <c r="BS13" s="28" t="s">
        <v>96</v>
      </c>
      <c r="BT13" s="28" t="s">
        <v>96</v>
      </c>
      <c r="BU13" s="28" t="s">
        <v>96</v>
      </c>
      <c r="BV13" s="28" t="s">
        <v>96</v>
      </c>
      <c r="BW13" s="28" t="s">
        <v>96</v>
      </c>
      <c r="BX13" s="28" t="s">
        <v>96</v>
      </c>
      <c r="BY13" s="28" t="s">
        <v>96</v>
      </c>
      <c r="BZ13" s="28" t="s">
        <v>96</v>
      </c>
      <c r="CA13" s="158" t="s">
        <v>96</v>
      </c>
      <c r="CB13" s="262" t="s">
        <v>96</v>
      </c>
      <c r="CC13" s="158" t="s">
        <v>96</v>
      </c>
      <c r="CD13" s="158" t="s">
        <v>96</v>
      </c>
      <c r="CE13" s="262" t="s">
        <v>96</v>
      </c>
      <c r="CF13" s="329" t="s">
        <v>96</v>
      </c>
      <c r="CG13" s="329" t="s">
        <v>96</v>
      </c>
      <c r="CH13" s="329" t="s">
        <v>96</v>
      </c>
      <c r="CI13" s="345"/>
      <c r="CJ13" s="194"/>
      <c r="CK13" s="194"/>
      <c r="CL13" s="194"/>
    </row>
    <row r="14" spans="1:90" x14ac:dyDescent="0.25">
      <c r="C14" s="30" t="s">
        <v>95</v>
      </c>
      <c r="D14" s="29" t="s">
        <v>95</v>
      </c>
      <c r="E14" s="28">
        <v>0</v>
      </c>
      <c r="F14" s="28">
        <v>0</v>
      </c>
      <c r="G14" s="28">
        <v>0</v>
      </c>
      <c r="H14" s="2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28">
        <v>0</v>
      </c>
      <c r="P14" s="28">
        <v>0</v>
      </c>
      <c r="Q14" s="28">
        <v>0</v>
      </c>
      <c r="R14" s="28">
        <v>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28">
        <v>0</v>
      </c>
      <c r="Z14" s="28">
        <v>0</v>
      </c>
      <c r="AA14" s="28">
        <v>0</v>
      </c>
      <c r="AB14" s="28">
        <v>0</v>
      </c>
      <c r="AC14" s="48">
        <v>1072.6099999999999</v>
      </c>
      <c r="AD14" s="48">
        <v>1042.3499999999999</v>
      </c>
      <c r="AE14" s="48">
        <v>0</v>
      </c>
      <c r="AF14" s="48">
        <v>0</v>
      </c>
      <c r="AG14" s="48">
        <v>0</v>
      </c>
      <c r="AH14" s="48">
        <v>0</v>
      </c>
      <c r="AI14" s="28">
        <v>0</v>
      </c>
      <c r="AJ14" s="28">
        <v>0</v>
      </c>
      <c r="AK14" s="28">
        <v>0</v>
      </c>
      <c r="AL14" s="28">
        <v>0</v>
      </c>
      <c r="AM14" s="48">
        <v>0</v>
      </c>
      <c r="AN14" s="48">
        <v>0</v>
      </c>
      <c r="AO14" s="48">
        <v>0</v>
      </c>
      <c r="AP14" s="48">
        <v>0</v>
      </c>
      <c r="AQ14" s="48">
        <v>0</v>
      </c>
      <c r="AR14" s="48">
        <v>0</v>
      </c>
      <c r="AS14" s="28">
        <v>0</v>
      </c>
      <c r="AT14" s="28">
        <v>0</v>
      </c>
      <c r="AU14" s="28">
        <v>0</v>
      </c>
      <c r="AV14" s="28">
        <v>1275.76</v>
      </c>
      <c r="AW14" s="48">
        <v>1289.04</v>
      </c>
      <c r="AX14" s="48">
        <v>0</v>
      </c>
      <c r="AY14" s="48">
        <v>0</v>
      </c>
      <c r="AZ14" s="48">
        <v>1231.44</v>
      </c>
      <c r="BA14" s="48">
        <v>1207.24</v>
      </c>
      <c r="BB14" s="48">
        <v>1183.04</v>
      </c>
      <c r="BC14" s="28">
        <v>0</v>
      </c>
      <c r="BD14" s="28">
        <v>0</v>
      </c>
      <c r="BE14" s="28">
        <v>0</v>
      </c>
      <c r="BF14" s="28">
        <v>0</v>
      </c>
      <c r="BG14" s="48">
        <v>0</v>
      </c>
      <c r="BH14" s="48">
        <v>1275.76</v>
      </c>
      <c r="BI14" s="48">
        <v>1289.04</v>
      </c>
      <c r="BJ14" s="48">
        <v>0</v>
      </c>
      <c r="BK14" s="48">
        <v>0</v>
      </c>
      <c r="BL14" s="48">
        <v>1205.18</v>
      </c>
      <c r="BM14" s="28">
        <v>1181.5</v>
      </c>
      <c r="BN14" s="48">
        <v>1157.82</v>
      </c>
      <c r="BO14" s="48">
        <v>0</v>
      </c>
      <c r="BP14" s="48">
        <v>0</v>
      </c>
      <c r="BQ14" s="48">
        <v>0</v>
      </c>
      <c r="BR14" s="4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/>
      <c r="CB14" s="262">
        <v>0</v>
      </c>
      <c r="CC14" s="115"/>
      <c r="CD14" s="115"/>
      <c r="CE14" s="262">
        <v>0</v>
      </c>
      <c r="CF14" s="317"/>
      <c r="CG14" s="317"/>
      <c r="CH14" s="317"/>
      <c r="CI14" s="345"/>
      <c r="CJ14" s="194"/>
      <c r="CK14" s="194"/>
      <c r="CL14" s="194"/>
    </row>
    <row r="15" spans="1:90" x14ac:dyDescent="0.25">
      <c r="C15" s="30" t="s">
        <v>94</v>
      </c>
      <c r="D15" s="29" t="s">
        <v>94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965.35</v>
      </c>
      <c r="AD15" s="28">
        <v>938.12</v>
      </c>
      <c r="AE15" s="28">
        <v>977.07</v>
      </c>
      <c r="AF15" s="28">
        <v>700</v>
      </c>
      <c r="AG15" s="28">
        <v>730</v>
      </c>
      <c r="AH15" s="28">
        <v>730</v>
      </c>
      <c r="AI15" s="28">
        <v>760</v>
      </c>
      <c r="AJ15" s="28">
        <v>760</v>
      </c>
      <c r="AK15" s="28">
        <v>790</v>
      </c>
      <c r="AL15" s="28">
        <v>790</v>
      </c>
      <c r="AM15" s="28">
        <v>838.98</v>
      </c>
      <c r="AN15" s="28">
        <v>868.98</v>
      </c>
      <c r="AO15" s="28">
        <v>261.625</v>
      </c>
      <c r="AP15" s="28">
        <v>261.625</v>
      </c>
      <c r="AQ15" s="28">
        <v>261.625</v>
      </c>
      <c r="AR15" s="28">
        <v>261.625</v>
      </c>
      <c r="AS15" s="28">
        <v>261.625</v>
      </c>
      <c r="AT15" s="28">
        <v>261.625</v>
      </c>
      <c r="AU15" s="28">
        <v>765.32500000000005</v>
      </c>
      <c r="AV15" s="28">
        <v>892.96500000000003</v>
      </c>
      <c r="AW15" s="28">
        <v>906.245</v>
      </c>
      <c r="AX15" s="28">
        <v>899.05499999999995</v>
      </c>
      <c r="AY15" s="28">
        <v>1015.985</v>
      </c>
      <c r="AZ15" s="28">
        <v>1015.985</v>
      </c>
      <c r="BA15" s="28">
        <v>996.01499999999999</v>
      </c>
      <c r="BB15" s="28">
        <v>976.04499999999996</v>
      </c>
      <c r="BC15" s="28">
        <v>952.84500000000003</v>
      </c>
      <c r="BD15" s="28">
        <v>1060.0350000000001</v>
      </c>
      <c r="BE15" s="28">
        <v>1125.865</v>
      </c>
      <c r="BF15" s="28">
        <v>1061.085</v>
      </c>
      <c r="BG15" s="28">
        <v>0</v>
      </c>
      <c r="BH15" s="28">
        <v>1020.61</v>
      </c>
      <c r="BI15" s="28">
        <v>1033.8900000000001</v>
      </c>
      <c r="BJ15" s="28">
        <v>1025.69</v>
      </c>
      <c r="BK15" s="28">
        <v>1091.57</v>
      </c>
      <c r="BL15" s="28">
        <v>1023.78</v>
      </c>
      <c r="BM15" s="28">
        <v>1003.66</v>
      </c>
      <c r="BN15" s="28">
        <v>983.54</v>
      </c>
      <c r="BO15" s="28">
        <v>1101.48</v>
      </c>
      <c r="BP15" s="28">
        <v>1205.29</v>
      </c>
      <c r="BQ15" s="28">
        <v>1112.0899999999999</v>
      </c>
      <c r="BR15" s="28">
        <v>1020.61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/>
      <c r="CB15" s="262">
        <v>0</v>
      </c>
      <c r="CC15" s="115"/>
      <c r="CD15" s="115"/>
      <c r="CE15" s="262">
        <v>0</v>
      </c>
      <c r="CF15" s="317"/>
      <c r="CG15" s="317"/>
      <c r="CH15" s="317"/>
      <c r="CI15" s="345"/>
      <c r="CJ15" s="194"/>
      <c r="CK15" s="194"/>
      <c r="CL15" s="194"/>
    </row>
    <row r="16" spans="1:90" x14ac:dyDescent="0.25">
      <c r="C16" s="30" t="s">
        <v>154</v>
      </c>
      <c r="D16" s="29" t="s">
        <v>152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64"/>
      <c r="CC16" s="114"/>
      <c r="CD16" s="114"/>
      <c r="CE16" s="264"/>
      <c r="CF16" s="318"/>
      <c r="CG16" s="318"/>
      <c r="CH16" s="318"/>
      <c r="CI16" s="353"/>
      <c r="CJ16" s="207"/>
      <c r="CK16" s="207"/>
      <c r="CL16" s="207"/>
    </row>
    <row ht="15.75" r="17" spans="1:90" x14ac:dyDescent="0.3">
      <c r="A17" s="35" t="s">
        <v>93</v>
      </c>
      <c r="B17" s="34"/>
      <c r="C17" s="37" t="s">
        <v>92</v>
      </c>
      <c r="D17" s="36" t="s">
        <v>92</v>
      </c>
      <c r="E17" s="41">
        <v>1.0101010101010099</v>
      </c>
      <c r="F17" s="41">
        <v>1.0101010101010099</v>
      </c>
      <c r="G17" s="41">
        <v>1.0101010101010099</v>
      </c>
      <c r="H17" s="41">
        <v>1.0101010101010099</v>
      </c>
      <c r="I17" s="41">
        <v>1.0101010101010099</v>
      </c>
      <c r="J17" s="41">
        <v>1.0101010101010099</v>
      </c>
      <c r="K17" s="41">
        <v>1.0101010101010099</v>
      </c>
      <c r="L17" s="41">
        <v>1.0101010101010099</v>
      </c>
      <c r="M17" s="41">
        <v>1.0101010101010099</v>
      </c>
      <c r="N17" s="41">
        <v>1.0101010101010099</v>
      </c>
      <c r="O17" s="41">
        <v>1.0101010101010099</v>
      </c>
      <c r="P17" s="41">
        <v>1.0101010101010099</v>
      </c>
      <c r="Q17" s="41">
        <v>1.0101010101010099</v>
      </c>
      <c r="R17" s="41">
        <v>1.0101010101010099</v>
      </c>
      <c r="S17" s="41">
        <v>1.0101010101010099</v>
      </c>
      <c r="T17" s="41">
        <v>1.0101010101010099</v>
      </c>
      <c r="U17" s="41">
        <v>1.0101010101010099</v>
      </c>
      <c r="V17" s="41">
        <v>1.0101010101010099</v>
      </c>
      <c r="W17" s="41">
        <v>1.0101010101010099</v>
      </c>
      <c r="X17" s="41">
        <v>1.0101010101010099</v>
      </c>
      <c r="Y17" s="41">
        <v>1.0101010101010099</v>
      </c>
      <c r="Z17" s="41">
        <v>1.0101010101010099</v>
      </c>
      <c r="AA17" s="41">
        <v>1.0101010101010099</v>
      </c>
      <c r="AB17" s="41">
        <v>1.0794341675734493</v>
      </c>
      <c r="AC17" s="41">
        <v>1.1000000000000001</v>
      </c>
      <c r="AD17" s="41">
        <v>1.1000000000000001</v>
      </c>
      <c r="AE17" s="41">
        <v>1.06</v>
      </c>
      <c r="AF17" s="41">
        <v>0.82304526748971196</v>
      </c>
      <c r="AG17" s="41">
        <v>0.82304526748971196</v>
      </c>
      <c r="AH17" s="41">
        <v>0.82304526748971196</v>
      </c>
      <c r="AI17" s="41">
        <v>0.82304526748971196</v>
      </c>
      <c r="AJ17" s="41">
        <v>0.82304526748971196</v>
      </c>
      <c r="AK17" s="41">
        <v>0.82304526748971196</v>
      </c>
      <c r="AL17" s="41">
        <v>0.82304526748971196</v>
      </c>
      <c r="AM17" s="41">
        <v>0.82304526748971196</v>
      </c>
      <c r="AN17" s="41">
        <v>0.82304526748971196</v>
      </c>
      <c r="AO17" s="41">
        <v>1.0072463768115942</v>
      </c>
      <c r="AP17" s="41">
        <v>1.0072463768115942</v>
      </c>
      <c r="AQ17" s="41">
        <v>1.0072463768115942</v>
      </c>
      <c r="AR17" s="41">
        <v>1.0072463768115942</v>
      </c>
      <c r="AS17" s="41">
        <v>1.0072463768115942</v>
      </c>
      <c r="AT17" s="41">
        <v>1.0072463768115942</v>
      </c>
      <c r="AU17" s="41">
        <v>1.1000000000000001</v>
      </c>
      <c r="AV17" s="41">
        <v>1.1000000000000001</v>
      </c>
      <c r="AW17" s="41">
        <v>1.1000000000000001</v>
      </c>
      <c r="AX17" s="41">
        <v>1.1000000000000001</v>
      </c>
      <c r="AY17" s="41">
        <v>1.1000000000000001</v>
      </c>
      <c r="AZ17" s="41">
        <v>1.1000000000000001</v>
      </c>
      <c r="BA17" s="41">
        <v>1.1000000000000001</v>
      </c>
      <c r="BB17" s="41">
        <v>1.1000000000000001</v>
      </c>
      <c r="BC17" s="41">
        <v>1.1000000000000001</v>
      </c>
      <c r="BD17" s="41">
        <v>1.1000000000000001</v>
      </c>
      <c r="BE17" s="41">
        <v>1.1000000000000001</v>
      </c>
      <c r="BF17" s="41">
        <v>1.1000000000000001</v>
      </c>
      <c r="BG17" s="41">
        <v>1.1000000000000001</v>
      </c>
      <c r="BH17" s="41">
        <v>1.1000000000000001</v>
      </c>
      <c r="BI17" s="41">
        <v>1.1000000000000001</v>
      </c>
      <c r="BJ17" s="41">
        <v>1.1000000000000001</v>
      </c>
      <c r="BK17" s="41">
        <v>1.1000000000000001</v>
      </c>
      <c r="BL17" s="41">
        <v>1.1000000000000001</v>
      </c>
      <c r="BM17" s="41">
        <v>1.1000000000000001</v>
      </c>
      <c r="BN17" s="41">
        <v>1.1000000000000001</v>
      </c>
      <c r="BO17" s="41">
        <v>1.1000000000000001</v>
      </c>
      <c r="BP17" s="41">
        <v>1.1000000000000001</v>
      </c>
      <c r="BQ17" s="41">
        <v>1.1000000000000001</v>
      </c>
      <c r="BR17" s="41">
        <v>1.1000000000000001</v>
      </c>
      <c r="BS17" s="41">
        <v>1.0101010101010099</v>
      </c>
      <c r="BT17" s="41">
        <v>1.0101010101010099</v>
      </c>
      <c r="BU17" s="41">
        <v>1.0101010101010099</v>
      </c>
      <c r="BV17" s="41">
        <v>1.0101010101010099</v>
      </c>
      <c r="BW17" s="41">
        <v>1.0101010101010099</v>
      </c>
      <c r="BX17" s="41">
        <v>1.0101010101010099</v>
      </c>
      <c r="BY17" s="41">
        <v>1.0101010101010099</v>
      </c>
      <c r="BZ17" s="41">
        <v>1.0101010101010099</v>
      </c>
      <c r="CA17" s="41">
        <v>0</v>
      </c>
      <c r="CB17" s="110">
        <v>1.0101010101010099</v>
      </c>
      <c r="CC17" s="117">
        <v>0</v>
      </c>
      <c r="CD17" s="117">
        <v>0</v>
      </c>
      <c r="CE17" s="110">
        <v>1.0101010101010099</v>
      </c>
      <c r="CF17" s="317">
        <v>0</v>
      </c>
      <c r="CG17" s="317">
        <v>0</v>
      </c>
      <c r="CH17" s="317">
        <v>0</v>
      </c>
      <c r="CI17" s="346"/>
      <c r="CJ17" s="366"/>
      <c r="CK17" s="389">
        <v>12</v>
      </c>
      <c r="CL17" s="389">
        <v>12</v>
      </c>
    </row>
    <row r="18" spans="1:90" x14ac:dyDescent="0.25">
      <c r="C18" s="30" t="s">
        <v>91</v>
      </c>
      <c r="D18" s="29" t="s">
        <v>91</v>
      </c>
      <c r="E18" s="28" t="s">
        <v>147</v>
      </c>
      <c r="F18" s="28" t="s">
        <v>147</v>
      </c>
      <c r="G18" s="28" t="s">
        <v>147</v>
      </c>
      <c r="H18" s="28" t="s">
        <v>147</v>
      </c>
      <c r="I18" s="28" t="s">
        <v>147</v>
      </c>
      <c r="J18" s="28" t="s">
        <v>147</v>
      </c>
      <c r="K18" s="28" t="s">
        <v>147</v>
      </c>
      <c r="L18" s="28" t="s">
        <v>147</v>
      </c>
      <c r="M18" s="28" t="s">
        <v>147</v>
      </c>
      <c r="N18" s="28" t="s">
        <v>147</v>
      </c>
      <c r="O18" s="28" t="s">
        <v>147</v>
      </c>
      <c r="P18" s="28" t="s">
        <v>147</v>
      </c>
      <c r="Q18" s="28" t="s">
        <v>147</v>
      </c>
      <c r="R18" s="28" t="s">
        <v>147</v>
      </c>
      <c r="S18" s="28" t="s">
        <v>147</v>
      </c>
      <c r="T18" s="28" t="s">
        <v>147</v>
      </c>
      <c r="U18" s="28" t="s">
        <v>147</v>
      </c>
      <c r="V18" s="28" t="s">
        <v>147</v>
      </c>
      <c r="W18" s="28" t="s">
        <v>147</v>
      </c>
      <c r="X18" s="28" t="s">
        <v>147</v>
      </c>
      <c r="Y18" s="28" t="s">
        <v>147</v>
      </c>
      <c r="Z18" s="28" t="s">
        <v>147</v>
      </c>
      <c r="AA18" s="28" t="s">
        <v>147</v>
      </c>
      <c r="AB18" s="28" t="s">
        <v>147</v>
      </c>
      <c r="AC18" s="28" t="s">
        <v>147</v>
      </c>
      <c r="AD18" s="28" t="s">
        <v>147</v>
      </c>
      <c r="AE18" s="28" t="s">
        <v>147</v>
      </c>
      <c r="AF18" s="28" t="s">
        <v>147</v>
      </c>
      <c r="AG18" s="28" t="s">
        <v>147</v>
      </c>
      <c r="AH18" s="28" t="s">
        <v>147</v>
      </c>
      <c r="AI18" s="28" t="s">
        <v>147</v>
      </c>
      <c r="AJ18" s="28" t="s">
        <v>147</v>
      </c>
      <c r="AK18" s="28" t="s">
        <v>147</v>
      </c>
      <c r="AL18" s="28" t="s">
        <v>147</v>
      </c>
      <c r="AM18" s="28" t="s">
        <v>147</v>
      </c>
      <c r="AN18" s="28" t="s">
        <v>147</v>
      </c>
      <c r="AO18" s="28" t="s">
        <v>250</v>
      </c>
      <c r="AP18" s="28" t="s">
        <v>250</v>
      </c>
      <c r="AQ18" s="28" t="s">
        <v>250</v>
      </c>
      <c r="AR18" s="28" t="s">
        <v>250</v>
      </c>
      <c r="AS18" s="28" t="s">
        <v>250</v>
      </c>
      <c r="AT18" s="28" t="s">
        <v>250</v>
      </c>
      <c r="AU18" s="28" t="s">
        <v>147</v>
      </c>
      <c r="AV18" s="28" t="s">
        <v>147</v>
      </c>
      <c r="AW18" s="28" t="s">
        <v>147</v>
      </c>
      <c r="AX18" s="28" t="s">
        <v>147</v>
      </c>
      <c r="AY18" s="28" t="s">
        <v>147</v>
      </c>
      <c r="AZ18" s="28" t="s">
        <v>147</v>
      </c>
      <c r="BA18" s="28" t="s">
        <v>147</v>
      </c>
      <c r="BB18" s="28" t="s">
        <v>147</v>
      </c>
      <c r="BC18" s="28" t="s">
        <v>147</v>
      </c>
      <c r="BD18" s="28" t="s">
        <v>147</v>
      </c>
      <c r="BE18" s="28" t="s">
        <v>147</v>
      </c>
      <c r="BF18" s="28" t="s">
        <v>147</v>
      </c>
      <c r="BG18" s="28" t="s">
        <v>147</v>
      </c>
      <c r="BH18" s="28" t="s">
        <v>147</v>
      </c>
      <c r="BI18" s="28" t="s">
        <v>147</v>
      </c>
      <c r="BJ18" s="28" t="s">
        <v>147</v>
      </c>
      <c r="BK18" s="28" t="s">
        <v>147</v>
      </c>
      <c r="BL18" s="28" t="s">
        <v>147</v>
      </c>
      <c r="BM18" s="28" t="s">
        <v>147</v>
      </c>
      <c r="BN18" s="28" t="s">
        <v>147</v>
      </c>
      <c r="BO18" s="28" t="s">
        <v>147</v>
      </c>
      <c r="BP18" s="28" t="s">
        <v>147</v>
      </c>
      <c r="BQ18" s="28" t="s">
        <v>147</v>
      </c>
      <c r="BR18" s="28" t="s">
        <v>147</v>
      </c>
      <c r="BS18" s="28" t="s">
        <v>147</v>
      </c>
      <c r="BT18" s="28" t="s">
        <v>147</v>
      </c>
      <c r="BU18" s="28" t="s">
        <v>147</v>
      </c>
      <c r="BV18" s="28" t="s">
        <v>147</v>
      </c>
      <c r="BW18" s="28" t="s">
        <v>147</v>
      </c>
      <c r="BX18" s="28" t="s">
        <v>147</v>
      </c>
      <c r="BY18" s="28" t="s">
        <v>147</v>
      </c>
      <c r="BZ18" s="28" t="s">
        <v>147</v>
      </c>
      <c r="CA18" s="115" t="s">
        <v>1027</v>
      </c>
      <c r="CB18" s="262" t="s">
        <v>147</v>
      </c>
      <c r="CC18" s="115" t="s">
        <v>1027</v>
      </c>
      <c r="CD18" s="115" t="s">
        <v>1027</v>
      </c>
      <c r="CE18" s="262" t="s">
        <v>147</v>
      </c>
      <c r="CF18" s="317" t="s">
        <v>1027</v>
      </c>
      <c r="CG18" s="317" t="s">
        <v>1027</v>
      </c>
      <c r="CH18" s="317" t="s">
        <v>1027</v>
      </c>
      <c r="CI18" s="345" t="s">
        <v>1028</v>
      </c>
      <c r="CJ18" s="194" t="s">
        <v>1028</v>
      </c>
      <c r="CK18" s="194" t="s">
        <v>1028</v>
      </c>
      <c r="CL18" s="194" t="s">
        <v>1028</v>
      </c>
    </row>
    <row r="19" spans="1:90" x14ac:dyDescent="0.25">
      <c r="C19" s="30" t="s">
        <v>90</v>
      </c>
      <c r="D19" s="29" t="s">
        <v>90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 t="s">
        <v>251</v>
      </c>
      <c r="AC19" s="28" t="s">
        <v>251</v>
      </c>
      <c r="AD19" s="28" t="s">
        <v>251</v>
      </c>
      <c r="AE19" s="28" t="s">
        <v>251</v>
      </c>
      <c r="AF19" s="28" t="s">
        <v>251</v>
      </c>
      <c r="AG19" s="28" t="s">
        <v>251</v>
      </c>
      <c r="AH19" s="28" t="s">
        <v>251</v>
      </c>
      <c r="AI19" s="28" t="s">
        <v>251</v>
      </c>
      <c r="AJ19" s="28" t="s">
        <v>251</v>
      </c>
      <c r="AK19" s="28" t="s">
        <v>251</v>
      </c>
      <c r="AL19" s="28" t="s">
        <v>251</v>
      </c>
      <c r="AM19" s="28" t="s">
        <v>251</v>
      </c>
      <c r="AN19" s="28" t="s">
        <v>251</v>
      </c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B19" s="262"/>
      <c r="CC19" s="158"/>
      <c r="CE19" s="262"/>
      <c r="CF19" s="329" t="s">
        <v>251</v>
      </c>
      <c r="CG19" s="329" t="s">
        <v>251</v>
      </c>
      <c r="CH19" s="329" t="s">
        <v>251</v>
      </c>
      <c r="CI19" s="346" t="s">
        <v>1205</v>
      </c>
      <c r="CJ19" s="366" t="s">
        <v>1205</v>
      </c>
      <c r="CK19" s="194" t="s">
        <v>162</v>
      </c>
      <c r="CL19" s="194" t="s">
        <v>162</v>
      </c>
    </row>
    <row r="20" spans="1:90" x14ac:dyDescent="0.25">
      <c r="C20" s="30" t="s">
        <v>89</v>
      </c>
      <c r="D20" s="29" t="s">
        <v>89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62" t="s">
        <v>1006</v>
      </c>
      <c r="CC20" s="115"/>
      <c r="CD20" s="115" t="s">
        <v>251</v>
      </c>
      <c r="CE20" s="262" t="s">
        <v>1006</v>
      </c>
      <c r="CF20" s="317"/>
      <c r="CG20" s="317"/>
      <c r="CH20" s="317" t="s">
        <v>149</v>
      </c>
      <c r="CI20" s="345" t="s">
        <v>1205</v>
      </c>
      <c r="CJ20" s="194" t="s">
        <v>1205</v>
      </c>
      <c r="CK20" s="223" t="s">
        <v>149</v>
      </c>
      <c r="CL20" s="223" t="s">
        <v>149</v>
      </c>
    </row>
    <row r="21" spans="1:90" x14ac:dyDescent="0.25">
      <c r="C21" s="30" t="s">
        <v>88</v>
      </c>
      <c r="D21" s="29" t="s">
        <v>88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62">
        <v>2000</v>
      </c>
      <c r="CC21" s="115"/>
      <c r="CD21" s="115"/>
      <c r="CE21" s="262">
        <v>2000</v>
      </c>
      <c r="CF21" s="317"/>
      <c r="CG21" s="317"/>
      <c r="CH21" s="317"/>
      <c r="CI21" s="345"/>
      <c r="CJ21" s="194"/>
      <c r="CK21" s="194"/>
      <c r="CL21" s="194"/>
    </row>
    <row customHeight="1" ht="15" r="22" spans="1:90" x14ac:dyDescent="0.25">
      <c r="C22" s="30" t="s">
        <v>87</v>
      </c>
      <c r="D22" s="29" t="s">
        <v>87</v>
      </c>
      <c r="E22" s="28" t="s">
        <v>148</v>
      </c>
      <c r="F22" s="28" t="s">
        <v>148</v>
      </c>
      <c r="G22" s="28" t="s">
        <v>148</v>
      </c>
      <c r="H22" s="28" t="s">
        <v>148</v>
      </c>
      <c r="I22" s="28" t="s">
        <v>148</v>
      </c>
      <c r="J22" s="28" t="s">
        <v>148</v>
      </c>
      <c r="K22" s="28" t="s">
        <v>148</v>
      </c>
      <c r="L22" s="28" t="s">
        <v>148</v>
      </c>
      <c r="M22" s="28" t="s">
        <v>148</v>
      </c>
      <c r="N22" s="28" t="s">
        <v>148</v>
      </c>
      <c r="O22" s="28" t="s">
        <v>148</v>
      </c>
      <c r="P22" s="28" t="s">
        <v>148</v>
      </c>
      <c r="Q22" s="28" t="s">
        <v>148</v>
      </c>
      <c r="R22" s="28" t="s">
        <v>148</v>
      </c>
      <c r="S22" s="28" t="s">
        <v>148</v>
      </c>
      <c r="T22" s="28" t="s">
        <v>148</v>
      </c>
      <c r="U22" s="28" t="s">
        <v>148</v>
      </c>
      <c r="V22" s="28" t="s">
        <v>148</v>
      </c>
      <c r="W22" s="28" t="s">
        <v>148</v>
      </c>
      <c r="X22" s="28" t="s">
        <v>148</v>
      </c>
      <c r="Y22" s="28" t="s">
        <v>148</v>
      </c>
      <c r="Z22" s="28" t="s">
        <v>148</v>
      </c>
      <c r="AA22" s="28" t="s">
        <v>148</v>
      </c>
      <c r="AB22" s="28" t="s">
        <v>148</v>
      </c>
      <c r="AC22" s="28" t="s">
        <v>148</v>
      </c>
      <c r="AD22" s="28" t="s">
        <v>148</v>
      </c>
      <c r="AE22" s="28" t="s">
        <v>148</v>
      </c>
      <c r="AF22" s="28" t="s">
        <v>148</v>
      </c>
      <c r="AG22" s="28" t="s">
        <v>148</v>
      </c>
      <c r="AH22" s="28" t="s">
        <v>148</v>
      </c>
      <c r="AI22" s="28" t="s">
        <v>148</v>
      </c>
      <c r="AJ22" s="28" t="s">
        <v>148</v>
      </c>
      <c r="AK22" s="28" t="s">
        <v>148</v>
      </c>
      <c r="AL22" s="28" t="s">
        <v>148</v>
      </c>
      <c r="AM22" s="28" t="s">
        <v>148</v>
      </c>
      <c r="AN22" s="28" t="s">
        <v>148</v>
      </c>
      <c r="AO22" s="28"/>
      <c r="AP22" s="28"/>
      <c r="AQ22" s="28"/>
      <c r="AR22" s="28"/>
      <c r="AS22" s="28"/>
      <c r="AT22" s="28"/>
      <c r="AU22" s="28" t="s">
        <v>148</v>
      </c>
      <c r="AV22" s="28" t="s">
        <v>148</v>
      </c>
      <c r="AW22" s="28" t="s">
        <v>148</v>
      </c>
      <c r="AX22" s="28" t="s">
        <v>148</v>
      </c>
      <c r="AY22" s="28" t="s">
        <v>148</v>
      </c>
      <c r="AZ22" s="28" t="s">
        <v>148</v>
      </c>
      <c r="BA22" s="28" t="s">
        <v>148</v>
      </c>
      <c r="BB22" s="28" t="s">
        <v>148</v>
      </c>
      <c r="BC22" s="28" t="s">
        <v>148</v>
      </c>
      <c r="BD22" s="28" t="s">
        <v>148</v>
      </c>
      <c r="BE22" s="28" t="s">
        <v>148</v>
      </c>
      <c r="BF22" s="28" t="s">
        <v>148</v>
      </c>
      <c r="BG22" s="28" t="s">
        <v>148</v>
      </c>
      <c r="BH22" s="28" t="s">
        <v>148</v>
      </c>
      <c r="BI22" s="28" t="s">
        <v>148</v>
      </c>
      <c r="BJ22" s="28" t="s">
        <v>148</v>
      </c>
      <c r="BK22" s="28" t="s">
        <v>148</v>
      </c>
      <c r="BL22" s="28" t="s">
        <v>148</v>
      </c>
      <c r="BM22" s="28" t="s">
        <v>148</v>
      </c>
      <c r="BN22" s="28" t="s">
        <v>148</v>
      </c>
      <c r="BO22" s="28" t="s">
        <v>148</v>
      </c>
      <c r="BP22" s="28" t="s">
        <v>148</v>
      </c>
      <c r="BQ22" s="28" t="s">
        <v>148</v>
      </c>
      <c r="BR22" s="28" t="s">
        <v>148</v>
      </c>
      <c r="BS22" s="28"/>
      <c r="BT22" s="28"/>
      <c r="BU22" s="28"/>
      <c r="BV22" s="55" t="s">
        <v>149</v>
      </c>
      <c r="BW22" s="28"/>
      <c r="BX22" s="28" t="s">
        <v>148</v>
      </c>
      <c r="BY22" s="55" t="s">
        <v>149</v>
      </c>
      <c r="BZ22" s="28" t="s">
        <v>148</v>
      </c>
      <c r="CA22" s="115" t="s">
        <v>251</v>
      </c>
      <c r="CB22" s="262" t="s">
        <v>148</v>
      </c>
      <c r="CC22" s="115"/>
      <c r="CD22" s="115"/>
      <c r="CE22" s="262" t="s">
        <v>148</v>
      </c>
      <c r="CF22" s="317"/>
      <c r="CG22" s="317"/>
      <c r="CH22" s="317"/>
      <c r="CI22" s="345" t="s">
        <v>162</v>
      </c>
      <c r="CJ22" s="194" t="s">
        <v>162</v>
      </c>
      <c r="CK22" s="194" t="s">
        <v>1205</v>
      </c>
      <c r="CL22" s="194" t="s">
        <v>1205</v>
      </c>
    </row>
    <row customFormat="1" r="23" s="49" spans="1:90" x14ac:dyDescent="0.25">
      <c r="C23" s="50" t="s">
        <v>86</v>
      </c>
      <c r="D23" s="51" t="s">
        <v>86</v>
      </c>
      <c r="E23" s="55" t="s">
        <v>149</v>
      </c>
      <c r="F23" s="55" t="s">
        <v>149</v>
      </c>
      <c r="G23" s="55" t="s">
        <v>149</v>
      </c>
      <c r="H23" s="55" t="s">
        <v>149</v>
      </c>
      <c r="I23" s="55" t="s">
        <v>149</v>
      </c>
      <c r="J23" s="55" t="s">
        <v>149</v>
      </c>
      <c r="K23" s="55" t="s">
        <v>149</v>
      </c>
      <c r="L23" s="55" t="s">
        <v>149</v>
      </c>
      <c r="M23" s="55" t="s">
        <v>149</v>
      </c>
      <c r="N23" s="55" t="s">
        <v>149</v>
      </c>
      <c r="O23" s="55" t="s">
        <v>149</v>
      </c>
      <c r="P23" s="55" t="s">
        <v>149</v>
      </c>
      <c r="Q23" s="55" t="s">
        <v>149</v>
      </c>
      <c r="R23" s="55" t="s">
        <v>149</v>
      </c>
      <c r="S23" s="55" t="s">
        <v>149</v>
      </c>
      <c r="T23" s="55" t="s">
        <v>149</v>
      </c>
      <c r="U23" s="55" t="s">
        <v>149</v>
      </c>
      <c r="V23" s="55" t="s">
        <v>149</v>
      </c>
      <c r="W23" s="55" t="s">
        <v>149</v>
      </c>
      <c r="X23" s="55" t="s">
        <v>149</v>
      </c>
      <c r="Y23" s="55" t="s">
        <v>149</v>
      </c>
      <c r="Z23" s="55" t="s">
        <v>149</v>
      </c>
      <c r="AA23" s="55" t="s">
        <v>149</v>
      </c>
      <c r="AB23" s="55" t="s">
        <v>149</v>
      </c>
      <c r="AC23" s="55" t="s">
        <v>149</v>
      </c>
      <c r="AD23" s="55" t="s">
        <v>149</v>
      </c>
      <c r="AE23" s="55" t="s">
        <v>149</v>
      </c>
      <c r="AF23" s="55" t="s">
        <v>149</v>
      </c>
      <c r="AG23" s="55" t="s">
        <v>149</v>
      </c>
      <c r="AH23" s="55" t="s">
        <v>149</v>
      </c>
      <c r="AI23" s="55" t="s">
        <v>149</v>
      </c>
      <c r="AJ23" s="55" t="s">
        <v>149</v>
      </c>
      <c r="AK23" s="55" t="s">
        <v>149</v>
      </c>
      <c r="AL23" s="55" t="s">
        <v>149</v>
      </c>
      <c r="AM23" s="55" t="s">
        <v>149</v>
      </c>
      <c r="AN23" s="55" t="s">
        <v>149</v>
      </c>
      <c r="AO23" s="55"/>
      <c r="AP23" s="55"/>
      <c r="AQ23" s="55"/>
      <c r="AR23" s="55"/>
      <c r="AS23" s="55"/>
      <c r="AT23" s="55"/>
      <c r="AU23" s="55" t="s">
        <v>149</v>
      </c>
      <c r="AV23" s="55" t="s">
        <v>149</v>
      </c>
      <c r="AW23" s="55" t="s">
        <v>149</v>
      </c>
      <c r="AX23" s="55" t="s">
        <v>149</v>
      </c>
      <c r="AY23" s="55" t="s">
        <v>149</v>
      </c>
      <c r="AZ23" s="55" t="s">
        <v>149</v>
      </c>
      <c r="BA23" s="55" t="s">
        <v>149</v>
      </c>
      <c r="BB23" s="55" t="s">
        <v>149</v>
      </c>
      <c r="BC23" s="55" t="s">
        <v>149</v>
      </c>
      <c r="BD23" s="55" t="s">
        <v>149</v>
      </c>
      <c r="BE23" s="55" t="s">
        <v>149</v>
      </c>
      <c r="BF23" s="55" t="s">
        <v>149</v>
      </c>
      <c r="BG23" s="55" t="s">
        <v>149</v>
      </c>
      <c r="BH23" s="55" t="s">
        <v>149</v>
      </c>
      <c r="BI23" s="55" t="s">
        <v>149</v>
      </c>
      <c r="BJ23" s="55" t="s">
        <v>149</v>
      </c>
      <c r="BK23" s="55" t="s">
        <v>149</v>
      </c>
      <c r="BL23" s="55" t="s">
        <v>149</v>
      </c>
      <c r="BM23" s="55" t="s">
        <v>149</v>
      </c>
      <c r="BN23" s="55" t="s">
        <v>149</v>
      </c>
      <c r="BO23" s="55" t="s">
        <v>149</v>
      </c>
      <c r="BP23" s="55" t="s">
        <v>149</v>
      </c>
      <c r="BQ23" s="55" t="s">
        <v>149</v>
      </c>
      <c r="BR23" s="55" t="s">
        <v>149</v>
      </c>
      <c r="BS23" s="28"/>
      <c r="BT23" s="55" t="s">
        <v>149</v>
      </c>
      <c r="BU23" s="28" t="s">
        <v>162</v>
      </c>
      <c r="BV23" s="28" t="s">
        <v>162</v>
      </c>
      <c r="BW23" s="28"/>
      <c r="BX23" s="55"/>
      <c r="BY23" s="28"/>
      <c r="BZ23" s="55" t="s">
        <v>149</v>
      </c>
      <c r="CA23" s="55"/>
      <c r="CB23" s="343" t="s">
        <v>149</v>
      </c>
      <c r="CC23" s="118"/>
      <c r="CD23" s="118"/>
      <c r="CE23" s="343" t="s">
        <v>149</v>
      </c>
      <c r="CF23" s="330"/>
      <c r="CG23" s="330"/>
      <c r="CH23" s="330"/>
      <c r="CI23" s="347" t="s">
        <v>149</v>
      </c>
      <c r="CJ23" s="223" t="s">
        <v>149</v>
      </c>
      <c r="CK23" s="223" t="s">
        <v>1205</v>
      </c>
      <c r="CL23" s="223" t="s">
        <v>1205</v>
      </c>
    </row>
    <row r="24" spans="1:90" x14ac:dyDescent="0.25">
      <c r="C24" s="30" t="s">
        <v>85</v>
      </c>
      <c r="D24" s="29" t="s">
        <v>85</v>
      </c>
      <c r="E24" s="28" t="s">
        <v>162</v>
      </c>
      <c r="F24" s="28" t="s">
        <v>162</v>
      </c>
      <c r="G24" s="28" t="s">
        <v>162</v>
      </c>
      <c r="H24" s="28" t="s">
        <v>162</v>
      </c>
      <c r="I24" s="28" t="s">
        <v>162</v>
      </c>
      <c r="J24" s="28" t="s">
        <v>162</v>
      </c>
      <c r="K24" s="28" t="s">
        <v>162</v>
      </c>
      <c r="L24" s="28" t="s">
        <v>162</v>
      </c>
      <c r="M24" s="28" t="s">
        <v>162</v>
      </c>
      <c r="N24" s="28" t="s">
        <v>162</v>
      </c>
      <c r="O24" s="28" t="s">
        <v>162</v>
      </c>
      <c r="P24" s="28" t="s">
        <v>162</v>
      </c>
      <c r="Q24" s="28" t="s">
        <v>162</v>
      </c>
      <c r="R24" s="28" t="s">
        <v>162</v>
      </c>
      <c r="S24" s="28" t="s">
        <v>162</v>
      </c>
      <c r="T24" s="28" t="s">
        <v>162</v>
      </c>
      <c r="U24" s="28" t="s">
        <v>162</v>
      </c>
      <c r="V24" s="28" t="s">
        <v>162</v>
      </c>
      <c r="W24" s="28" t="s">
        <v>162</v>
      </c>
      <c r="X24" s="28" t="s">
        <v>162</v>
      </c>
      <c r="Y24" s="28" t="s">
        <v>162</v>
      </c>
      <c r="Z24" s="28" t="s">
        <v>162</v>
      </c>
      <c r="AA24" s="28" t="s">
        <v>162</v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CA24" s="28"/>
      <c r="CB24" s="262" t="s">
        <v>162</v>
      </c>
      <c r="CC24" s="115"/>
      <c r="CD24" s="115"/>
      <c r="CE24" s="262" t="s">
        <v>162</v>
      </c>
      <c r="CF24" s="317"/>
      <c r="CG24" s="317"/>
      <c r="CH24" s="317"/>
      <c r="CI24" s="346"/>
      <c r="CJ24" s="366"/>
      <c r="CK24" s="194"/>
      <c r="CL24" s="194"/>
    </row>
    <row r="25" spans="1:90" x14ac:dyDescent="0.25">
      <c r="C25" s="30" t="s">
        <v>84</v>
      </c>
      <c r="D25" s="29" t="s">
        <v>84</v>
      </c>
      <c r="E25" s="28">
        <v>15000</v>
      </c>
      <c r="F25" s="28">
        <v>15000</v>
      </c>
      <c r="G25" s="28">
        <v>15000</v>
      </c>
      <c r="H25" s="28">
        <v>15000</v>
      </c>
      <c r="I25" s="28">
        <v>15000</v>
      </c>
      <c r="J25" s="28">
        <v>15000</v>
      </c>
      <c r="K25" s="28">
        <v>15000</v>
      </c>
      <c r="L25" s="28">
        <v>15000</v>
      </c>
      <c r="M25" s="28">
        <v>15000</v>
      </c>
      <c r="N25" s="28">
        <v>15000</v>
      </c>
      <c r="O25" s="28">
        <v>15000</v>
      </c>
      <c r="P25" s="28">
        <v>15000</v>
      </c>
      <c r="Q25" s="28">
        <v>15000</v>
      </c>
      <c r="R25" s="28">
        <v>15000</v>
      </c>
      <c r="S25" s="28">
        <v>15000</v>
      </c>
      <c r="T25" s="28">
        <v>15000</v>
      </c>
      <c r="U25" s="28">
        <v>15000</v>
      </c>
      <c r="V25" s="28">
        <v>15000</v>
      </c>
      <c r="W25" s="28">
        <v>15000</v>
      </c>
      <c r="X25" s="28">
        <v>15000</v>
      </c>
      <c r="Y25" s="28">
        <v>15000</v>
      </c>
      <c r="Z25" s="28">
        <v>15000</v>
      </c>
      <c r="AA25" s="28">
        <v>15000</v>
      </c>
      <c r="AB25" s="28">
        <v>15000</v>
      </c>
      <c r="AC25" s="28">
        <v>15000</v>
      </c>
      <c r="AD25" s="28">
        <v>25000</v>
      </c>
      <c r="AE25" s="28">
        <v>25000</v>
      </c>
      <c r="AF25" s="28">
        <v>2500</v>
      </c>
      <c r="AG25" s="28">
        <v>2500</v>
      </c>
      <c r="AH25" s="28">
        <v>2500</v>
      </c>
      <c r="AI25" s="28">
        <v>2500</v>
      </c>
      <c r="AJ25" s="28">
        <v>2500</v>
      </c>
      <c r="AK25" s="28">
        <v>2500</v>
      </c>
      <c r="AL25" s="28">
        <v>2500</v>
      </c>
      <c r="AM25" s="28">
        <v>2500</v>
      </c>
      <c r="AN25" s="28">
        <v>2500</v>
      </c>
      <c r="AO25" s="28">
        <v>7500</v>
      </c>
      <c r="AP25" s="28">
        <v>7500</v>
      </c>
      <c r="AQ25" s="28">
        <v>7500</v>
      </c>
      <c r="AR25" s="28">
        <v>7500</v>
      </c>
      <c r="AS25" s="28">
        <v>7500</v>
      </c>
      <c r="AT25" s="28">
        <v>7500</v>
      </c>
      <c r="AU25" s="28">
        <v>7500</v>
      </c>
      <c r="AV25" s="28">
        <v>7500</v>
      </c>
      <c r="AW25" s="28">
        <v>7500</v>
      </c>
      <c r="AX25" s="28">
        <v>7500</v>
      </c>
      <c r="AY25" s="28">
        <v>7500</v>
      </c>
      <c r="AZ25" s="28">
        <v>7500</v>
      </c>
      <c r="BA25" s="28">
        <v>7500</v>
      </c>
      <c r="BB25" s="28">
        <v>7500</v>
      </c>
      <c r="BC25" s="28">
        <v>7500</v>
      </c>
      <c r="BD25" s="28">
        <v>7500</v>
      </c>
      <c r="BE25" s="28">
        <v>7500</v>
      </c>
      <c r="BF25" s="28">
        <v>7500</v>
      </c>
      <c r="BG25" s="28">
        <v>7500</v>
      </c>
      <c r="BH25" s="28">
        <v>7500</v>
      </c>
      <c r="BI25" s="28">
        <v>7500</v>
      </c>
      <c r="BJ25" s="28">
        <v>7500</v>
      </c>
      <c r="BK25" s="28">
        <v>7500</v>
      </c>
      <c r="BL25" s="28">
        <v>7500</v>
      </c>
      <c r="BM25" s="28">
        <v>7500</v>
      </c>
      <c r="BN25" s="28">
        <v>7500</v>
      </c>
      <c r="BO25" s="28">
        <v>7500</v>
      </c>
      <c r="BP25" s="28">
        <v>7500</v>
      </c>
      <c r="BQ25" s="28">
        <v>7500</v>
      </c>
      <c r="BR25" s="28">
        <v>7500</v>
      </c>
      <c r="BS25" s="28">
        <v>15000</v>
      </c>
      <c r="BT25" s="28">
        <v>15000</v>
      </c>
      <c r="BU25" s="28">
        <v>15000</v>
      </c>
      <c r="BV25" s="28">
        <v>15000</v>
      </c>
      <c r="BW25" s="28">
        <v>15000</v>
      </c>
      <c r="BX25" s="28">
        <v>15000</v>
      </c>
      <c r="BY25" s="28">
        <v>15000</v>
      </c>
      <c r="BZ25" s="28">
        <v>15000</v>
      </c>
      <c r="CA25" s="181" t="s">
        <v>1193</v>
      </c>
      <c r="CB25" s="262">
        <v>15000</v>
      </c>
      <c r="CC25" s="181">
        <v>2500</v>
      </c>
      <c r="CD25" s="181">
        <v>7500</v>
      </c>
      <c r="CE25" s="262">
        <v>15000</v>
      </c>
      <c r="CF25" s="331">
        <v>25000</v>
      </c>
      <c r="CG25" s="331">
        <v>25000</v>
      </c>
      <c r="CH25" s="331">
        <v>25000</v>
      </c>
      <c r="CI25" s="346"/>
      <c r="CJ25" s="366"/>
      <c r="CK25" s="194">
        <v>7500</v>
      </c>
      <c r="CL25" s="194">
        <v>7500</v>
      </c>
    </row>
    <row r="26" spans="1:90" x14ac:dyDescent="0.25">
      <c r="C26" s="30" t="s">
        <v>83</v>
      </c>
      <c r="D26" s="29" t="s">
        <v>83</v>
      </c>
      <c r="E26" s="25">
        <v>400</v>
      </c>
      <c r="F26" s="25">
        <v>400</v>
      </c>
      <c r="G26" s="25">
        <v>400</v>
      </c>
      <c r="H26" s="25">
        <v>400</v>
      </c>
      <c r="I26" s="25">
        <v>400</v>
      </c>
      <c r="J26" s="25">
        <v>400</v>
      </c>
      <c r="K26" s="25">
        <v>400</v>
      </c>
      <c r="L26" s="25">
        <v>400</v>
      </c>
      <c r="M26" s="25">
        <v>400</v>
      </c>
      <c r="N26" s="25">
        <v>400</v>
      </c>
      <c r="O26" s="25">
        <v>400</v>
      </c>
      <c r="P26" s="25">
        <v>400</v>
      </c>
      <c r="Q26" s="25">
        <v>400</v>
      </c>
      <c r="R26" s="25">
        <v>400</v>
      </c>
      <c r="S26" s="25">
        <v>400</v>
      </c>
      <c r="T26" s="25">
        <v>400</v>
      </c>
      <c r="U26" s="25">
        <v>400</v>
      </c>
      <c r="V26" s="25">
        <v>400</v>
      </c>
      <c r="W26" s="25">
        <v>400</v>
      </c>
      <c r="X26" s="25">
        <v>400</v>
      </c>
      <c r="Y26" s="25">
        <v>400</v>
      </c>
      <c r="Z26" s="25">
        <v>400</v>
      </c>
      <c r="AA26" s="25">
        <v>400</v>
      </c>
      <c r="AB26" s="25">
        <v>500</v>
      </c>
      <c r="AC26" s="25">
        <v>500</v>
      </c>
      <c r="AD26" s="25">
        <v>500</v>
      </c>
      <c r="AE26" s="25">
        <v>500</v>
      </c>
      <c r="AF26" s="25">
        <v>400</v>
      </c>
      <c r="AG26" s="25">
        <v>400</v>
      </c>
      <c r="AH26" s="25">
        <v>400</v>
      </c>
      <c r="AI26" s="25">
        <v>400</v>
      </c>
      <c r="AJ26" s="25">
        <v>400</v>
      </c>
      <c r="AK26" s="25">
        <v>400</v>
      </c>
      <c r="AL26" s="25">
        <v>400</v>
      </c>
      <c r="AM26" s="25">
        <v>400</v>
      </c>
      <c r="AN26" s="25">
        <v>400</v>
      </c>
      <c r="AO26" s="25">
        <v>400</v>
      </c>
      <c r="AP26" s="25" t="s">
        <v>518</v>
      </c>
      <c r="AQ26" s="25">
        <v>500</v>
      </c>
      <c r="AR26" s="25">
        <v>750</v>
      </c>
      <c r="AS26" s="25" t="s">
        <v>1222</v>
      </c>
      <c r="AT26" s="25" t="s">
        <v>1224</v>
      </c>
      <c r="AU26" s="25">
        <v>400</v>
      </c>
      <c r="AV26" s="25">
        <v>400</v>
      </c>
      <c r="AW26" s="25">
        <v>400</v>
      </c>
      <c r="AX26" s="25">
        <v>400</v>
      </c>
      <c r="AY26" s="25">
        <v>500</v>
      </c>
      <c r="AZ26" s="25" t="s">
        <v>1224</v>
      </c>
      <c r="BA26" s="25">
        <v>1000</v>
      </c>
      <c r="BB26" s="25" t="s">
        <v>1224</v>
      </c>
      <c r="BC26" s="25" t="s">
        <v>1224</v>
      </c>
      <c r="BD26" s="25" t="s">
        <v>1224</v>
      </c>
      <c r="BE26" s="25" t="s">
        <v>1224</v>
      </c>
      <c r="BF26" s="25" t="s">
        <v>1224</v>
      </c>
      <c r="BG26" s="25">
        <v>400</v>
      </c>
      <c r="BH26" s="25">
        <v>400</v>
      </c>
      <c r="BI26" s="25">
        <v>400</v>
      </c>
      <c r="BJ26" s="25">
        <v>400</v>
      </c>
      <c r="BK26" s="25">
        <v>500</v>
      </c>
      <c r="BL26" s="25" t="s">
        <v>1222</v>
      </c>
      <c r="BM26" s="25" t="s">
        <v>1223</v>
      </c>
      <c r="BN26" s="25">
        <v>400</v>
      </c>
      <c r="BO26" s="25">
        <v>400</v>
      </c>
      <c r="BP26" s="25">
        <v>400</v>
      </c>
      <c r="BQ26" s="25">
        <v>400</v>
      </c>
      <c r="BR26" s="25">
        <v>400</v>
      </c>
      <c r="BS26" s="25">
        <v>400</v>
      </c>
      <c r="BT26" s="25">
        <v>400</v>
      </c>
      <c r="BU26" s="25">
        <v>400</v>
      </c>
      <c r="BV26" s="25">
        <v>400</v>
      </c>
      <c r="BW26" s="25">
        <v>400</v>
      </c>
      <c r="BX26" s="25">
        <v>400</v>
      </c>
      <c r="BY26" s="25">
        <v>400</v>
      </c>
      <c r="BZ26" s="25">
        <v>400</v>
      </c>
      <c r="CA26" s="25">
        <v>750</v>
      </c>
      <c r="CB26" s="264">
        <v>400</v>
      </c>
      <c r="CC26" s="114">
        <v>500</v>
      </c>
      <c r="CD26" s="114">
        <v>200</v>
      </c>
      <c r="CE26" s="264">
        <v>400</v>
      </c>
      <c r="CF26" s="318">
        <v>500</v>
      </c>
      <c r="CG26" s="318">
        <v>500</v>
      </c>
      <c r="CH26" s="318">
        <v>500</v>
      </c>
      <c r="CI26" s="353">
        <v>500</v>
      </c>
      <c r="CJ26" s="207">
        <v>500</v>
      </c>
      <c r="CK26" s="207">
        <v>500</v>
      </c>
      <c r="CL26" s="207">
        <v>500</v>
      </c>
    </row>
    <row ht="15.75" r="27" spans="1:90" x14ac:dyDescent="0.3">
      <c r="A27" s="35" t="s">
        <v>82</v>
      </c>
      <c r="B27" s="34"/>
      <c r="C27" s="33" t="s">
        <v>975</v>
      </c>
      <c r="D27" s="32" t="s">
        <v>81</v>
      </c>
      <c r="E27" s="41" t="s">
        <v>80</v>
      </c>
      <c r="F27" s="41" t="s">
        <v>80</v>
      </c>
      <c r="G27" s="41" t="s">
        <v>80</v>
      </c>
      <c r="H27" s="41" t="s">
        <v>80</v>
      </c>
      <c r="I27" s="41" t="s">
        <v>80</v>
      </c>
      <c r="J27" s="41" t="s">
        <v>80</v>
      </c>
      <c r="K27" s="41" t="s">
        <v>80</v>
      </c>
      <c r="L27" s="41" t="s">
        <v>80</v>
      </c>
      <c r="M27" s="41" t="s">
        <v>80</v>
      </c>
      <c r="N27" s="41" t="s">
        <v>80</v>
      </c>
      <c r="O27" s="41" t="s">
        <v>80</v>
      </c>
      <c r="P27" s="41" t="s">
        <v>80</v>
      </c>
      <c r="Q27" s="41" t="s">
        <v>80</v>
      </c>
      <c r="R27" s="41" t="s">
        <v>80</v>
      </c>
      <c r="S27" s="41" t="s">
        <v>80</v>
      </c>
      <c r="T27" s="41" t="s">
        <v>80</v>
      </c>
      <c r="U27" s="41" t="s">
        <v>80</v>
      </c>
      <c r="V27" s="41" t="s">
        <v>80</v>
      </c>
      <c r="W27" s="41" t="s">
        <v>80</v>
      </c>
      <c r="X27" s="41" t="s">
        <v>80</v>
      </c>
      <c r="Y27" s="41" t="s">
        <v>80</v>
      </c>
      <c r="Z27" s="41" t="s">
        <v>80</v>
      </c>
      <c r="AA27" s="41" t="s">
        <v>80</v>
      </c>
      <c r="AB27" s="41" t="s">
        <v>80</v>
      </c>
      <c r="AC27" s="41" t="s">
        <v>80</v>
      </c>
      <c r="AD27" s="41" t="s">
        <v>80</v>
      </c>
      <c r="AE27" s="41" t="s">
        <v>80</v>
      </c>
      <c r="AF27" s="41" t="s">
        <v>80</v>
      </c>
      <c r="AG27" s="41" t="s">
        <v>80</v>
      </c>
      <c r="AH27" s="41" t="s">
        <v>80</v>
      </c>
      <c r="AI27" s="41" t="s">
        <v>80</v>
      </c>
      <c r="AJ27" s="41" t="s">
        <v>80</v>
      </c>
      <c r="AK27" s="41" t="s">
        <v>80</v>
      </c>
      <c r="AL27" s="41" t="s">
        <v>80</v>
      </c>
      <c r="AM27" s="41" t="s">
        <v>80</v>
      </c>
      <c r="AN27" s="41" t="s">
        <v>80</v>
      </c>
      <c r="AO27" s="41" t="s">
        <v>80</v>
      </c>
      <c r="AP27" s="41" t="s">
        <v>80</v>
      </c>
      <c r="AQ27" s="41" t="s">
        <v>80</v>
      </c>
      <c r="AR27" s="41" t="s">
        <v>80</v>
      </c>
      <c r="AS27" s="41" t="s">
        <v>80</v>
      </c>
      <c r="AT27" s="41" t="s">
        <v>80</v>
      </c>
      <c r="AU27" s="41" t="s">
        <v>80</v>
      </c>
      <c r="AV27" s="41" t="s">
        <v>80</v>
      </c>
      <c r="AW27" s="41" t="s">
        <v>80</v>
      </c>
      <c r="AX27" s="41" t="s">
        <v>80</v>
      </c>
      <c r="AY27" s="41" t="s">
        <v>80</v>
      </c>
      <c r="AZ27" s="41" t="s">
        <v>80</v>
      </c>
      <c r="BA27" s="41" t="s">
        <v>80</v>
      </c>
      <c r="BB27" s="41" t="s">
        <v>80</v>
      </c>
      <c r="BC27" s="41" t="s">
        <v>80</v>
      </c>
      <c r="BD27" s="41" t="s">
        <v>80</v>
      </c>
      <c r="BE27" s="41" t="s">
        <v>80</v>
      </c>
      <c r="BF27" s="41" t="s">
        <v>80</v>
      </c>
      <c r="BG27" s="41" t="s">
        <v>80</v>
      </c>
      <c r="BH27" s="41" t="s">
        <v>80</v>
      </c>
      <c r="BI27" s="41" t="s">
        <v>80</v>
      </c>
      <c r="BJ27" s="41" t="s">
        <v>80</v>
      </c>
      <c r="BK27" s="41" t="s">
        <v>80</v>
      </c>
      <c r="BL27" s="41" t="s">
        <v>80</v>
      </c>
      <c r="BM27" s="41" t="s">
        <v>80</v>
      </c>
      <c r="BN27" s="41" t="s">
        <v>80</v>
      </c>
      <c r="BO27" s="41" t="s">
        <v>80</v>
      </c>
      <c r="BP27" s="41" t="s">
        <v>80</v>
      </c>
      <c r="BQ27" s="41" t="s">
        <v>80</v>
      </c>
      <c r="BR27" s="41" t="s">
        <v>80</v>
      </c>
      <c r="BS27" s="41" t="s">
        <v>80</v>
      </c>
      <c r="BT27" s="41" t="s">
        <v>80</v>
      </c>
      <c r="BU27" s="41" t="s">
        <v>80</v>
      </c>
      <c r="BV27" s="41" t="s">
        <v>80</v>
      </c>
      <c r="BW27" s="41" t="s">
        <v>80</v>
      </c>
      <c r="BX27" s="41" t="s">
        <v>80</v>
      </c>
      <c r="BY27" s="41" t="s">
        <v>80</v>
      </c>
      <c r="BZ27" s="41" t="s">
        <v>80</v>
      </c>
      <c r="CA27" s="117" t="s">
        <v>80</v>
      </c>
      <c r="CB27" s="110" t="s">
        <v>80</v>
      </c>
      <c r="CC27" s="117" t="s">
        <v>80</v>
      </c>
      <c r="CD27" s="117" t="s">
        <v>1228</v>
      </c>
      <c r="CE27" s="110" t="s">
        <v>80</v>
      </c>
      <c r="CF27" s="317" t="s">
        <v>1251</v>
      </c>
      <c r="CG27" s="317" t="s">
        <v>1251</v>
      </c>
      <c r="CH27" s="317" t="s">
        <v>1251</v>
      </c>
      <c r="CI27" s="345" t="s">
        <v>1258</v>
      </c>
      <c r="CJ27" s="194" t="s">
        <v>1258</v>
      </c>
      <c r="CK27" s="194" t="s">
        <v>1258</v>
      </c>
      <c r="CL27" s="194" t="s">
        <v>1258</v>
      </c>
    </row>
    <row r="28" spans="1:90" x14ac:dyDescent="0.25">
      <c r="C28" s="39" t="s">
        <v>976</v>
      </c>
      <c r="D28" s="38" t="s">
        <v>79</v>
      </c>
      <c r="E28" s="31">
        <v>13076</v>
      </c>
      <c r="F28" s="31">
        <v>19651</v>
      </c>
      <c r="G28" s="31">
        <v>19651</v>
      </c>
      <c r="H28" s="31">
        <v>19651</v>
      </c>
      <c r="I28" s="31">
        <v>19651</v>
      </c>
      <c r="J28" s="31">
        <v>19651</v>
      </c>
      <c r="K28" s="31">
        <v>19651</v>
      </c>
      <c r="L28" s="31">
        <v>19651</v>
      </c>
      <c r="M28" s="31">
        <v>19651</v>
      </c>
      <c r="N28" s="31">
        <v>19651</v>
      </c>
      <c r="O28" s="31">
        <v>19651</v>
      </c>
      <c r="P28" s="31">
        <v>19651</v>
      </c>
      <c r="Q28" s="31">
        <v>19651</v>
      </c>
      <c r="R28" s="31">
        <v>19651</v>
      </c>
      <c r="S28" s="31">
        <v>19651</v>
      </c>
      <c r="T28" s="31">
        <v>19651</v>
      </c>
      <c r="U28" s="31">
        <v>19651</v>
      </c>
      <c r="V28" s="31">
        <v>19651</v>
      </c>
      <c r="W28" s="31">
        <v>19651</v>
      </c>
      <c r="X28" s="31">
        <v>19651</v>
      </c>
      <c r="Y28" s="31">
        <v>19651</v>
      </c>
      <c r="Z28" s="31">
        <v>19651</v>
      </c>
      <c r="AA28" s="31">
        <v>19651</v>
      </c>
      <c r="AB28" s="31">
        <v>27008</v>
      </c>
      <c r="AC28" s="31">
        <v>27008</v>
      </c>
      <c r="AD28" s="31">
        <v>27008</v>
      </c>
      <c r="AE28" s="31">
        <v>27008</v>
      </c>
      <c r="AF28" s="31">
        <v>29680</v>
      </c>
      <c r="AG28" s="31">
        <v>29680</v>
      </c>
      <c r="AH28" s="31">
        <v>29680</v>
      </c>
      <c r="AI28" s="31">
        <v>29680</v>
      </c>
      <c r="AJ28" s="31">
        <v>29680</v>
      </c>
      <c r="AK28" s="31">
        <v>29680</v>
      </c>
      <c r="AL28" s="31">
        <v>29680</v>
      </c>
      <c r="AM28" s="31">
        <v>29680</v>
      </c>
      <c r="AN28" s="31">
        <v>29680</v>
      </c>
      <c r="AO28" s="31">
        <v>24201</v>
      </c>
      <c r="AP28" s="31">
        <v>24201</v>
      </c>
      <c r="AQ28" s="31">
        <v>24201</v>
      </c>
      <c r="AR28" s="31">
        <v>24201</v>
      </c>
      <c r="AS28" s="31">
        <v>24201</v>
      </c>
      <c r="AT28" s="31">
        <v>24201</v>
      </c>
      <c r="AU28" s="31">
        <v>26163</v>
      </c>
      <c r="AV28" s="31">
        <v>26163</v>
      </c>
      <c r="AW28" s="31">
        <v>26163</v>
      </c>
      <c r="AX28" s="31">
        <v>26163</v>
      </c>
      <c r="AY28" s="31">
        <v>26163</v>
      </c>
      <c r="AZ28" s="31">
        <v>26163</v>
      </c>
      <c r="BA28" s="31">
        <v>26163</v>
      </c>
      <c r="BB28" s="31">
        <v>26163</v>
      </c>
      <c r="BC28" s="31">
        <v>26163</v>
      </c>
      <c r="BD28" s="31">
        <v>26163</v>
      </c>
      <c r="BE28" s="31">
        <v>26163</v>
      </c>
      <c r="BF28" s="31">
        <v>26163</v>
      </c>
      <c r="BG28" s="31">
        <v>26163</v>
      </c>
      <c r="BH28" s="31">
        <v>26163</v>
      </c>
      <c r="BI28" s="31">
        <v>26163</v>
      </c>
      <c r="BJ28" s="31">
        <v>26163</v>
      </c>
      <c r="BK28" s="31">
        <v>26163</v>
      </c>
      <c r="BL28" s="31">
        <v>26163</v>
      </c>
      <c r="BM28" s="31">
        <v>26163</v>
      </c>
      <c r="BN28" s="31">
        <v>26163</v>
      </c>
      <c r="BO28" s="31">
        <v>26163</v>
      </c>
      <c r="BP28" s="31">
        <v>26163</v>
      </c>
      <c r="BQ28" s="31">
        <v>26163</v>
      </c>
      <c r="BR28" s="31">
        <v>26163</v>
      </c>
      <c r="BS28" s="31">
        <v>13076</v>
      </c>
      <c r="BT28" s="31">
        <v>13076</v>
      </c>
      <c r="BU28" s="31">
        <v>13076</v>
      </c>
      <c r="BV28" s="31">
        <v>13076</v>
      </c>
      <c r="BW28" s="31">
        <v>13076</v>
      </c>
      <c r="BX28" s="31">
        <v>13076</v>
      </c>
      <c r="BY28" s="31">
        <v>13076</v>
      </c>
      <c r="BZ28" s="31">
        <v>13076</v>
      </c>
      <c r="CA28" s="116">
        <v>30971</v>
      </c>
      <c r="CB28" s="263">
        <v>13076</v>
      </c>
      <c r="CC28" s="116">
        <v>36526</v>
      </c>
      <c r="CD28" s="116">
        <v>30971</v>
      </c>
      <c r="CE28" s="263">
        <v>13076</v>
      </c>
      <c r="CF28" s="328">
        <v>32874</v>
      </c>
      <c r="CG28" s="328">
        <v>32874</v>
      </c>
      <c r="CH28" s="328">
        <v>32874</v>
      </c>
      <c r="CI28" s="352">
        <v>23226</v>
      </c>
      <c r="CJ28" s="201">
        <v>23226</v>
      </c>
      <c r="CK28" s="201">
        <v>23226</v>
      </c>
      <c r="CL28" s="201">
        <v>23226</v>
      </c>
    </row>
    <row r="29" spans="1:90" x14ac:dyDescent="0.25">
      <c r="C29" s="39" t="s">
        <v>977</v>
      </c>
      <c r="D29" s="38" t="s">
        <v>78</v>
      </c>
      <c r="E29" s="28" t="s">
        <v>1142</v>
      </c>
      <c r="F29" s="115" t="s">
        <v>1142</v>
      </c>
      <c r="G29" s="115" t="s">
        <v>1142</v>
      </c>
      <c r="H29" s="115" t="s">
        <v>1142</v>
      </c>
      <c r="I29" s="115" t="s">
        <v>1142</v>
      </c>
      <c r="J29" s="115" t="s">
        <v>1142</v>
      </c>
      <c r="K29" s="115" t="s">
        <v>1142</v>
      </c>
      <c r="L29" s="115" t="s">
        <v>1142</v>
      </c>
      <c r="M29" s="115" t="s">
        <v>1142</v>
      </c>
      <c r="N29" s="115" t="s">
        <v>1142</v>
      </c>
      <c r="O29" s="115" t="s">
        <v>1142</v>
      </c>
      <c r="P29" s="115" t="s">
        <v>1142</v>
      </c>
      <c r="Q29" s="115" t="s">
        <v>1142</v>
      </c>
      <c r="R29" s="115" t="s">
        <v>1142</v>
      </c>
      <c r="S29" s="115" t="s">
        <v>1142</v>
      </c>
      <c r="T29" s="115" t="s">
        <v>1142</v>
      </c>
      <c r="U29" s="115" t="s">
        <v>1142</v>
      </c>
      <c r="V29" s="115" t="s">
        <v>1142</v>
      </c>
      <c r="W29" s="115" t="s">
        <v>1142</v>
      </c>
      <c r="X29" s="115" t="s">
        <v>1142</v>
      </c>
      <c r="Y29" s="115" t="s">
        <v>1142</v>
      </c>
      <c r="Z29" s="115" t="s">
        <v>1142</v>
      </c>
      <c r="AA29" s="115" t="s">
        <v>1142</v>
      </c>
      <c r="AB29" s="28" t="s">
        <v>1144</v>
      </c>
      <c r="AC29" s="28" t="s">
        <v>1144</v>
      </c>
      <c r="AD29" s="28" t="s">
        <v>1144</v>
      </c>
      <c r="AE29" s="28" t="s">
        <v>1144</v>
      </c>
      <c r="AF29" s="28" t="s">
        <v>1144</v>
      </c>
      <c r="AG29" s="28" t="s">
        <v>1144</v>
      </c>
      <c r="AH29" s="28" t="s">
        <v>1144</v>
      </c>
      <c r="AI29" s="28" t="s">
        <v>1144</v>
      </c>
      <c r="AJ29" s="115" t="s">
        <v>1144</v>
      </c>
      <c r="AK29" s="115" t="s">
        <v>1144</v>
      </c>
      <c r="AL29" s="115" t="s">
        <v>1144</v>
      </c>
      <c r="AM29" s="115" t="s">
        <v>1144</v>
      </c>
      <c r="AN29" s="115" t="s">
        <v>1144</v>
      </c>
      <c r="AO29" s="115" t="s">
        <v>1144</v>
      </c>
      <c r="AP29" s="115" t="s">
        <v>1144</v>
      </c>
      <c r="AQ29" s="115" t="s">
        <v>1144</v>
      </c>
      <c r="AR29" s="115" t="s">
        <v>1144</v>
      </c>
      <c r="AS29" s="115" t="s">
        <v>1144</v>
      </c>
      <c r="AT29" s="115" t="s">
        <v>1144</v>
      </c>
      <c r="AU29" s="28" t="s">
        <v>1142</v>
      </c>
      <c r="AV29" s="115" t="s">
        <v>1142</v>
      </c>
      <c r="AW29" s="115" t="s">
        <v>1142</v>
      </c>
      <c r="AX29" s="115" t="s">
        <v>1142</v>
      </c>
      <c r="AY29" s="115" t="s">
        <v>1142</v>
      </c>
      <c r="AZ29" s="115" t="s">
        <v>1142</v>
      </c>
      <c r="BA29" s="115" t="s">
        <v>1142</v>
      </c>
      <c r="BB29" s="115" t="s">
        <v>1142</v>
      </c>
      <c r="BC29" s="115" t="s">
        <v>1142</v>
      </c>
      <c r="BD29" s="115" t="s">
        <v>1142</v>
      </c>
      <c r="BE29" s="115" t="s">
        <v>1142</v>
      </c>
      <c r="BF29" s="115" t="s">
        <v>1142</v>
      </c>
      <c r="BG29" s="115" t="s">
        <v>1142</v>
      </c>
      <c r="BH29" s="115" t="s">
        <v>1142</v>
      </c>
      <c r="BI29" s="115" t="s">
        <v>1142</v>
      </c>
      <c r="BJ29" s="115" t="s">
        <v>1142</v>
      </c>
      <c r="BK29" s="115" t="s">
        <v>1142</v>
      </c>
      <c r="BL29" s="115" t="s">
        <v>1142</v>
      </c>
      <c r="BM29" s="115" t="s">
        <v>1142</v>
      </c>
      <c r="BN29" s="115" t="s">
        <v>1142</v>
      </c>
      <c r="BO29" s="115" t="s">
        <v>1142</v>
      </c>
      <c r="BP29" s="115" t="s">
        <v>1142</v>
      </c>
      <c r="BQ29" s="115" t="s">
        <v>1142</v>
      </c>
      <c r="BR29" s="115" t="s">
        <v>1142</v>
      </c>
      <c r="BS29" s="115" t="s">
        <v>1142</v>
      </c>
      <c r="BT29" s="115" t="s">
        <v>1142</v>
      </c>
      <c r="BU29" s="115" t="s">
        <v>1142</v>
      </c>
      <c r="BV29" s="115" t="s">
        <v>1142</v>
      </c>
      <c r="BW29" s="115" t="s">
        <v>1142</v>
      </c>
      <c r="BX29" s="115" t="s">
        <v>1142</v>
      </c>
      <c r="BY29" s="115" t="s">
        <v>1142</v>
      </c>
      <c r="BZ29" s="115" t="s">
        <v>1142</v>
      </c>
      <c r="CA29" s="28" t="s">
        <v>1142</v>
      </c>
      <c r="CB29" s="262" t="s">
        <v>1142</v>
      </c>
      <c r="CC29" s="115" t="s">
        <v>1142</v>
      </c>
      <c r="CD29" s="115" t="s">
        <v>1142</v>
      </c>
      <c r="CE29" s="262" t="s">
        <v>1142</v>
      </c>
      <c r="CF29" s="317" t="s">
        <v>1142</v>
      </c>
      <c r="CG29" s="317" t="s">
        <v>1142</v>
      </c>
      <c r="CH29" s="317" t="s">
        <v>1142</v>
      </c>
      <c r="CI29" s="345" t="s">
        <v>1142</v>
      </c>
      <c r="CJ29" s="194" t="s">
        <v>1142</v>
      </c>
      <c r="CK29" s="194" t="s">
        <v>1142</v>
      </c>
      <c r="CL29" s="194" t="s">
        <v>1142</v>
      </c>
    </row>
    <row r="30" spans="1:90" x14ac:dyDescent="0.25">
      <c r="C30" s="39" t="s">
        <v>978</v>
      </c>
      <c r="D30" s="38" t="s">
        <v>150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 t="s">
        <v>1167</v>
      </c>
      <c r="CB30" s="262"/>
      <c r="CC30" s="115" t="s">
        <v>1167</v>
      </c>
      <c r="CD30" s="115" t="s">
        <v>1167</v>
      </c>
      <c r="CE30" s="262"/>
      <c r="CF30" s="317" t="s">
        <v>1167</v>
      </c>
      <c r="CG30" s="317" t="s">
        <v>1167</v>
      </c>
      <c r="CH30" s="317" t="s">
        <v>1167</v>
      </c>
      <c r="CI30" s="345" t="s">
        <v>1167</v>
      </c>
      <c r="CJ30" s="194" t="s">
        <v>1167</v>
      </c>
      <c r="CK30" s="194" t="s">
        <v>1167</v>
      </c>
      <c r="CL30" s="194" t="s">
        <v>1167</v>
      </c>
    </row>
    <row r="31" spans="1:90" x14ac:dyDescent="0.25">
      <c r="C31" s="39" t="s">
        <v>1085</v>
      </c>
      <c r="D31" s="38" t="s">
        <v>1085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>
        <v>2016</v>
      </c>
      <c r="CB31" s="262"/>
      <c r="CC31" s="115"/>
      <c r="CD31" s="115">
        <v>2016</v>
      </c>
      <c r="CE31" s="262"/>
      <c r="CF31" s="334"/>
      <c r="CG31" s="334"/>
      <c r="CH31" s="334"/>
      <c r="CI31" s="345">
        <v>2016</v>
      </c>
      <c r="CJ31" s="194">
        <v>2016</v>
      </c>
      <c r="CK31" s="194">
        <v>2016</v>
      </c>
      <c r="CL31" s="194">
        <v>2016</v>
      </c>
    </row>
    <row r="32" spans="1:90" x14ac:dyDescent="0.25">
      <c r="C32" s="39" t="s">
        <v>1086</v>
      </c>
      <c r="D32" s="38" t="s">
        <v>1086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115" t="s">
        <v>1065</v>
      </c>
      <c r="CB32" s="262"/>
      <c r="CC32" s="115"/>
      <c r="CD32" s="115" t="s">
        <v>1065</v>
      </c>
      <c r="CE32" s="262"/>
      <c r="CF32" s="334"/>
      <c r="CG32" s="334"/>
      <c r="CH32" s="334"/>
      <c r="CI32" s="345" t="s">
        <v>1054</v>
      </c>
      <c r="CJ32" s="194" t="s">
        <v>1054</v>
      </c>
      <c r="CK32" s="194" t="s">
        <v>1054</v>
      </c>
      <c r="CL32" s="194" t="s">
        <v>1054</v>
      </c>
    </row>
    <row r="33" spans="1:90" x14ac:dyDescent="0.25">
      <c r="C33" s="39" t="s">
        <v>1087</v>
      </c>
      <c r="D33" s="38" t="s">
        <v>1087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 t="b">
        <v>1</v>
      </c>
      <c r="CB33" s="262"/>
      <c r="CC33" s="115"/>
      <c r="CD33" s="115" t="b">
        <v>1</v>
      </c>
      <c r="CE33" s="262"/>
      <c r="CF33" s="334"/>
      <c r="CG33" s="334"/>
      <c r="CH33" s="334"/>
      <c r="CI33" s="346"/>
      <c r="CJ33" s="366"/>
      <c r="CK33" s="194"/>
      <c r="CL33" s="194"/>
    </row>
    <row r="34" spans="1:90" x14ac:dyDescent="0.25">
      <c r="C34" s="39" t="s">
        <v>979</v>
      </c>
      <c r="D34" s="38" t="s">
        <v>77</v>
      </c>
      <c r="E34" s="180" t="s">
        <v>272</v>
      </c>
      <c r="F34" s="180" t="s">
        <v>272</v>
      </c>
      <c r="G34" s="180" t="s">
        <v>272</v>
      </c>
      <c r="H34" s="180" t="s">
        <v>272</v>
      </c>
      <c r="I34" s="180" t="s">
        <v>272</v>
      </c>
      <c r="J34" s="180" t="s">
        <v>272</v>
      </c>
      <c r="K34" s="180" t="s">
        <v>272</v>
      </c>
      <c r="L34" s="180" t="s">
        <v>272</v>
      </c>
      <c r="M34" s="180" t="s">
        <v>272</v>
      </c>
      <c r="N34" s="180" t="s">
        <v>272</v>
      </c>
      <c r="O34" s="180" t="s">
        <v>272</v>
      </c>
      <c r="P34" s="180" t="s">
        <v>272</v>
      </c>
      <c r="Q34" s="180" t="s">
        <v>272</v>
      </c>
      <c r="R34" s="180" t="s">
        <v>272</v>
      </c>
      <c r="S34" s="180" t="s">
        <v>272</v>
      </c>
      <c r="T34" s="180" t="s">
        <v>272</v>
      </c>
      <c r="U34" s="180" t="s">
        <v>272</v>
      </c>
      <c r="V34" s="180" t="s">
        <v>272</v>
      </c>
      <c r="W34" s="180" t="s">
        <v>272</v>
      </c>
      <c r="X34" s="180" t="s">
        <v>272</v>
      </c>
      <c r="Y34" s="180" t="s">
        <v>272</v>
      </c>
      <c r="Z34" s="180" t="s">
        <v>272</v>
      </c>
      <c r="AA34" s="180" t="s">
        <v>272</v>
      </c>
      <c r="AB34" s="180" t="s">
        <v>273</v>
      </c>
      <c r="AC34" s="180" t="s">
        <v>273</v>
      </c>
      <c r="AD34" s="180" t="s">
        <v>273</v>
      </c>
      <c r="AE34" s="180" t="s">
        <v>273</v>
      </c>
      <c r="AF34" s="180" t="s">
        <v>273</v>
      </c>
      <c r="AG34" s="180" t="s">
        <v>273</v>
      </c>
      <c r="AH34" s="180" t="s">
        <v>273</v>
      </c>
      <c r="AI34" s="180" t="s">
        <v>273</v>
      </c>
      <c r="AJ34" s="180" t="s">
        <v>273</v>
      </c>
      <c r="AK34" s="180" t="s">
        <v>273</v>
      </c>
      <c r="AL34" s="180" t="s">
        <v>273</v>
      </c>
      <c r="AM34" s="180" t="s">
        <v>273</v>
      </c>
      <c r="AN34" s="180" t="s">
        <v>273</v>
      </c>
      <c r="AO34" s="180" t="s">
        <v>273</v>
      </c>
      <c r="AP34" s="180" t="s">
        <v>273</v>
      </c>
      <c r="AQ34" s="180" t="s">
        <v>273</v>
      </c>
      <c r="AR34" s="180" t="s">
        <v>273</v>
      </c>
      <c r="AS34" s="180" t="s">
        <v>273</v>
      </c>
      <c r="AT34" s="180" t="s">
        <v>273</v>
      </c>
      <c r="AU34" s="180" t="s">
        <v>273</v>
      </c>
      <c r="AV34" s="180" t="s">
        <v>273</v>
      </c>
      <c r="AW34" s="180" t="s">
        <v>273</v>
      </c>
      <c r="AX34" s="180" t="s">
        <v>273</v>
      </c>
      <c r="AY34" s="180" t="s">
        <v>273</v>
      </c>
      <c r="AZ34" s="180" t="s">
        <v>273</v>
      </c>
      <c r="BA34" s="180" t="s">
        <v>273</v>
      </c>
      <c r="BB34" s="180" t="s">
        <v>273</v>
      </c>
      <c r="BC34" s="180" t="s">
        <v>273</v>
      </c>
      <c r="BD34" s="180" t="s">
        <v>273</v>
      </c>
      <c r="BE34" s="180" t="s">
        <v>273</v>
      </c>
      <c r="BF34" s="180" t="s">
        <v>273</v>
      </c>
      <c r="BG34" s="180" t="s">
        <v>273</v>
      </c>
      <c r="BH34" s="180" t="s">
        <v>273</v>
      </c>
      <c r="BI34" s="180" t="s">
        <v>273</v>
      </c>
      <c r="BJ34" s="180" t="s">
        <v>273</v>
      </c>
      <c r="BK34" s="180" t="s">
        <v>273</v>
      </c>
      <c r="BL34" s="180" t="s">
        <v>273</v>
      </c>
      <c r="BM34" s="180" t="s">
        <v>273</v>
      </c>
      <c r="BN34" s="180" t="s">
        <v>273</v>
      </c>
      <c r="BO34" s="180" t="s">
        <v>273</v>
      </c>
      <c r="BP34" s="180" t="s">
        <v>273</v>
      </c>
      <c r="BQ34" s="180" t="s">
        <v>273</v>
      </c>
      <c r="BR34" s="180" t="s">
        <v>273</v>
      </c>
      <c r="BS34" s="180" t="s">
        <v>272</v>
      </c>
      <c r="BT34" s="180" t="s">
        <v>272</v>
      </c>
      <c r="BU34" s="180" t="s">
        <v>272</v>
      </c>
      <c r="BV34" s="180" t="s">
        <v>272</v>
      </c>
      <c r="BW34" s="180" t="s">
        <v>272</v>
      </c>
      <c r="BX34" s="180" t="s">
        <v>272</v>
      </c>
      <c r="BY34" s="180" t="s">
        <v>272</v>
      </c>
      <c r="BZ34" s="180" t="s">
        <v>272</v>
      </c>
      <c r="CA34" s="180" t="s">
        <v>274</v>
      </c>
      <c r="CB34" s="266" t="s">
        <v>272</v>
      </c>
      <c r="CC34" s="180" t="s">
        <v>273</v>
      </c>
      <c r="CD34" s="180" t="s">
        <v>274</v>
      </c>
      <c r="CE34" s="266" t="s">
        <v>272</v>
      </c>
      <c r="CF34" s="331" t="s">
        <v>272</v>
      </c>
      <c r="CG34" s="331" t="s">
        <v>272</v>
      </c>
      <c r="CH34" s="331" t="s">
        <v>272</v>
      </c>
      <c r="CI34" s="354" t="s">
        <v>1259</v>
      </c>
      <c r="CJ34" s="226" t="s">
        <v>1259</v>
      </c>
      <c r="CK34" s="226" t="s">
        <v>1259</v>
      </c>
      <c r="CL34" s="226" t="s">
        <v>1259</v>
      </c>
    </row>
    <row customFormat="1" r="35" s="158" spans="1:90" x14ac:dyDescent="0.25">
      <c r="C35" s="39" t="s">
        <v>1091</v>
      </c>
      <c r="D35" s="38" t="s">
        <v>1085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80"/>
      <c r="BY35" s="180"/>
      <c r="BZ35" s="180"/>
      <c r="CA35" s="117">
        <v>2016</v>
      </c>
      <c r="CB35" s="266"/>
      <c r="CC35" s="117"/>
      <c r="CD35" s="117">
        <v>2016</v>
      </c>
      <c r="CE35" s="266"/>
      <c r="CF35" s="334"/>
      <c r="CG35" s="334"/>
      <c r="CH35" s="334"/>
      <c r="CI35" s="355"/>
      <c r="CJ35" s="367"/>
      <c r="CK35" s="226"/>
      <c r="CL35" s="226"/>
    </row>
    <row customFormat="1" r="36" s="158" spans="1:90" x14ac:dyDescent="0.25">
      <c r="C36" s="39" t="s">
        <v>1092</v>
      </c>
      <c r="D36" s="38" t="s">
        <v>1086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  <c r="BO36" s="180"/>
      <c r="BP36" s="180"/>
      <c r="BQ36" s="180"/>
      <c r="BR36" s="180"/>
      <c r="BS36" s="180"/>
      <c r="BT36" s="180"/>
      <c r="BU36" s="180"/>
      <c r="BV36" s="180"/>
      <c r="BW36" s="180"/>
      <c r="BX36" s="180"/>
      <c r="BY36" s="180"/>
      <c r="BZ36" s="180"/>
      <c r="CA36" s="117" t="s">
        <v>1168</v>
      </c>
      <c r="CB36" s="266"/>
      <c r="CC36" s="117"/>
      <c r="CD36" s="117" t="s">
        <v>1168</v>
      </c>
      <c r="CE36" s="266"/>
      <c r="CF36" s="334"/>
      <c r="CG36" s="334"/>
      <c r="CH36" s="334"/>
      <c r="CI36" s="355"/>
      <c r="CJ36" s="367"/>
      <c r="CK36" s="226"/>
      <c r="CL36" s="226"/>
    </row>
    <row customFormat="1" r="37" s="158" spans="1:90" x14ac:dyDescent="0.25">
      <c r="C37" s="39" t="s">
        <v>1093</v>
      </c>
      <c r="D37" s="38" t="s">
        <v>1087</v>
      </c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14" t="b">
        <v>0</v>
      </c>
      <c r="CB37" s="265"/>
      <c r="CC37" s="114"/>
      <c r="CD37" s="114" t="b">
        <v>0</v>
      </c>
      <c r="CE37" s="265"/>
      <c r="CF37" s="335"/>
      <c r="CG37" s="335"/>
      <c r="CH37" s="335"/>
      <c r="CI37" s="356"/>
      <c r="CJ37" s="368"/>
      <c r="CK37" s="231"/>
      <c r="CL37" s="231"/>
    </row>
    <row ht="15.75" r="38" spans="1:90" x14ac:dyDescent="0.3">
      <c r="A38" s="35" t="s">
        <v>76</v>
      </c>
      <c r="B38" s="40"/>
      <c r="C38" s="33" t="s">
        <v>980</v>
      </c>
      <c r="D38" s="32" t="s">
        <v>75</v>
      </c>
      <c r="E38" s="28"/>
      <c r="F38" s="41" t="s">
        <v>134</v>
      </c>
      <c r="G38" s="41" t="s">
        <v>134</v>
      </c>
      <c r="H38" s="41" t="s">
        <v>134</v>
      </c>
      <c r="I38" s="41" t="s">
        <v>74</v>
      </c>
      <c r="J38" s="41" t="s">
        <v>74</v>
      </c>
      <c r="K38" s="41" t="s">
        <v>74</v>
      </c>
      <c r="L38" s="41" t="s">
        <v>74</v>
      </c>
      <c r="M38" s="41" t="s">
        <v>74</v>
      </c>
      <c r="N38" s="41" t="s">
        <v>74</v>
      </c>
      <c r="O38" s="41" t="s">
        <v>74</v>
      </c>
      <c r="P38" s="41" t="s">
        <v>74</v>
      </c>
      <c r="Q38" s="41" t="s">
        <v>74</v>
      </c>
      <c r="R38" s="41" t="s">
        <v>74</v>
      </c>
      <c r="S38" s="41" t="s">
        <v>74</v>
      </c>
      <c r="T38" s="41" t="s">
        <v>74</v>
      </c>
      <c r="U38" s="41" t="s">
        <v>74</v>
      </c>
      <c r="V38" s="41" t="s">
        <v>74</v>
      </c>
      <c r="W38" s="41" t="s">
        <v>74</v>
      </c>
      <c r="X38" s="41" t="s">
        <v>74</v>
      </c>
      <c r="Y38" s="41" t="s">
        <v>74</v>
      </c>
      <c r="Z38" s="41" t="s">
        <v>74</v>
      </c>
      <c r="AA38" s="41" t="s">
        <v>74</v>
      </c>
      <c r="AB38" s="41" t="s">
        <v>74</v>
      </c>
      <c r="AC38" s="41" t="s">
        <v>74</v>
      </c>
      <c r="AD38" s="41" t="s">
        <v>74</v>
      </c>
      <c r="AE38" s="41" t="s">
        <v>74</v>
      </c>
      <c r="AF38" s="41" t="s">
        <v>74</v>
      </c>
      <c r="AG38" s="41" t="s">
        <v>74</v>
      </c>
      <c r="AH38" s="41" t="s">
        <v>74</v>
      </c>
      <c r="AI38" s="41" t="s">
        <v>74</v>
      </c>
      <c r="AJ38" s="41" t="s">
        <v>74</v>
      </c>
      <c r="AK38" s="41" t="s">
        <v>74</v>
      </c>
      <c r="AL38" s="41" t="s">
        <v>74</v>
      </c>
      <c r="AM38" s="41" t="s">
        <v>74</v>
      </c>
      <c r="AN38" s="41" t="s">
        <v>74</v>
      </c>
      <c r="AO38" s="41" t="s">
        <v>74</v>
      </c>
      <c r="AP38" s="41" t="s">
        <v>74</v>
      </c>
      <c r="AQ38" s="41" t="s">
        <v>74</v>
      </c>
      <c r="AR38" s="41" t="s">
        <v>74</v>
      </c>
      <c r="AS38" s="41" t="s">
        <v>74</v>
      </c>
      <c r="AT38" s="41" t="s">
        <v>74</v>
      </c>
      <c r="AU38" s="41" t="s">
        <v>74</v>
      </c>
      <c r="AV38" s="41" t="s">
        <v>74</v>
      </c>
      <c r="AW38" s="41" t="s">
        <v>74</v>
      </c>
      <c r="AX38" s="41" t="s">
        <v>74</v>
      </c>
      <c r="AY38" s="41" t="s">
        <v>74</v>
      </c>
      <c r="AZ38" s="41" t="s">
        <v>74</v>
      </c>
      <c r="BA38" s="41" t="s">
        <v>74</v>
      </c>
      <c r="BB38" s="41" t="s">
        <v>74</v>
      </c>
      <c r="BC38" s="41" t="s">
        <v>74</v>
      </c>
      <c r="BD38" s="41" t="s">
        <v>74</v>
      </c>
      <c r="BE38" s="41" t="s">
        <v>74</v>
      </c>
      <c r="BF38" s="41" t="s">
        <v>74</v>
      </c>
      <c r="BG38" s="41" t="s">
        <v>74</v>
      </c>
      <c r="BH38" s="41" t="s">
        <v>74</v>
      </c>
      <c r="BI38" s="41" t="s">
        <v>74</v>
      </c>
      <c r="BJ38" s="41" t="s">
        <v>74</v>
      </c>
      <c r="BK38" s="41" t="s">
        <v>74</v>
      </c>
      <c r="BL38" s="41" t="s">
        <v>74</v>
      </c>
      <c r="BM38" s="41" t="s">
        <v>74</v>
      </c>
      <c r="BN38" s="41" t="s">
        <v>74</v>
      </c>
      <c r="BO38" s="41" t="s">
        <v>74</v>
      </c>
      <c r="BP38" s="41" t="s">
        <v>74</v>
      </c>
      <c r="BQ38" s="41" t="s">
        <v>74</v>
      </c>
      <c r="BR38" s="41" t="s">
        <v>74</v>
      </c>
      <c r="BS38" s="28"/>
      <c r="BT38" s="28"/>
      <c r="BU38" s="28"/>
      <c r="BV38" s="28"/>
      <c r="BW38" s="28"/>
      <c r="BX38" s="28"/>
      <c r="BY38" s="28"/>
      <c r="BZ38" s="28"/>
      <c r="CA38" s="115"/>
      <c r="CB38" s="262"/>
      <c r="CC38" s="115"/>
      <c r="CD38" s="115"/>
      <c r="CE38" s="262"/>
      <c r="CF38" s="317"/>
      <c r="CG38" s="317"/>
      <c r="CH38" s="317"/>
      <c r="CI38" s="346"/>
      <c r="CJ38" s="366"/>
      <c r="CK38" s="194"/>
      <c r="CL38" s="194"/>
    </row>
    <row r="39" spans="1:90" x14ac:dyDescent="0.25">
      <c r="C39" s="39" t="s">
        <v>981</v>
      </c>
      <c r="D39" s="38" t="s">
        <v>73</v>
      </c>
      <c r="E39" s="28"/>
      <c r="F39" s="31"/>
      <c r="G39" s="31"/>
      <c r="H39" s="31"/>
      <c r="I39" s="31">
        <v>19651</v>
      </c>
      <c r="J39" s="31">
        <v>19651</v>
      </c>
      <c r="K39" s="31">
        <v>19651</v>
      </c>
      <c r="L39" s="31">
        <v>19651</v>
      </c>
      <c r="M39" s="31">
        <v>19651</v>
      </c>
      <c r="N39" s="31">
        <v>19651</v>
      </c>
      <c r="O39" s="31">
        <v>19651</v>
      </c>
      <c r="P39" s="31">
        <v>19651</v>
      </c>
      <c r="Q39" s="31">
        <v>19651</v>
      </c>
      <c r="R39" s="31">
        <v>19651</v>
      </c>
      <c r="S39" s="31">
        <v>19651</v>
      </c>
      <c r="T39" s="31">
        <v>19651</v>
      </c>
      <c r="U39" s="31">
        <v>19651</v>
      </c>
      <c r="V39" s="31">
        <v>19651</v>
      </c>
      <c r="W39" s="31">
        <v>19651</v>
      </c>
      <c r="X39" s="31">
        <v>19651</v>
      </c>
      <c r="Y39" s="31">
        <v>19651</v>
      </c>
      <c r="Z39" s="31">
        <v>19651</v>
      </c>
      <c r="AA39" s="31">
        <v>19651</v>
      </c>
      <c r="AB39" s="31" t="s">
        <v>252</v>
      </c>
      <c r="AC39" s="31" t="s">
        <v>252</v>
      </c>
      <c r="AD39" s="31" t="s">
        <v>252</v>
      </c>
      <c r="AE39" s="31" t="s">
        <v>252</v>
      </c>
      <c r="AF39" s="31" t="s">
        <v>253</v>
      </c>
      <c r="AG39" s="31" t="s">
        <v>253</v>
      </c>
      <c r="AH39" s="31" t="s">
        <v>253</v>
      </c>
      <c r="AI39" s="31" t="s">
        <v>253</v>
      </c>
      <c r="AJ39" s="31" t="s">
        <v>253</v>
      </c>
      <c r="AK39" s="31" t="s">
        <v>253</v>
      </c>
      <c r="AL39" s="31" t="s">
        <v>253</v>
      </c>
      <c r="AM39" s="31" t="s">
        <v>253</v>
      </c>
      <c r="AN39" s="31" t="s">
        <v>253</v>
      </c>
      <c r="AO39" s="31" t="s">
        <v>254</v>
      </c>
      <c r="AP39" s="31" t="s">
        <v>254</v>
      </c>
      <c r="AQ39" s="31" t="s">
        <v>254</v>
      </c>
      <c r="AR39" s="31" t="s">
        <v>254</v>
      </c>
      <c r="AS39" s="31" t="s">
        <v>254</v>
      </c>
      <c r="AT39" s="31" t="s">
        <v>254</v>
      </c>
      <c r="AU39" s="31" t="s">
        <v>255</v>
      </c>
      <c r="AV39" s="31" t="s">
        <v>255</v>
      </c>
      <c r="AW39" s="31" t="s">
        <v>255</v>
      </c>
      <c r="AX39" s="31" t="s">
        <v>255</v>
      </c>
      <c r="AY39" s="31" t="s">
        <v>255</v>
      </c>
      <c r="AZ39" s="31" t="s">
        <v>255</v>
      </c>
      <c r="BA39" s="31" t="s">
        <v>255</v>
      </c>
      <c r="BB39" s="31" t="s">
        <v>255</v>
      </c>
      <c r="BC39" s="31" t="s">
        <v>255</v>
      </c>
      <c r="BD39" s="31" t="s">
        <v>255</v>
      </c>
      <c r="BE39" s="31" t="s">
        <v>255</v>
      </c>
      <c r="BF39" s="31" t="s">
        <v>255</v>
      </c>
      <c r="BG39" s="31" t="s">
        <v>255</v>
      </c>
      <c r="BH39" s="31" t="s">
        <v>255</v>
      </c>
      <c r="BI39" s="31" t="s">
        <v>255</v>
      </c>
      <c r="BJ39" s="31" t="s">
        <v>255</v>
      </c>
      <c r="BK39" s="31" t="s">
        <v>255</v>
      </c>
      <c r="BL39" s="31" t="s">
        <v>255</v>
      </c>
      <c r="BM39" s="31" t="s">
        <v>255</v>
      </c>
      <c r="BN39" s="31" t="s">
        <v>255</v>
      </c>
      <c r="BO39" s="31" t="s">
        <v>255</v>
      </c>
      <c r="BP39" s="31" t="s">
        <v>255</v>
      </c>
      <c r="BQ39" s="31" t="s">
        <v>255</v>
      </c>
      <c r="BR39" s="31" t="s">
        <v>255</v>
      </c>
      <c r="BS39" s="28"/>
      <c r="BT39" s="28"/>
      <c r="BU39" s="28"/>
      <c r="BV39" s="28"/>
      <c r="BW39" s="28"/>
      <c r="BX39" s="28"/>
      <c r="BY39" s="28"/>
      <c r="BZ39" s="28"/>
      <c r="CA39" s="115"/>
      <c r="CB39" s="262"/>
      <c r="CC39" s="115"/>
      <c r="CD39" s="115"/>
      <c r="CE39" s="262"/>
      <c r="CF39" s="317"/>
      <c r="CG39" s="317"/>
      <c r="CH39" s="317"/>
      <c r="CI39" s="346"/>
      <c r="CJ39" s="366"/>
      <c r="CK39" s="194"/>
      <c r="CL39" s="194"/>
    </row>
    <row r="40" spans="1:90" x14ac:dyDescent="0.25">
      <c r="C40" s="39" t="s">
        <v>982</v>
      </c>
      <c r="D40" s="38" t="s">
        <v>72</v>
      </c>
      <c r="E40" s="28"/>
      <c r="F40" s="28"/>
      <c r="G40" s="28"/>
      <c r="H40" s="28"/>
      <c r="I40" s="28" t="s">
        <v>1142</v>
      </c>
      <c r="J40" s="28" t="s">
        <v>1142</v>
      </c>
      <c r="K40" s="28" t="s">
        <v>1142</v>
      </c>
      <c r="L40" s="115" t="s">
        <v>1142</v>
      </c>
      <c r="M40" s="115" t="s">
        <v>1142</v>
      </c>
      <c r="N40" s="115" t="s">
        <v>1142</v>
      </c>
      <c r="O40" s="115" t="s">
        <v>1142</v>
      </c>
      <c r="P40" s="115" t="s">
        <v>1142</v>
      </c>
      <c r="Q40" s="115" t="s">
        <v>1142</v>
      </c>
      <c r="R40" s="115" t="s">
        <v>1142</v>
      </c>
      <c r="S40" s="115" t="s">
        <v>1142</v>
      </c>
      <c r="T40" s="115" t="s">
        <v>1142</v>
      </c>
      <c r="U40" s="115" t="s">
        <v>1142</v>
      </c>
      <c r="V40" s="115" t="s">
        <v>1142</v>
      </c>
      <c r="W40" s="115" t="s">
        <v>1142</v>
      </c>
      <c r="X40" s="115" t="s">
        <v>1142</v>
      </c>
      <c r="Y40" s="115" t="s">
        <v>1142</v>
      </c>
      <c r="Z40" s="115" t="s">
        <v>1142</v>
      </c>
      <c r="AA40" s="115" t="s">
        <v>1142</v>
      </c>
      <c r="AB40" s="115" t="s">
        <v>1142</v>
      </c>
      <c r="AC40" s="115" t="s">
        <v>1142</v>
      </c>
      <c r="AD40" s="115" t="s">
        <v>1142</v>
      </c>
      <c r="AE40" s="115" t="s">
        <v>1142</v>
      </c>
      <c r="AF40" s="115" t="s">
        <v>1142</v>
      </c>
      <c r="AG40" s="115" t="s">
        <v>1142</v>
      </c>
      <c r="AH40" s="115" t="s">
        <v>1142</v>
      </c>
      <c r="AI40" s="115" t="s">
        <v>1142</v>
      </c>
      <c r="AJ40" s="115" t="s">
        <v>1142</v>
      </c>
      <c r="AK40" s="115" t="s">
        <v>1142</v>
      </c>
      <c r="AL40" s="115" t="s">
        <v>1142</v>
      </c>
      <c r="AM40" s="115" t="s">
        <v>1142</v>
      </c>
      <c r="AN40" s="115" t="s">
        <v>1142</v>
      </c>
      <c r="AO40" s="28" t="s">
        <v>1144</v>
      </c>
      <c r="AP40" s="28" t="s">
        <v>1144</v>
      </c>
      <c r="AQ40" s="28" t="s">
        <v>1144</v>
      </c>
      <c r="AR40" s="28" t="s">
        <v>1144</v>
      </c>
      <c r="AS40" s="115" t="s">
        <v>1144</v>
      </c>
      <c r="AT40" s="115" t="s">
        <v>1144</v>
      </c>
      <c r="AU40" s="115" t="s">
        <v>1144</v>
      </c>
      <c r="AV40" s="115" t="s">
        <v>1144</v>
      </c>
      <c r="AW40" s="115" t="s">
        <v>1144</v>
      </c>
      <c r="AX40" s="115" t="s">
        <v>1144</v>
      </c>
      <c r="AY40" s="115" t="s">
        <v>1144</v>
      </c>
      <c r="AZ40" s="115" t="s">
        <v>1144</v>
      </c>
      <c r="BA40" s="115" t="s">
        <v>1144</v>
      </c>
      <c r="BB40" s="115" t="s">
        <v>1144</v>
      </c>
      <c r="BC40" s="115" t="s">
        <v>1144</v>
      </c>
      <c r="BD40" s="115" t="s">
        <v>1144</v>
      </c>
      <c r="BE40" s="115" t="s">
        <v>1144</v>
      </c>
      <c r="BF40" s="115" t="s">
        <v>1144</v>
      </c>
      <c r="BG40" s="115" t="s">
        <v>1144</v>
      </c>
      <c r="BH40" s="115" t="s">
        <v>1144</v>
      </c>
      <c r="BI40" s="115" t="s">
        <v>1144</v>
      </c>
      <c r="BJ40" s="115" t="s">
        <v>1144</v>
      </c>
      <c r="BK40" s="115" t="s">
        <v>1144</v>
      </c>
      <c r="BL40" s="115" t="s">
        <v>1144</v>
      </c>
      <c r="BM40" s="115" t="s">
        <v>1144</v>
      </c>
      <c r="BN40" s="115" t="s">
        <v>1144</v>
      </c>
      <c r="BO40" s="115" t="s">
        <v>1144</v>
      </c>
      <c r="BP40" s="115" t="s">
        <v>1144</v>
      </c>
      <c r="BQ40" s="115" t="s">
        <v>1144</v>
      </c>
      <c r="BR40" s="115" t="s">
        <v>1144</v>
      </c>
      <c r="BS40" s="28"/>
      <c r="BT40" s="28"/>
      <c r="BU40" s="28"/>
      <c r="BV40" s="28"/>
      <c r="BW40" s="28"/>
      <c r="BX40" s="28"/>
      <c r="BY40" s="28"/>
      <c r="BZ40" s="28"/>
      <c r="CA40" s="115"/>
      <c r="CB40" s="262"/>
      <c r="CC40" s="115"/>
      <c r="CD40" s="115"/>
      <c r="CE40" s="262"/>
      <c r="CF40" s="317"/>
      <c r="CG40" s="317"/>
      <c r="CH40" s="317"/>
      <c r="CI40" s="346"/>
      <c r="CJ40" s="366"/>
      <c r="CK40" s="194"/>
      <c r="CL40" s="194"/>
    </row>
    <row r="41" spans="1:90" x14ac:dyDescent="0.25">
      <c r="C41" s="39" t="s">
        <v>983</v>
      </c>
      <c r="D41" s="38" t="s">
        <v>150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115"/>
      <c r="CB41" s="262"/>
      <c r="CC41" s="115"/>
      <c r="CD41" s="115"/>
      <c r="CE41" s="262"/>
      <c r="CF41" s="317"/>
      <c r="CG41" s="317"/>
      <c r="CH41" s="317"/>
      <c r="CI41" s="346"/>
      <c r="CJ41" s="366"/>
      <c r="CK41" s="194"/>
      <c r="CL41" s="194"/>
    </row>
    <row r="42" spans="1:90" x14ac:dyDescent="0.25">
      <c r="C42" s="39" t="s">
        <v>1088</v>
      </c>
      <c r="D42" s="38" t="s">
        <v>1088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115"/>
      <c r="CB42" s="262"/>
      <c r="CC42" s="115"/>
      <c r="CD42" s="115"/>
      <c r="CE42" s="262"/>
      <c r="CF42" s="317"/>
      <c r="CG42" s="317"/>
      <c r="CH42" s="317"/>
      <c r="CI42" s="346"/>
      <c r="CJ42" s="366"/>
      <c r="CK42" s="194"/>
      <c r="CL42" s="194"/>
    </row>
    <row r="43" spans="1:90" x14ac:dyDescent="0.25">
      <c r="C43" s="39" t="s">
        <v>1089</v>
      </c>
      <c r="D43" s="38" t="s">
        <v>1089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115"/>
      <c r="CB43" s="262"/>
      <c r="CC43" s="115"/>
      <c r="CD43" s="115"/>
      <c r="CE43" s="262"/>
      <c r="CF43" s="317"/>
      <c r="CG43" s="317"/>
      <c r="CH43" s="317"/>
      <c r="CI43" s="346"/>
      <c r="CJ43" s="366"/>
      <c r="CK43" s="194"/>
      <c r="CL43" s="194"/>
    </row>
    <row r="44" spans="1:90" x14ac:dyDescent="0.25">
      <c r="C44" s="39" t="s">
        <v>1090</v>
      </c>
      <c r="D44" s="38" t="s">
        <v>1090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115"/>
      <c r="CB44" s="262"/>
      <c r="CC44" s="115"/>
      <c r="CD44" s="115"/>
      <c r="CE44" s="262"/>
      <c r="CF44" s="317"/>
      <c r="CG44" s="317"/>
      <c r="CH44" s="317"/>
      <c r="CI44" s="346"/>
      <c r="CJ44" s="366"/>
      <c r="CK44" s="194"/>
      <c r="CL44" s="194"/>
    </row>
    <row r="45" spans="1:90" x14ac:dyDescent="0.25">
      <c r="C45" s="39" t="s">
        <v>984</v>
      </c>
      <c r="D45" s="38" t="s">
        <v>71</v>
      </c>
      <c r="E45" s="25"/>
      <c r="F45" s="25"/>
      <c r="G45" s="25"/>
      <c r="H45" s="25"/>
      <c r="I45" s="73" t="s">
        <v>272</v>
      </c>
      <c r="J45" s="73" t="s">
        <v>272</v>
      </c>
      <c r="K45" s="73" t="s">
        <v>272</v>
      </c>
      <c r="L45" s="73" t="s">
        <v>272</v>
      </c>
      <c r="M45" s="73" t="s">
        <v>272</v>
      </c>
      <c r="N45" s="73" t="s">
        <v>272</v>
      </c>
      <c r="O45" s="73" t="s">
        <v>272</v>
      </c>
      <c r="P45" s="73" t="s">
        <v>272</v>
      </c>
      <c r="Q45" s="73" t="s">
        <v>272</v>
      </c>
      <c r="R45" s="73" t="s">
        <v>272</v>
      </c>
      <c r="S45" s="73" t="s">
        <v>272</v>
      </c>
      <c r="T45" s="73" t="s">
        <v>272</v>
      </c>
      <c r="U45" s="73" t="s">
        <v>272</v>
      </c>
      <c r="V45" s="73" t="s">
        <v>272</v>
      </c>
      <c r="W45" s="73" t="s">
        <v>272</v>
      </c>
      <c r="X45" s="73" t="s">
        <v>272</v>
      </c>
      <c r="Y45" s="73" t="s">
        <v>272</v>
      </c>
      <c r="Z45" s="73" t="s">
        <v>272</v>
      </c>
      <c r="AA45" s="73" t="s">
        <v>272</v>
      </c>
      <c r="AB45" s="73" t="s">
        <v>274</v>
      </c>
      <c r="AC45" s="73" t="s">
        <v>274</v>
      </c>
      <c r="AD45" s="73" t="s">
        <v>274</v>
      </c>
      <c r="AE45" s="73" t="s">
        <v>274</v>
      </c>
      <c r="AF45" s="73" t="s">
        <v>274</v>
      </c>
      <c r="AG45" s="73" t="s">
        <v>274</v>
      </c>
      <c r="AH45" s="73" t="s">
        <v>274</v>
      </c>
      <c r="AI45" s="73" t="s">
        <v>274</v>
      </c>
      <c r="AJ45" s="73" t="s">
        <v>274</v>
      </c>
      <c r="AK45" s="73" t="s">
        <v>274</v>
      </c>
      <c r="AL45" s="73" t="s">
        <v>274</v>
      </c>
      <c r="AM45" s="73" t="s">
        <v>274</v>
      </c>
      <c r="AN45" s="73" t="s">
        <v>274</v>
      </c>
      <c r="AO45" s="73" t="s">
        <v>274</v>
      </c>
      <c r="AP45" s="73" t="s">
        <v>274</v>
      </c>
      <c r="AQ45" s="73" t="s">
        <v>274</v>
      </c>
      <c r="AR45" s="73" t="s">
        <v>274</v>
      </c>
      <c r="AS45" s="73" t="s">
        <v>274</v>
      </c>
      <c r="AT45" s="73" t="s">
        <v>274</v>
      </c>
      <c r="AU45" s="73" t="s">
        <v>274</v>
      </c>
      <c r="AV45" s="73" t="s">
        <v>274</v>
      </c>
      <c r="AW45" s="73" t="s">
        <v>274</v>
      </c>
      <c r="AX45" s="73" t="s">
        <v>274</v>
      </c>
      <c r="AY45" s="73" t="s">
        <v>274</v>
      </c>
      <c r="AZ45" s="73" t="s">
        <v>274</v>
      </c>
      <c r="BA45" s="73" t="s">
        <v>274</v>
      </c>
      <c r="BB45" s="73" t="s">
        <v>274</v>
      </c>
      <c r="BC45" s="73" t="s">
        <v>274</v>
      </c>
      <c r="BD45" s="73" t="s">
        <v>274</v>
      </c>
      <c r="BE45" s="73" t="s">
        <v>274</v>
      </c>
      <c r="BF45" s="73" t="s">
        <v>274</v>
      </c>
      <c r="BG45" s="73" t="s">
        <v>274</v>
      </c>
      <c r="BH45" s="73" t="s">
        <v>274</v>
      </c>
      <c r="BI45" s="73" t="s">
        <v>274</v>
      </c>
      <c r="BJ45" s="73" t="s">
        <v>274</v>
      </c>
      <c r="BK45" s="73" t="s">
        <v>274</v>
      </c>
      <c r="BL45" s="73" t="s">
        <v>274</v>
      </c>
      <c r="BM45" s="73" t="s">
        <v>274</v>
      </c>
      <c r="BN45" s="73" t="s">
        <v>274</v>
      </c>
      <c r="BO45" s="73" t="s">
        <v>274</v>
      </c>
      <c r="BP45" s="73" t="s">
        <v>274</v>
      </c>
      <c r="BQ45" s="73" t="s">
        <v>274</v>
      </c>
      <c r="BR45" s="73" t="s">
        <v>274</v>
      </c>
      <c r="BS45" s="25"/>
      <c r="BT45" s="25"/>
      <c r="BU45" s="25"/>
      <c r="BV45" s="25"/>
      <c r="BW45" s="25"/>
      <c r="BX45" s="25"/>
      <c r="BY45" s="25"/>
      <c r="BZ45" s="25"/>
      <c r="CA45" s="114"/>
      <c r="CB45" s="264"/>
      <c r="CC45" s="114"/>
      <c r="CD45" s="114"/>
      <c r="CE45" s="264"/>
      <c r="CF45" s="318"/>
      <c r="CG45" s="318"/>
      <c r="CH45" s="318"/>
      <c r="CI45" s="357"/>
      <c r="CJ45" s="369"/>
      <c r="CK45" s="207"/>
      <c r="CL45" s="207"/>
    </row>
    <row ht="15.75" r="46" spans="1:90" x14ac:dyDescent="0.3">
      <c r="A46" s="35" t="s">
        <v>70</v>
      </c>
      <c r="B46" s="40"/>
      <c r="C46" s="33" t="s">
        <v>985</v>
      </c>
      <c r="D46" s="32" t="s">
        <v>69</v>
      </c>
      <c r="E46" s="41" t="s">
        <v>134</v>
      </c>
      <c r="F46" s="41" t="s">
        <v>134</v>
      </c>
      <c r="G46" s="41" t="s">
        <v>134</v>
      </c>
      <c r="H46" s="41" t="s">
        <v>134</v>
      </c>
      <c r="I46" s="41" t="s">
        <v>134</v>
      </c>
      <c r="J46" s="41" t="s">
        <v>134</v>
      </c>
      <c r="K46" s="41" t="s">
        <v>134</v>
      </c>
      <c r="L46" s="41" t="s">
        <v>134</v>
      </c>
      <c r="M46" s="41" t="s">
        <v>134</v>
      </c>
      <c r="N46" s="41" t="s">
        <v>163</v>
      </c>
      <c r="O46" s="41" t="s">
        <v>163</v>
      </c>
      <c r="P46" s="41" t="s">
        <v>163</v>
      </c>
      <c r="Q46" s="41" t="s">
        <v>163</v>
      </c>
      <c r="R46" s="41" t="s">
        <v>163</v>
      </c>
      <c r="S46" s="41" t="s">
        <v>163</v>
      </c>
      <c r="T46" s="41" t="s">
        <v>163</v>
      </c>
      <c r="U46" s="41" t="s">
        <v>163</v>
      </c>
      <c r="V46" s="41" t="s">
        <v>163</v>
      </c>
      <c r="W46" s="41" t="s">
        <v>163</v>
      </c>
      <c r="X46" s="41" t="s">
        <v>163</v>
      </c>
      <c r="Y46" s="41" t="s">
        <v>163</v>
      </c>
      <c r="Z46" s="41" t="s">
        <v>163</v>
      </c>
      <c r="AA46" s="41" t="s">
        <v>163</v>
      </c>
      <c r="AB46" s="41" t="s">
        <v>134</v>
      </c>
      <c r="AC46" s="41" t="s">
        <v>134</v>
      </c>
      <c r="AD46" s="41" t="s">
        <v>134</v>
      </c>
      <c r="AE46" s="41" t="s">
        <v>134</v>
      </c>
      <c r="AF46" s="41" t="s">
        <v>134</v>
      </c>
      <c r="AG46" s="41" t="s">
        <v>134</v>
      </c>
      <c r="AH46" s="41" t="s">
        <v>134</v>
      </c>
      <c r="AI46" s="41" t="s">
        <v>134</v>
      </c>
      <c r="AJ46" s="41" t="s">
        <v>134</v>
      </c>
      <c r="AK46" s="41" t="s">
        <v>134</v>
      </c>
      <c r="AL46" s="41" t="s">
        <v>134</v>
      </c>
      <c r="AM46" s="41" t="s">
        <v>134</v>
      </c>
      <c r="AN46" s="41" t="s">
        <v>134</v>
      </c>
      <c r="AO46" s="41" t="s">
        <v>134</v>
      </c>
      <c r="AP46" s="41" t="s">
        <v>134</v>
      </c>
      <c r="AQ46" s="41" t="s">
        <v>134</v>
      </c>
      <c r="AR46" s="41" t="s">
        <v>134</v>
      </c>
      <c r="AS46" s="41" t="s">
        <v>134</v>
      </c>
      <c r="AT46" s="41" t="s">
        <v>134</v>
      </c>
      <c r="AU46" s="41" t="s">
        <v>134</v>
      </c>
      <c r="AV46" s="41" t="s">
        <v>134</v>
      </c>
      <c r="AW46" s="41" t="s">
        <v>134</v>
      </c>
      <c r="AX46" s="41" t="s">
        <v>134</v>
      </c>
      <c r="AY46" s="41" t="s">
        <v>134</v>
      </c>
      <c r="AZ46" s="41" t="s">
        <v>134</v>
      </c>
      <c r="BA46" s="41" t="s">
        <v>134</v>
      </c>
      <c r="BB46" s="41" t="s">
        <v>134</v>
      </c>
      <c r="BC46" s="41" t="s">
        <v>134</v>
      </c>
      <c r="BD46" s="41" t="s">
        <v>134</v>
      </c>
      <c r="BE46" s="41" t="s">
        <v>134</v>
      </c>
      <c r="BF46" s="41" t="s">
        <v>134</v>
      </c>
      <c r="BG46" s="41" t="s">
        <v>134</v>
      </c>
      <c r="BH46" s="41" t="s">
        <v>134</v>
      </c>
      <c r="BI46" s="41" t="s">
        <v>134</v>
      </c>
      <c r="BJ46" s="41" t="s">
        <v>134</v>
      </c>
      <c r="BK46" s="41" t="s">
        <v>134</v>
      </c>
      <c r="BL46" s="41" t="s">
        <v>134</v>
      </c>
      <c r="BM46" s="41" t="s">
        <v>134</v>
      </c>
      <c r="BN46" s="41" t="s">
        <v>134</v>
      </c>
      <c r="BO46" s="41" t="s">
        <v>134</v>
      </c>
      <c r="BP46" s="41" t="s">
        <v>134</v>
      </c>
      <c r="BQ46" s="41" t="s">
        <v>134</v>
      </c>
      <c r="BR46" s="41" t="s">
        <v>134</v>
      </c>
      <c r="BS46" s="41" t="s">
        <v>134</v>
      </c>
      <c r="BT46" s="41" t="s">
        <v>134</v>
      </c>
      <c r="BU46" s="41" t="s">
        <v>134</v>
      </c>
      <c r="BV46" s="41" t="s">
        <v>134</v>
      </c>
      <c r="BW46" s="41" t="s">
        <v>134</v>
      </c>
      <c r="BX46" s="41" t="s">
        <v>134</v>
      </c>
      <c r="BY46" s="41" t="s">
        <v>134</v>
      </c>
      <c r="BZ46" s="41" t="s">
        <v>134</v>
      </c>
      <c r="CA46" s="41"/>
      <c r="CB46" s="110" t="s">
        <v>134</v>
      </c>
      <c r="CC46" s="117"/>
      <c r="CD46" s="117"/>
      <c r="CE46" s="110" t="s">
        <v>134</v>
      </c>
      <c r="CF46" s="317"/>
      <c r="CG46" s="317"/>
      <c r="CH46" s="317"/>
      <c r="CI46" s="346" t="s">
        <v>134</v>
      </c>
      <c r="CJ46" s="366" t="s">
        <v>134</v>
      </c>
      <c r="CK46" s="194" t="s">
        <v>134</v>
      </c>
      <c r="CL46" s="194" t="s">
        <v>134</v>
      </c>
    </row>
    <row r="47" spans="1:90" x14ac:dyDescent="0.25">
      <c r="C47" s="39" t="s">
        <v>986</v>
      </c>
      <c r="D47" s="38" t="s">
        <v>68</v>
      </c>
      <c r="E47" s="31"/>
      <c r="F47" s="31"/>
      <c r="G47" s="31"/>
      <c r="H47" s="31"/>
      <c r="I47" s="31"/>
      <c r="J47" s="31"/>
      <c r="K47" s="31"/>
      <c r="L47" s="31"/>
      <c r="M47" s="31"/>
      <c r="N47" s="31">
        <v>19651</v>
      </c>
      <c r="O47" s="31">
        <v>19651</v>
      </c>
      <c r="P47" s="31">
        <v>19651</v>
      </c>
      <c r="Q47" s="31">
        <v>19651</v>
      </c>
      <c r="R47" s="31">
        <v>19651</v>
      </c>
      <c r="S47" s="31">
        <v>19651</v>
      </c>
      <c r="T47" s="31">
        <v>19651</v>
      </c>
      <c r="U47" s="31">
        <v>19651</v>
      </c>
      <c r="V47" s="31">
        <v>19651</v>
      </c>
      <c r="W47" s="31">
        <v>19651</v>
      </c>
      <c r="X47" s="31">
        <v>19651</v>
      </c>
      <c r="Y47" s="31">
        <v>19651</v>
      </c>
      <c r="Z47" s="31">
        <v>19651</v>
      </c>
      <c r="AA47" s="31">
        <v>19651</v>
      </c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263"/>
      <c r="CC47" s="116"/>
      <c r="CD47" s="116"/>
      <c r="CE47" s="263"/>
      <c r="CF47" s="328"/>
      <c r="CG47" s="328"/>
      <c r="CH47" s="328"/>
      <c r="CI47" s="358"/>
      <c r="CJ47" s="370"/>
      <c r="CK47" s="201"/>
      <c r="CL47" s="201"/>
    </row>
    <row r="48" spans="1:90" x14ac:dyDescent="0.25">
      <c r="C48" s="39" t="s">
        <v>987</v>
      </c>
      <c r="D48" s="38" t="s">
        <v>67</v>
      </c>
      <c r="E48" s="28"/>
      <c r="F48" s="28"/>
      <c r="G48" s="28"/>
      <c r="H48" s="28"/>
      <c r="I48" s="28"/>
      <c r="J48" s="28"/>
      <c r="K48" s="28"/>
      <c r="L48" s="28"/>
      <c r="M48" s="28"/>
      <c r="N48" s="28" t="s">
        <v>1142</v>
      </c>
      <c r="O48" s="28" t="s">
        <v>1142</v>
      </c>
      <c r="P48" s="28" t="s">
        <v>1142</v>
      </c>
      <c r="Q48" s="28" t="s">
        <v>1142</v>
      </c>
      <c r="R48" s="115" t="s">
        <v>1142</v>
      </c>
      <c r="S48" s="115" t="s">
        <v>1142</v>
      </c>
      <c r="T48" s="115" t="s">
        <v>1142</v>
      </c>
      <c r="U48" s="115" t="s">
        <v>1142</v>
      </c>
      <c r="V48" s="115" t="s">
        <v>1142</v>
      </c>
      <c r="W48" s="115" t="s">
        <v>1142</v>
      </c>
      <c r="X48" s="115" t="s">
        <v>1142</v>
      </c>
      <c r="Y48" s="115" t="s">
        <v>1142</v>
      </c>
      <c r="Z48" s="115" t="s">
        <v>1142</v>
      </c>
      <c r="AA48" s="115" t="s">
        <v>1142</v>
      </c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62"/>
      <c r="CC48" s="115"/>
      <c r="CD48" s="115"/>
      <c r="CE48" s="262"/>
      <c r="CF48" s="317"/>
      <c r="CG48" s="317"/>
      <c r="CH48" s="317"/>
      <c r="CI48" s="346"/>
      <c r="CJ48" s="366"/>
      <c r="CK48" s="194"/>
      <c r="CL48" s="194"/>
    </row>
    <row r="49" spans="1:90" x14ac:dyDescent="0.25">
      <c r="C49" s="39" t="s">
        <v>988</v>
      </c>
      <c r="D49" s="38" t="s">
        <v>150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62"/>
      <c r="CC49" s="115"/>
      <c r="CD49" s="115"/>
      <c r="CE49" s="262"/>
      <c r="CF49" s="317"/>
      <c r="CG49" s="317"/>
      <c r="CH49" s="317"/>
      <c r="CI49" s="346"/>
      <c r="CJ49" s="366"/>
      <c r="CK49" s="194"/>
      <c r="CL49" s="194"/>
    </row>
    <row r="50" spans="1:90" x14ac:dyDescent="0.25">
      <c r="C50" s="39" t="s">
        <v>989</v>
      </c>
      <c r="D50" s="38" t="s">
        <v>66</v>
      </c>
      <c r="E50" s="25"/>
      <c r="F50" s="25"/>
      <c r="G50" s="25"/>
      <c r="H50" s="25"/>
      <c r="I50" s="25"/>
      <c r="J50" s="25"/>
      <c r="K50" s="25"/>
      <c r="L50" s="25"/>
      <c r="M50" s="25"/>
      <c r="N50" s="73" t="s">
        <v>272</v>
      </c>
      <c r="O50" s="73" t="s">
        <v>272</v>
      </c>
      <c r="P50" s="73" t="s">
        <v>272</v>
      </c>
      <c r="Q50" s="73" t="s">
        <v>272</v>
      </c>
      <c r="R50" s="73" t="s">
        <v>272</v>
      </c>
      <c r="S50" s="73" t="s">
        <v>272</v>
      </c>
      <c r="T50" s="73" t="s">
        <v>272</v>
      </c>
      <c r="U50" s="73" t="s">
        <v>272</v>
      </c>
      <c r="V50" s="73" t="s">
        <v>272</v>
      </c>
      <c r="W50" s="73" t="s">
        <v>272</v>
      </c>
      <c r="X50" s="73" t="s">
        <v>272</v>
      </c>
      <c r="Y50" s="73" t="s">
        <v>272</v>
      </c>
      <c r="Z50" s="73" t="s">
        <v>272</v>
      </c>
      <c r="AA50" s="73" t="s">
        <v>272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64"/>
      <c r="CC50" s="114"/>
      <c r="CD50" s="114"/>
      <c r="CE50" s="264"/>
      <c r="CF50" s="318"/>
      <c r="CG50" s="318"/>
      <c r="CH50" s="318"/>
      <c r="CI50" s="357"/>
      <c r="CJ50" s="369"/>
      <c r="CK50" s="207"/>
      <c r="CL50" s="207"/>
    </row>
    <row ht="15.75" r="51" spans="1:90" x14ac:dyDescent="0.3">
      <c r="A51" s="35" t="s">
        <v>65</v>
      </c>
      <c r="B51" s="40"/>
      <c r="C51" s="33" t="s">
        <v>990</v>
      </c>
      <c r="D51" s="32" t="s">
        <v>64</v>
      </c>
      <c r="E51" s="41" t="s">
        <v>134</v>
      </c>
      <c r="F51" s="41" t="s">
        <v>134</v>
      </c>
      <c r="G51" s="41" t="s">
        <v>134</v>
      </c>
      <c r="H51" s="41" t="s">
        <v>134</v>
      </c>
      <c r="I51" s="41" t="s">
        <v>134</v>
      </c>
      <c r="J51" s="41" t="s">
        <v>134</v>
      </c>
      <c r="K51" s="41" t="s">
        <v>134</v>
      </c>
      <c r="L51" s="41" t="s">
        <v>134</v>
      </c>
      <c r="M51" s="41" t="s">
        <v>134</v>
      </c>
      <c r="N51" s="41" t="s">
        <v>134</v>
      </c>
      <c r="O51" s="41" t="s">
        <v>134</v>
      </c>
      <c r="P51" s="41" t="s">
        <v>134</v>
      </c>
      <c r="Q51" s="41" t="s">
        <v>134</v>
      </c>
      <c r="R51" s="41" t="s">
        <v>256</v>
      </c>
      <c r="S51" s="41" t="s">
        <v>256</v>
      </c>
      <c r="T51" s="41" t="s">
        <v>256</v>
      </c>
      <c r="U51" s="41" t="s">
        <v>256</v>
      </c>
      <c r="V51" s="41" t="s">
        <v>256</v>
      </c>
      <c r="W51" s="41" t="s">
        <v>256</v>
      </c>
      <c r="X51" s="41" t="s">
        <v>256</v>
      </c>
      <c r="Y51" s="41" t="s">
        <v>256</v>
      </c>
      <c r="Z51" s="41" t="s">
        <v>256</v>
      </c>
      <c r="AA51" s="41" t="s">
        <v>256</v>
      </c>
      <c r="AB51" s="41" t="s">
        <v>134</v>
      </c>
      <c r="AC51" s="41" t="s">
        <v>134</v>
      </c>
      <c r="AD51" s="41" t="s">
        <v>134</v>
      </c>
      <c r="AE51" s="41" t="s">
        <v>134</v>
      </c>
      <c r="AF51" s="41" t="s">
        <v>134</v>
      </c>
      <c r="AG51" s="41" t="s">
        <v>134</v>
      </c>
      <c r="AH51" s="41" t="s">
        <v>134</v>
      </c>
      <c r="AI51" s="41" t="s">
        <v>134</v>
      </c>
      <c r="AJ51" s="41" t="s">
        <v>134</v>
      </c>
      <c r="AK51" s="41" t="s">
        <v>134</v>
      </c>
      <c r="AL51" s="41" t="s">
        <v>134</v>
      </c>
      <c r="AM51" s="41" t="s">
        <v>134</v>
      </c>
      <c r="AN51" s="41" t="s">
        <v>134</v>
      </c>
      <c r="AO51" s="41" t="s">
        <v>134</v>
      </c>
      <c r="AP51" s="41" t="s">
        <v>134</v>
      </c>
      <c r="AQ51" s="41" t="s">
        <v>134</v>
      </c>
      <c r="AR51" s="41" t="s">
        <v>134</v>
      </c>
      <c r="AS51" s="41" t="s">
        <v>134</v>
      </c>
      <c r="AT51" s="41" t="s">
        <v>134</v>
      </c>
      <c r="AU51" s="41" t="s">
        <v>134</v>
      </c>
      <c r="AV51" s="41" t="s">
        <v>134</v>
      </c>
      <c r="AW51" s="41" t="s">
        <v>134</v>
      </c>
      <c r="AX51" s="41" t="s">
        <v>134</v>
      </c>
      <c r="AY51" s="41" t="s">
        <v>134</v>
      </c>
      <c r="AZ51" s="41" t="s">
        <v>134</v>
      </c>
      <c r="BA51" s="41" t="s">
        <v>134</v>
      </c>
      <c r="BB51" s="41" t="s">
        <v>134</v>
      </c>
      <c r="BC51" s="41" t="s">
        <v>134</v>
      </c>
      <c r="BD51" s="41" t="s">
        <v>134</v>
      </c>
      <c r="BE51" s="41" t="s">
        <v>134</v>
      </c>
      <c r="BF51" s="41" t="s">
        <v>134</v>
      </c>
      <c r="BG51" s="41" t="s">
        <v>134</v>
      </c>
      <c r="BH51" s="41" t="s">
        <v>134</v>
      </c>
      <c r="BI51" s="41" t="s">
        <v>134</v>
      </c>
      <c r="BJ51" s="41" t="s">
        <v>134</v>
      </c>
      <c r="BK51" s="41" t="s">
        <v>134</v>
      </c>
      <c r="BL51" s="41" t="s">
        <v>134</v>
      </c>
      <c r="BM51" s="41" t="s">
        <v>134</v>
      </c>
      <c r="BN51" s="41" t="s">
        <v>134</v>
      </c>
      <c r="BO51" s="41" t="s">
        <v>134</v>
      </c>
      <c r="BP51" s="41" t="s">
        <v>134</v>
      </c>
      <c r="BQ51" s="41" t="s">
        <v>134</v>
      </c>
      <c r="BR51" s="41" t="s">
        <v>134</v>
      </c>
      <c r="BS51" s="41" t="s">
        <v>134</v>
      </c>
      <c r="BT51" s="41" t="s">
        <v>134</v>
      </c>
      <c r="BU51" s="41" t="s">
        <v>134</v>
      </c>
      <c r="BV51" s="41" t="s">
        <v>134</v>
      </c>
      <c r="BW51" s="41" t="s">
        <v>134</v>
      </c>
      <c r="BX51" s="41" t="s">
        <v>134</v>
      </c>
      <c r="BY51" s="41" t="s">
        <v>134</v>
      </c>
      <c r="BZ51" s="41" t="s">
        <v>134</v>
      </c>
      <c r="CA51" s="41"/>
      <c r="CB51" s="110" t="s">
        <v>134</v>
      </c>
      <c r="CC51" s="117"/>
      <c r="CD51" s="117"/>
      <c r="CE51" s="110" t="s">
        <v>134</v>
      </c>
      <c r="CF51" s="317"/>
      <c r="CG51" s="317"/>
      <c r="CH51" s="317"/>
      <c r="CI51" s="346" t="s">
        <v>134</v>
      </c>
      <c r="CJ51" s="366" t="s">
        <v>134</v>
      </c>
      <c r="CK51" s="194" t="s">
        <v>134</v>
      </c>
      <c r="CL51" s="194" t="s">
        <v>134</v>
      </c>
    </row>
    <row r="52" spans="1:90" x14ac:dyDescent="0.25">
      <c r="C52" s="39" t="s">
        <v>991</v>
      </c>
      <c r="D52" s="38" t="s">
        <v>63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>
        <v>19651</v>
      </c>
      <c r="S52" s="31">
        <v>19651</v>
      </c>
      <c r="T52" s="31">
        <v>19651</v>
      </c>
      <c r="U52" s="31">
        <v>19651</v>
      </c>
      <c r="V52" s="31">
        <v>19651</v>
      </c>
      <c r="W52" s="31">
        <v>19651</v>
      </c>
      <c r="X52" s="31">
        <v>19651</v>
      </c>
      <c r="Y52" s="31">
        <v>19651</v>
      </c>
      <c r="Z52" s="31">
        <v>19651</v>
      </c>
      <c r="AA52" s="31">
        <v>19651</v>
      </c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263"/>
      <c r="CC52" s="116"/>
      <c r="CD52" s="116"/>
      <c r="CE52" s="263"/>
      <c r="CF52" s="325"/>
      <c r="CG52" s="325"/>
      <c r="CH52" s="325"/>
      <c r="CI52" s="358"/>
      <c r="CJ52" s="370"/>
      <c r="CK52" s="201"/>
      <c r="CL52" s="201"/>
    </row>
    <row r="53" spans="1:90" x14ac:dyDescent="0.25">
      <c r="C53" s="39" t="s">
        <v>992</v>
      </c>
      <c r="D53" s="38" t="s">
        <v>62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 t="s">
        <v>1142</v>
      </c>
      <c r="S53" s="115" t="s">
        <v>1142</v>
      </c>
      <c r="T53" s="115" t="s">
        <v>1142</v>
      </c>
      <c r="U53" s="115" t="s">
        <v>1142</v>
      </c>
      <c r="V53" s="115" t="s">
        <v>1142</v>
      </c>
      <c r="W53" s="115" t="s">
        <v>1142</v>
      </c>
      <c r="X53" s="115" t="s">
        <v>1142</v>
      </c>
      <c r="Y53" s="115" t="s">
        <v>1142</v>
      </c>
      <c r="Z53" s="115" t="s">
        <v>1142</v>
      </c>
      <c r="AA53" s="115" t="s">
        <v>1142</v>
      </c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62"/>
      <c r="CC53" s="115"/>
      <c r="CD53" s="115"/>
      <c r="CE53" s="262"/>
      <c r="CF53" s="324"/>
      <c r="CG53" s="324"/>
      <c r="CH53" s="324"/>
      <c r="CI53" s="346"/>
      <c r="CJ53" s="366"/>
      <c r="CK53" s="194"/>
      <c r="CL53" s="194"/>
    </row>
    <row r="54" spans="1:90" x14ac:dyDescent="0.25">
      <c r="C54" s="39" t="s">
        <v>993</v>
      </c>
      <c r="D54" s="38" t="s">
        <v>150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62"/>
      <c r="CC54" s="115"/>
      <c r="CD54" s="115"/>
      <c r="CE54" s="262"/>
      <c r="CF54" s="324"/>
      <c r="CG54" s="324"/>
      <c r="CH54" s="324"/>
      <c r="CI54" s="346"/>
      <c r="CJ54" s="366"/>
      <c r="CK54" s="194"/>
      <c r="CL54" s="194"/>
    </row>
    <row r="55" spans="1:90" x14ac:dyDescent="0.25">
      <c r="C55" s="39" t="s">
        <v>994</v>
      </c>
      <c r="D55" s="38" t="s">
        <v>61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73" t="s">
        <v>272</v>
      </c>
      <c r="S55" s="73" t="s">
        <v>272</v>
      </c>
      <c r="T55" s="73" t="s">
        <v>272</v>
      </c>
      <c r="U55" s="73" t="s">
        <v>272</v>
      </c>
      <c r="V55" s="73" t="s">
        <v>272</v>
      </c>
      <c r="W55" s="73" t="s">
        <v>272</v>
      </c>
      <c r="X55" s="73" t="s">
        <v>272</v>
      </c>
      <c r="Y55" s="73" t="s">
        <v>272</v>
      </c>
      <c r="Z55" s="73" t="s">
        <v>272</v>
      </c>
      <c r="AA55" s="73" t="s">
        <v>272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64"/>
      <c r="CC55" s="114"/>
      <c r="CD55" s="114"/>
      <c r="CE55" s="264"/>
      <c r="CF55" s="326"/>
      <c r="CG55" s="326"/>
      <c r="CH55" s="326"/>
      <c r="CI55" s="357"/>
      <c r="CJ55" s="369"/>
      <c r="CK55" s="207"/>
      <c r="CL55" s="207"/>
    </row>
    <row ht="15.75" r="56" spans="1:90" x14ac:dyDescent="0.3">
      <c r="A56" s="35" t="s">
        <v>60</v>
      </c>
      <c r="B56" s="40"/>
      <c r="C56" s="33" t="s">
        <v>995</v>
      </c>
      <c r="D56" s="32" t="s">
        <v>59</v>
      </c>
      <c r="E56" s="41" t="s">
        <v>134</v>
      </c>
      <c r="F56" s="41" t="s">
        <v>134</v>
      </c>
      <c r="G56" s="41" t="s">
        <v>134</v>
      </c>
      <c r="H56" s="41" t="s">
        <v>134</v>
      </c>
      <c r="I56" s="41" t="s">
        <v>134</v>
      </c>
      <c r="J56" s="41" t="s">
        <v>134</v>
      </c>
      <c r="K56" s="41" t="s">
        <v>134</v>
      </c>
      <c r="L56" s="41" t="s">
        <v>134</v>
      </c>
      <c r="M56" s="41" t="s">
        <v>134</v>
      </c>
      <c r="N56" s="41" t="s">
        <v>134</v>
      </c>
      <c r="O56" s="41" t="s">
        <v>134</v>
      </c>
      <c r="P56" s="41" t="s">
        <v>134</v>
      </c>
      <c r="Q56" s="41" t="s">
        <v>134</v>
      </c>
      <c r="R56" s="41" t="s">
        <v>134</v>
      </c>
      <c r="S56" s="41" t="s">
        <v>134</v>
      </c>
      <c r="T56" s="41" t="s">
        <v>134</v>
      </c>
      <c r="U56" s="41" t="s">
        <v>134</v>
      </c>
      <c r="V56" s="41" t="s">
        <v>134</v>
      </c>
      <c r="W56" s="41" t="s">
        <v>257</v>
      </c>
      <c r="X56" s="41" t="s">
        <v>257</v>
      </c>
      <c r="Y56" s="41" t="s">
        <v>257</v>
      </c>
      <c r="Z56" s="41" t="s">
        <v>257</v>
      </c>
      <c r="AA56" s="41" t="s">
        <v>257</v>
      </c>
      <c r="AB56" s="41" t="s">
        <v>134</v>
      </c>
      <c r="AC56" s="41" t="s">
        <v>134</v>
      </c>
      <c r="AD56" s="41" t="s">
        <v>134</v>
      </c>
      <c r="AE56" s="41" t="s">
        <v>134</v>
      </c>
      <c r="AF56" s="41" t="s">
        <v>134</v>
      </c>
      <c r="AG56" s="41" t="s">
        <v>134</v>
      </c>
      <c r="AH56" s="41" t="s">
        <v>134</v>
      </c>
      <c r="AI56" s="41" t="s">
        <v>134</v>
      </c>
      <c r="AJ56" s="41" t="s">
        <v>134</v>
      </c>
      <c r="AK56" s="41" t="s">
        <v>134</v>
      </c>
      <c r="AL56" s="41" t="s">
        <v>134</v>
      </c>
      <c r="AM56" s="41" t="s">
        <v>134</v>
      </c>
      <c r="AN56" s="41" t="s">
        <v>134</v>
      </c>
      <c r="AO56" s="41" t="s">
        <v>134</v>
      </c>
      <c r="AP56" s="41" t="s">
        <v>134</v>
      </c>
      <c r="AQ56" s="41" t="s">
        <v>134</v>
      </c>
      <c r="AR56" s="41" t="s">
        <v>134</v>
      </c>
      <c r="AS56" s="41" t="s">
        <v>134</v>
      </c>
      <c r="AT56" s="41" t="s">
        <v>134</v>
      </c>
      <c r="AU56" s="41" t="s">
        <v>134</v>
      </c>
      <c r="AV56" s="41" t="s">
        <v>134</v>
      </c>
      <c r="AW56" s="41" t="s">
        <v>134</v>
      </c>
      <c r="AX56" s="41" t="s">
        <v>134</v>
      </c>
      <c r="AY56" s="41" t="s">
        <v>134</v>
      </c>
      <c r="AZ56" s="41" t="s">
        <v>134</v>
      </c>
      <c r="BA56" s="41" t="s">
        <v>134</v>
      </c>
      <c r="BB56" s="41" t="s">
        <v>134</v>
      </c>
      <c r="BC56" s="41" t="s">
        <v>134</v>
      </c>
      <c r="BD56" s="41" t="s">
        <v>134</v>
      </c>
      <c r="BE56" s="41" t="s">
        <v>134</v>
      </c>
      <c r="BF56" s="41" t="s">
        <v>134</v>
      </c>
      <c r="BG56" s="41" t="s">
        <v>134</v>
      </c>
      <c r="BH56" s="41" t="s">
        <v>134</v>
      </c>
      <c r="BI56" s="41" t="s">
        <v>134</v>
      </c>
      <c r="BJ56" s="41" t="s">
        <v>134</v>
      </c>
      <c r="BK56" s="41" t="s">
        <v>134</v>
      </c>
      <c r="BL56" s="41" t="s">
        <v>134</v>
      </c>
      <c r="BM56" s="41" t="s">
        <v>134</v>
      </c>
      <c r="BN56" s="41" t="s">
        <v>134</v>
      </c>
      <c r="BO56" s="41" t="s">
        <v>134</v>
      </c>
      <c r="BP56" s="41" t="s">
        <v>134</v>
      </c>
      <c r="BQ56" s="41" t="s">
        <v>134</v>
      </c>
      <c r="BR56" s="41" t="s">
        <v>134</v>
      </c>
      <c r="BS56" s="41" t="s">
        <v>134</v>
      </c>
      <c r="BT56" s="41" t="s">
        <v>134</v>
      </c>
      <c r="BU56" s="41" t="s">
        <v>134</v>
      </c>
      <c r="BV56" s="41" t="s">
        <v>134</v>
      </c>
      <c r="BW56" s="41" t="s">
        <v>134</v>
      </c>
      <c r="BX56" s="41" t="s">
        <v>134</v>
      </c>
      <c r="BY56" s="41" t="s">
        <v>134</v>
      </c>
      <c r="BZ56" s="41" t="s">
        <v>134</v>
      </c>
      <c r="CA56" s="41"/>
      <c r="CB56" s="110" t="s">
        <v>134</v>
      </c>
      <c r="CC56" s="117"/>
      <c r="CD56" s="117"/>
      <c r="CE56" s="110" t="s">
        <v>134</v>
      </c>
      <c r="CF56" s="324"/>
      <c r="CG56" s="324"/>
      <c r="CH56" s="324"/>
      <c r="CI56" s="346" t="s">
        <v>134</v>
      </c>
      <c r="CJ56" s="366" t="s">
        <v>134</v>
      </c>
      <c r="CK56" s="194" t="s">
        <v>134</v>
      </c>
      <c r="CL56" s="194" t="s">
        <v>134</v>
      </c>
    </row>
    <row r="57" spans="1:90" x14ac:dyDescent="0.25">
      <c r="C57" s="39" t="s">
        <v>996</v>
      </c>
      <c r="D57" s="38" t="s">
        <v>58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>
        <v>19651</v>
      </c>
      <c r="X57" s="31">
        <v>19651</v>
      </c>
      <c r="Y57" s="31">
        <v>19651</v>
      </c>
      <c r="Z57" s="31">
        <v>19651</v>
      </c>
      <c r="AA57" s="31">
        <v>19651</v>
      </c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263"/>
      <c r="CC57" s="116"/>
      <c r="CD57" s="116"/>
      <c r="CE57" s="263"/>
      <c r="CF57" s="325"/>
      <c r="CG57" s="325"/>
      <c r="CH57" s="325"/>
      <c r="CI57" s="358"/>
      <c r="CJ57" s="370"/>
      <c r="CK57" s="201"/>
      <c r="CL57" s="201"/>
    </row>
    <row r="58" spans="1:90" x14ac:dyDescent="0.25">
      <c r="C58" s="39" t="s">
        <v>997</v>
      </c>
      <c r="D58" s="38" t="s">
        <v>57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 t="s">
        <v>1142</v>
      </c>
      <c r="X58" s="28" t="s">
        <v>1142</v>
      </c>
      <c r="Y58" s="28" t="s">
        <v>1142</v>
      </c>
      <c r="Z58" s="28" t="s">
        <v>1142</v>
      </c>
      <c r="AA58" s="28" t="s">
        <v>1142</v>
      </c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62"/>
      <c r="CC58" s="115"/>
      <c r="CD58" s="115"/>
      <c r="CE58" s="262"/>
      <c r="CF58" s="324"/>
      <c r="CG58" s="324"/>
      <c r="CH58" s="324"/>
      <c r="CI58" s="346"/>
      <c r="CJ58" s="366"/>
      <c r="CK58" s="194"/>
      <c r="CL58" s="194"/>
    </row>
    <row r="59" spans="1:90" x14ac:dyDescent="0.25">
      <c r="C59" s="39" t="s">
        <v>998</v>
      </c>
      <c r="D59" s="38" t="s">
        <v>150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62"/>
      <c r="CC59" s="115"/>
      <c r="CD59" s="115"/>
      <c r="CE59" s="262"/>
      <c r="CF59" s="324"/>
      <c r="CG59" s="324"/>
      <c r="CH59" s="324"/>
      <c r="CI59" s="346"/>
      <c r="CJ59" s="366"/>
      <c r="CK59" s="194"/>
      <c r="CL59" s="194"/>
    </row>
    <row r="60" spans="1:90" x14ac:dyDescent="0.25">
      <c r="C60" s="39" t="s">
        <v>999</v>
      </c>
      <c r="D60" s="38" t="s">
        <v>56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73" t="s">
        <v>272</v>
      </c>
      <c r="X60" s="73" t="s">
        <v>275</v>
      </c>
      <c r="Y60" s="73" t="s">
        <v>273</v>
      </c>
      <c r="Z60" s="73" t="s">
        <v>274</v>
      </c>
      <c r="AA60" s="73" t="s">
        <v>272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64"/>
      <c r="CC60" s="114"/>
      <c r="CD60" s="114"/>
      <c r="CE60" s="264"/>
      <c r="CF60" s="326"/>
      <c r="CG60" s="326"/>
      <c r="CH60" s="326"/>
      <c r="CI60" s="357"/>
      <c r="CJ60" s="369"/>
      <c r="CK60" s="207"/>
      <c r="CL60" s="207"/>
    </row>
    <row ht="15.75" r="61" spans="1:90" x14ac:dyDescent="0.3">
      <c r="A61" s="35" t="s">
        <v>55</v>
      </c>
      <c r="B61" s="34"/>
      <c r="C61" s="37" t="s">
        <v>266</v>
      </c>
      <c r="D61" s="36" t="s">
        <v>54</v>
      </c>
      <c r="E61" s="41" t="s">
        <v>53</v>
      </c>
      <c r="F61" s="41" t="s">
        <v>53</v>
      </c>
      <c r="G61" s="41" t="s">
        <v>53</v>
      </c>
      <c r="H61" s="41" t="s">
        <v>53</v>
      </c>
      <c r="I61" s="41" t="s">
        <v>53</v>
      </c>
      <c r="J61" s="41" t="s">
        <v>53</v>
      </c>
      <c r="K61" s="41" t="s">
        <v>53</v>
      </c>
      <c r="L61" s="41" t="s">
        <v>53</v>
      </c>
      <c r="M61" s="41" t="s">
        <v>53</v>
      </c>
      <c r="N61" s="41" t="s">
        <v>53</v>
      </c>
      <c r="O61" s="41" t="s">
        <v>53</v>
      </c>
      <c r="P61" s="41" t="s">
        <v>53</v>
      </c>
      <c r="Q61" s="41" t="s">
        <v>53</v>
      </c>
      <c r="R61" s="41" t="s">
        <v>53</v>
      </c>
      <c r="S61" s="41" t="s">
        <v>53</v>
      </c>
      <c r="T61" s="41" t="s">
        <v>53</v>
      </c>
      <c r="U61" s="41" t="s">
        <v>53</v>
      </c>
      <c r="V61" s="41" t="s">
        <v>53</v>
      </c>
      <c r="W61" s="41" t="s">
        <v>53</v>
      </c>
      <c r="X61" s="41" t="s">
        <v>53</v>
      </c>
      <c r="Y61" s="41" t="s">
        <v>53</v>
      </c>
      <c r="Z61" s="41" t="s">
        <v>53</v>
      </c>
      <c r="AA61" s="41" t="s">
        <v>53</v>
      </c>
      <c r="AB61" s="41" t="s">
        <v>258</v>
      </c>
      <c r="AC61" s="41" t="s">
        <v>258</v>
      </c>
      <c r="AD61" s="41" t="s">
        <v>258</v>
      </c>
      <c r="AE61" s="41" t="s">
        <v>258</v>
      </c>
      <c r="AF61" s="41" t="s">
        <v>259</v>
      </c>
      <c r="AG61" s="41" t="s">
        <v>259</v>
      </c>
      <c r="AH61" s="41" t="s">
        <v>259</v>
      </c>
      <c r="AI61" s="41" t="s">
        <v>259</v>
      </c>
      <c r="AJ61" s="41" t="s">
        <v>259</v>
      </c>
      <c r="AK61" s="41" t="s">
        <v>259</v>
      </c>
      <c r="AL61" s="41" t="s">
        <v>259</v>
      </c>
      <c r="AM61" s="41" t="s">
        <v>259</v>
      </c>
      <c r="AN61" s="41" t="s">
        <v>259</v>
      </c>
      <c r="AO61" s="41" t="s">
        <v>260</v>
      </c>
      <c r="AP61" s="41" t="s">
        <v>260</v>
      </c>
      <c r="AQ61" s="41" t="s">
        <v>260</v>
      </c>
      <c r="AR61" s="41" t="s">
        <v>260</v>
      </c>
      <c r="AS61" s="41" t="s">
        <v>260</v>
      </c>
      <c r="AT61" s="41" t="s">
        <v>260</v>
      </c>
      <c r="AU61" s="41" t="s">
        <v>261</v>
      </c>
      <c r="AV61" s="41" t="s">
        <v>261</v>
      </c>
      <c r="AW61" s="41" t="s">
        <v>261</v>
      </c>
      <c r="AX61" s="41" t="s">
        <v>261</v>
      </c>
      <c r="AY61" s="41" t="s">
        <v>261</v>
      </c>
      <c r="AZ61" s="41" t="s">
        <v>261</v>
      </c>
      <c r="BA61" s="41" t="s">
        <v>261</v>
      </c>
      <c r="BB61" s="41" t="s">
        <v>261</v>
      </c>
      <c r="BC61" s="41" t="s">
        <v>261</v>
      </c>
      <c r="BD61" s="41" t="s">
        <v>261</v>
      </c>
      <c r="BE61" s="41" t="s">
        <v>261</v>
      </c>
      <c r="BF61" s="41" t="s">
        <v>261</v>
      </c>
      <c r="BG61" s="41" t="s">
        <v>261</v>
      </c>
      <c r="BH61" s="41" t="s">
        <v>261</v>
      </c>
      <c r="BI61" s="41" t="s">
        <v>261</v>
      </c>
      <c r="BJ61" s="41" t="s">
        <v>261</v>
      </c>
      <c r="BK61" s="41" t="s">
        <v>261</v>
      </c>
      <c r="BL61" s="41" t="s">
        <v>261</v>
      </c>
      <c r="BM61" s="41" t="s">
        <v>261</v>
      </c>
      <c r="BN61" s="41" t="s">
        <v>261</v>
      </c>
      <c r="BO61" s="41" t="s">
        <v>261</v>
      </c>
      <c r="BP61" s="41" t="s">
        <v>261</v>
      </c>
      <c r="BQ61" s="41" t="s">
        <v>261</v>
      </c>
      <c r="BR61" s="41" t="s">
        <v>261</v>
      </c>
      <c r="BS61" s="41" t="s">
        <v>53</v>
      </c>
      <c r="BT61" s="41" t="s">
        <v>53</v>
      </c>
      <c r="BU61" s="41" t="s">
        <v>53</v>
      </c>
      <c r="BV61" s="41" t="s">
        <v>53</v>
      </c>
      <c r="BW61" s="41" t="s">
        <v>53</v>
      </c>
      <c r="BX61" s="41" t="s">
        <v>53</v>
      </c>
      <c r="BY61" s="41" t="s">
        <v>53</v>
      </c>
      <c r="BZ61" s="41" t="s">
        <v>53</v>
      </c>
      <c r="CA61" s="117" t="s">
        <v>1190</v>
      </c>
      <c r="CB61" s="110" t="s">
        <v>53</v>
      </c>
      <c r="CC61" s="117" t="s">
        <v>1211</v>
      </c>
      <c r="CD61" s="117" t="s">
        <v>1190</v>
      </c>
      <c r="CE61" s="110" t="s">
        <v>53</v>
      </c>
      <c r="CF61" s="337"/>
      <c r="CG61" s="337"/>
      <c r="CH61" s="337"/>
      <c r="CI61" s="346"/>
      <c r="CJ61" s="366"/>
      <c r="CK61" s="194"/>
      <c r="CL61" s="194"/>
    </row>
    <row r="62" spans="1:90" x14ac:dyDescent="0.25">
      <c r="C62" s="30" t="s">
        <v>263</v>
      </c>
      <c r="D62" s="29" t="s">
        <v>52</v>
      </c>
      <c r="E62" s="28">
        <v>38</v>
      </c>
      <c r="F62" s="28">
        <v>38</v>
      </c>
      <c r="G62" s="28">
        <v>38</v>
      </c>
      <c r="H62" s="28">
        <v>38</v>
      </c>
      <c r="I62" s="28">
        <v>38</v>
      </c>
      <c r="J62" s="28">
        <v>38</v>
      </c>
      <c r="K62" s="28">
        <v>38</v>
      </c>
      <c r="L62" s="28">
        <v>38</v>
      </c>
      <c r="M62" s="28">
        <v>38</v>
      </c>
      <c r="N62" s="28">
        <v>38</v>
      </c>
      <c r="O62" s="28">
        <v>38</v>
      </c>
      <c r="P62" s="28">
        <v>38</v>
      </c>
      <c r="Q62" s="28">
        <v>38</v>
      </c>
      <c r="R62" s="28">
        <v>38</v>
      </c>
      <c r="S62" s="28">
        <v>38</v>
      </c>
      <c r="T62" s="28">
        <v>38</v>
      </c>
      <c r="U62" s="28">
        <v>38</v>
      </c>
      <c r="V62" s="28">
        <v>38</v>
      </c>
      <c r="W62" s="28">
        <v>38</v>
      </c>
      <c r="X62" s="28">
        <v>38</v>
      </c>
      <c r="Y62" s="28">
        <v>38</v>
      </c>
      <c r="Z62" s="28">
        <v>38</v>
      </c>
      <c r="AA62" s="28">
        <v>38</v>
      </c>
      <c r="AB62" s="28">
        <v>26</v>
      </c>
      <c r="AC62" s="28">
        <v>26</v>
      </c>
      <c r="AD62" s="28">
        <v>26</v>
      </c>
      <c r="AE62" s="28">
        <v>26</v>
      </c>
      <c r="AF62" s="28">
        <v>38</v>
      </c>
      <c r="AG62" s="28">
        <v>38</v>
      </c>
      <c r="AH62" s="28">
        <v>38</v>
      </c>
      <c r="AI62" s="28">
        <v>38</v>
      </c>
      <c r="AJ62" s="28">
        <v>38</v>
      </c>
      <c r="AK62" s="28">
        <v>38</v>
      </c>
      <c r="AL62" s="28">
        <v>38</v>
      </c>
      <c r="AM62" s="28">
        <v>38</v>
      </c>
      <c r="AN62" s="28">
        <v>38</v>
      </c>
      <c r="AO62" s="28">
        <v>50</v>
      </c>
      <c r="AP62" s="28">
        <v>50</v>
      </c>
      <c r="AQ62" s="28">
        <v>50</v>
      </c>
      <c r="AR62" s="28">
        <v>50</v>
      </c>
      <c r="AS62" s="28">
        <v>50</v>
      </c>
      <c r="AT62" s="28">
        <v>50</v>
      </c>
      <c r="AU62" s="28">
        <v>43</v>
      </c>
      <c r="AV62" s="28">
        <v>43</v>
      </c>
      <c r="AW62" s="28">
        <v>43</v>
      </c>
      <c r="AX62" s="28">
        <v>43</v>
      </c>
      <c r="AY62" s="28">
        <v>43</v>
      </c>
      <c r="AZ62" s="28">
        <v>43</v>
      </c>
      <c r="BA62" s="28">
        <v>43</v>
      </c>
      <c r="BB62" s="28">
        <v>43</v>
      </c>
      <c r="BC62" s="28">
        <v>43</v>
      </c>
      <c r="BD62" s="28">
        <v>43</v>
      </c>
      <c r="BE62" s="28">
        <v>43</v>
      </c>
      <c r="BF62" s="28">
        <v>43</v>
      </c>
      <c r="BG62" s="28">
        <v>43</v>
      </c>
      <c r="BH62" s="28">
        <v>43</v>
      </c>
      <c r="BI62" s="28">
        <v>43</v>
      </c>
      <c r="BJ62" s="28">
        <v>43</v>
      </c>
      <c r="BK62" s="28">
        <v>43</v>
      </c>
      <c r="BL62" s="28">
        <v>43</v>
      </c>
      <c r="BM62" s="28">
        <v>43</v>
      </c>
      <c r="BN62" s="28">
        <v>43</v>
      </c>
      <c r="BO62" s="28">
        <v>43</v>
      </c>
      <c r="BP62" s="28">
        <v>43</v>
      </c>
      <c r="BQ62" s="28">
        <v>43</v>
      </c>
      <c r="BR62" s="28">
        <v>43</v>
      </c>
      <c r="BS62" s="28">
        <v>38</v>
      </c>
      <c r="BT62" s="28">
        <v>38</v>
      </c>
      <c r="BU62" s="28">
        <v>38</v>
      </c>
      <c r="BV62" s="28">
        <v>38</v>
      </c>
      <c r="BW62" s="28">
        <v>38</v>
      </c>
      <c r="BX62" s="28">
        <v>38</v>
      </c>
      <c r="BY62" s="28">
        <v>38</v>
      </c>
      <c r="BZ62" s="28">
        <v>38</v>
      </c>
      <c r="CA62" s="28">
        <v>4</v>
      </c>
      <c r="CB62" s="262">
        <v>38</v>
      </c>
      <c r="CC62" s="115">
        <v>20</v>
      </c>
      <c r="CD62" s="115">
        <v>4</v>
      </c>
      <c r="CE62" s="262">
        <v>38</v>
      </c>
      <c r="CF62" s="337"/>
      <c r="CG62" s="337"/>
      <c r="CH62" s="337"/>
      <c r="CI62" s="346"/>
      <c r="CJ62" s="366"/>
      <c r="CK62" s="194"/>
      <c r="CL62" s="194"/>
    </row>
    <row r="63" spans="1:90" x14ac:dyDescent="0.25">
      <c r="C63" s="30" t="s">
        <v>264</v>
      </c>
      <c r="D63" s="29" t="s">
        <v>51</v>
      </c>
      <c r="E63" s="28">
        <v>4950</v>
      </c>
      <c r="F63" s="28">
        <v>4950</v>
      </c>
      <c r="G63" s="28">
        <v>4950</v>
      </c>
      <c r="H63" s="28">
        <v>4950</v>
      </c>
      <c r="I63" s="28">
        <v>4950</v>
      </c>
      <c r="J63" s="28">
        <v>4950</v>
      </c>
      <c r="K63" s="28">
        <v>4950</v>
      </c>
      <c r="L63" s="28">
        <v>4950</v>
      </c>
      <c r="M63" s="28">
        <v>4950</v>
      </c>
      <c r="N63" s="28">
        <v>4950</v>
      </c>
      <c r="O63" s="28">
        <v>4950</v>
      </c>
      <c r="P63" s="28">
        <v>4950</v>
      </c>
      <c r="Q63" s="28">
        <v>4950</v>
      </c>
      <c r="R63" s="28">
        <v>4950</v>
      </c>
      <c r="S63" s="28">
        <v>4950</v>
      </c>
      <c r="T63" s="28">
        <v>4950</v>
      </c>
      <c r="U63" s="28">
        <v>4950</v>
      </c>
      <c r="V63" s="28">
        <v>4950</v>
      </c>
      <c r="W63" s="28">
        <v>4950</v>
      </c>
      <c r="X63" s="28">
        <v>4950</v>
      </c>
      <c r="Y63" s="28">
        <v>4950</v>
      </c>
      <c r="Z63" s="28">
        <v>4950</v>
      </c>
      <c r="AA63" s="28">
        <v>4950</v>
      </c>
      <c r="AB63" s="28">
        <v>45950</v>
      </c>
      <c r="AC63" s="28">
        <v>40950</v>
      </c>
      <c r="AD63" s="28">
        <v>42000</v>
      </c>
      <c r="AE63" s="28">
        <v>50000</v>
      </c>
      <c r="AF63" s="28">
        <v>24000</v>
      </c>
      <c r="AG63" s="28">
        <v>23500</v>
      </c>
      <c r="AH63" s="28">
        <v>23000</v>
      </c>
      <c r="AI63" s="28">
        <v>22500</v>
      </c>
      <c r="AJ63" s="28">
        <v>21500</v>
      </c>
      <c r="AK63" s="28">
        <v>20000</v>
      </c>
      <c r="AL63" s="28">
        <v>24300</v>
      </c>
      <c r="AM63" s="28">
        <v>24300</v>
      </c>
      <c r="AN63" s="28">
        <v>24300</v>
      </c>
      <c r="AO63" s="28">
        <v>6900</v>
      </c>
      <c r="AP63" s="28">
        <v>6900</v>
      </c>
      <c r="AQ63" s="28">
        <v>6900</v>
      </c>
      <c r="AR63" s="28">
        <v>6900</v>
      </c>
      <c r="AS63" s="28">
        <v>6900</v>
      </c>
      <c r="AT63" s="28">
        <v>6900</v>
      </c>
      <c r="AU63" s="28">
        <v>50700</v>
      </c>
      <c r="AV63" s="28">
        <v>52000</v>
      </c>
      <c r="AW63" s="28">
        <v>51000</v>
      </c>
      <c r="AX63" s="28">
        <v>65000</v>
      </c>
      <c r="AY63" s="28">
        <v>50700</v>
      </c>
      <c r="AZ63" s="28">
        <v>50700</v>
      </c>
      <c r="BA63" s="28">
        <v>50700</v>
      </c>
      <c r="BB63" s="28">
        <v>50700</v>
      </c>
      <c r="BC63" s="28">
        <v>80700</v>
      </c>
      <c r="BD63" s="28">
        <v>78000</v>
      </c>
      <c r="BE63" s="28">
        <v>50700</v>
      </c>
      <c r="BF63" s="28">
        <v>50700</v>
      </c>
      <c r="BG63" s="28">
        <v>50700</v>
      </c>
      <c r="BH63" s="28">
        <v>52000</v>
      </c>
      <c r="BI63" s="28">
        <v>51000</v>
      </c>
      <c r="BJ63" s="28">
        <v>65000</v>
      </c>
      <c r="BK63" s="28">
        <v>50700</v>
      </c>
      <c r="BL63" s="28">
        <v>50700</v>
      </c>
      <c r="BM63" s="28">
        <v>50700</v>
      </c>
      <c r="BN63" s="28">
        <v>50700</v>
      </c>
      <c r="BO63" s="28">
        <v>80700</v>
      </c>
      <c r="BP63" s="28">
        <v>50700</v>
      </c>
      <c r="BQ63" s="28">
        <v>50700</v>
      </c>
      <c r="BR63" s="28">
        <v>50700</v>
      </c>
      <c r="BS63" s="28">
        <v>4950</v>
      </c>
      <c r="BT63" s="28">
        <v>4950</v>
      </c>
      <c r="BU63" s="28">
        <v>4950</v>
      </c>
      <c r="BV63" s="28">
        <v>4950</v>
      </c>
      <c r="BW63" s="28">
        <v>4950</v>
      </c>
      <c r="BX63" s="28">
        <v>4950</v>
      </c>
      <c r="BY63" s="28">
        <v>4950</v>
      </c>
      <c r="BZ63" s="28">
        <v>4950</v>
      </c>
      <c r="CA63" s="28">
        <v>7400</v>
      </c>
      <c r="CB63" s="262">
        <v>4950</v>
      </c>
      <c r="CC63" s="115">
        <v>250</v>
      </c>
      <c r="CD63" s="115">
        <v>7400</v>
      </c>
      <c r="CE63" s="262">
        <v>4950</v>
      </c>
      <c r="CF63" s="337"/>
      <c r="CG63" s="337"/>
      <c r="CH63" s="337"/>
      <c r="CI63" s="346"/>
      <c r="CJ63" s="366"/>
      <c r="CK63" s="194"/>
      <c r="CL63" s="194"/>
    </row>
    <row r="64" spans="1:90" x14ac:dyDescent="0.25">
      <c r="C64" s="30" t="s">
        <v>265</v>
      </c>
      <c r="D64" s="29" t="s">
        <v>50</v>
      </c>
      <c r="E64" s="25">
        <v>1</v>
      </c>
      <c r="F64" s="25">
        <v>1</v>
      </c>
      <c r="G64" s="25">
        <v>1</v>
      </c>
      <c r="H64" s="25">
        <v>1</v>
      </c>
      <c r="I64" s="25">
        <v>1</v>
      </c>
      <c r="J64" s="25">
        <v>1</v>
      </c>
      <c r="K64" s="25">
        <v>1</v>
      </c>
      <c r="L64" s="25">
        <v>1</v>
      </c>
      <c r="M64" s="25">
        <v>1</v>
      </c>
      <c r="N64" s="25">
        <v>1</v>
      </c>
      <c r="O64" s="25">
        <v>1</v>
      </c>
      <c r="P64" s="25">
        <v>1</v>
      </c>
      <c r="Q64" s="25">
        <v>1</v>
      </c>
      <c r="R64" s="25">
        <v>1</v>
      </c>
      <c r="S64" s="25">
        <v>1</v>
      </c>
      <c r="T64" s="25">
        <v>1</v>
      </c>
      <c r="U64" s="25">
        <v>1</v>
      </c>
      <c r="V64" s="25">
        <v>1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B64" s="25">
        <v>2</v>
      </c>
      <c r="AC64" s="25">
        <v>2</v>
      </c>
      <c r="AD64" s="25">
        <v>2</v>
      </c>
      <c r="AE64" s="25">
        <v>2</v>
      </c>
      <c r="AF64" s="25">
        <v>1</v>
      </c>
      <c r="AG64" s="25">
        <v>1</v>
      </c>
      <c r="AH64" s="25">
        <v>1</v>
      </c>
      <c r="AI64" s="25">
        <v>1</v>
      </c>
      <c r="AJ64" s="25">
        <v>1</v>
      </c>
      <c r="AK64" s="25">
        <v>1</v>
      </c>
      <c r="AL64" s="25">
        <v>1</v>
      </c>
      <c r="AM64" s="25">
        <v>1</v>
      </c>
      <c r="AN64" s="25">
        <v>1</v>
      </c>
      <c r="AO64" s="25">
        <v>4</v>
      </c>
      <c r="AP64" s="25">
        <v>4</v>
      </c>
      <c r="AQ64" s="25">
        <v>4</v>
      </c>
      <c r="AR64" s="25">
        <v>4</v>
      </c>
      <c r="AS64" s="25">
        <v>4</v>
      </c>
      <c r="AT64" s="25">
        <v>4</v>
      </c>
      <c r="AU64" s="25">
        <v>4</v>
      </c>
      <c r="AV64" s="25">
        <v>4</v>
      </c>
      <c r="AW64" s="25">
        <v>4</v>
      </c>
      <c r="AX64" s="25">
        <v>4</v>
      </c>
      <c r="AY64" s="25">
        <v>4</v>
      </c>
      <c r="AZ64" s="25">
        <v>4</v>
      </c>
      <c r="BA64" s="25">
        <v>4</v>
      </c>
      <c r="BB64" s="25">
        <v>4</v>
      </c>
      <c r="BC64" s="25">
        <v>4</v>
      </c>
      <c r="BD64" s="25">
        <v>4</v>
      </c>
      <c r="BE64" s="25">
        <v>4</v>
      </c>
      <c r="BF64" s="25">
        <v>4</v>
      </c>
      <c r="BG64" s="25">
        <v>4</v>
      </c>
      <c r="BH64" s="25">
        <v>4</v>
      </c>
      <c r="BI64" s="25">
        <v>4</v>
      </c>
      <c r="BJ64" s="25">
        <v>4</v>
      </c>
      <c r="BK64" s="25">
        <v>4</v>
      </c>
      <c r="BL64" s="25">
        <v>4</v>
      </c>
      <c r="BM64" s="25">
        <v>4</v>
      </c>
      <c r="BN64" s="25">
        <v>4</v>
      </c>
      <c r="BO64" s="25">
        <v>4</v>
      </c>
      <c r="BP64" s="25">
        <v>4</v>
      </c>
      <c r="BQ64" s="25">
        <v>4</v>
      </c>
      <c r="BR64" s="25">
        <v>4</v>
      </c>
      <c r="BS64" s="25">
        <v>1</v>
      </c>
      <c r="BT64" s="25">
        <v>1</v>
      </c>
      <c r="BU64" s="25">
        <v>1</v>
      </c>
      <c r="BV64" s="25">
        <v>1</v>
      </c>
      <c r="BW64" s="25">
        <v>1</v>
      </c>
      <c r="BX64" s="25">
        <v>1</v>
      </c>
      <c r="BY64" s="25">
        <v>1</v>
      </c>
      <c r="BZ64" s="25">
        <v>1</v>
      </c>
      <c r="CA64" s="25">
        <v>1</v>
      </c>
      <c r="CB64" s="264">
        <v>1</v>
      </c>
      <c r="CC64" s="114">
        <v>1</v>
      </c>
      <c r="CD64" s="114">
        <v>1</v>
      </c>
      <c r="CE64" s="264">
        <v>1</v>
      </c>
      <c r="CF64" s="339"/>
      <c r="CG64" s="339"/>
      <c r="CH64" s="339"/>
      <c r="CI64" s="357"/>
      <c r="CJ64" s="369"/>
      <c r="CK64" s="207"/>
      <c r="CL64" s="207"/>
    </row>
    <row ht="15.75" r="65" spans="1:90" x14ac:dyDescent="0.3">
      <c r="A65" s="35" t="s">
        <v>49</v>
      </c>
      <c r="B65" s="40"/>
      <c r="C65" s="37" t="s">
        <v>964</v>
      </c>
      <c r="D65" s="36" t="s">
        <v>937</v>
      </c>
      <c r="E65" s="77" t="s">
        <v>948</v>
      </c>
      <c r="F65" s="77" t="s">
        <v>948</v>
      </c>
      <c r="G65" s="77" t="s">
        <v>948</v>
      </c>
      <c r="H65" s="77" t="s">
        <v>948</v>
      </c>
      <c r="I65" s="77" t="s">
        <v>948</v>
      </c>
      <c r="J65" s="77" t="s">
        <v>948</v>
      </c>
      <c r="K65" s="77" t="s">
        <v>948</v>
      </c>
      <c r="L65" s="77" t="s">
        <v>948</v>
      </c>
      <c r="M65" s="77" t="s">
        <v>948</v>
      </c>
      <c r="N65" s="77" t="s">
        <v>948</v>
      </c>
      <c r="O65" s="77" t="s">
        <v>948</v>
      </c>
      <c r="P65" s="77" t="s">
        <v>948</v>
      </c>
      <c r="Q65" s="77" t="s">
        <v>948</v>
      </c>
      <c r="R65" s="77" t="s">
        <v>948</v>
      </c>
      <c r="S65" s="77" t="s">
        <v>948</v>
      </c>
      <c r="T65" s="77" t="s">
        <v>948</v>
      </c>
      <c r="U65" s="77" t="s">
        <v>948</v>
      </c>
      <c r="V65" s="77" t="s">
        <v>948</v>
      </c>
      <c r="W65" s="77" t="s">
        <v>948</v>
      </c>
      <c r="X65" s="77" t="s">
        <v>948</v>
      </c>
      <c r="Y65" s="77" t="s">
        <v>948</v>
      </c>
      <c r="Z65" s="77" t="s">
        <v>948</v>
      </c>
      <c r="AA65" s="77" t="s">
        <v>948</v>
      </c>
      <c r="AB65" s="77" t="s">
        <v>949</v>
      </c>
      <c r="AC65" s="77" t="s">
        <v>949</v>
      </c>
      <c r="AD65" s="77" t="s">
        <v>949</v>
      </c>
      <c r="AE65" s="77" t="s">
        <v>949</v>
      </c>
      <c r="AF65" s="77" t="s">
        <v>949</v>
      </c>
      <c r="AG65" s="77" t="s">
        <v>949</v>
      </c>
      <c r="AH65" s="77" t="s">
        <v>949</v>
      </c>
      <c r="AI65" s="77" t="s">
        <v>949</v>
      </c>
      <c r="AJ65" s="77" t="s">
        <v>949</v>
      </c>
      <c r="AK65" s="77" t="s">
        <v>949</v>
      </c>
      <c r="AL65" s="77" t="s">
        <v>949</v>
      </c>
      <c r="AM65" s="77" t="s">
        <v>949</v>
      </c>
      <c r="AN65" s="77" t="s">
        <v>949</v>
      </c>
      <c r="AO65" s="77" t="s">
        <v>949</v>
      </c>
      <c r="AP65" s="77" t="s">
        <v>949</v>
      </c>
      <c r="AQ65" s="77" t="s">
        <v>949</v>
      </c>
      <c r="AR65" s="77" t="s">
        <v>949</v>
      </c>
      <c r="AS65" s="77" t="s">
        <v>949</v>
      </c>
      <c r="AT65" s="77" t="s">
        <v>949</v>
      </c>
      <c r="AU65" s="77" t="s">
        <v>949</v>
      </c>
      <c r="AV65" s="77" t="s">
        <v>949</v>
      </c>
      <c r="AW65" s="77" t="s">
        <v>949</v>
      </c>
      <c r="AX65" s="77" t="s">
        <v>949</v>
      </c>
      <c r="AY65" s="77" t="s">
        <v>949</v>
      </c>
      <c r="AZ65" s="77" t="s">
        <v>949</v>
      </c>
      <c r="BA65" s="77" t="s">
        <v>949</v>
      </c>
      <c r="BB65" s="77" t="s">
        <v>949</v>
      </c>
      <c r="BC65" s="77" t="s">
        <v>949</v>
      </c>
      <c r="BD65" s="77" t="s">
        <v>949</v>
      </c>
      <c r="BE65" s="77" t="s">
        <v>949</v>
      </c>
      <c r="BF65" s="77" t="s">
        <v>949</v>
      </c>
      <c r="BG65" s="77" t="s">
        <v>949</v>
      </c>
      <c r="BH65" s="77" t="s">
        <v>949</v>
      </c>
      <c r="BI65" s="77" t="s">
        <v>949</v>
      </c>
      <c r="BJ65" s="77" t="s">
        <v>949</v>
      </c>
      <c r="BK65" s="77" t="s">
        <v>949</v>
      </c>
      <c r="BL65" s="77" t="s">
        <v>949</v>
      </c>
      <c r="BM65" s="77" t="s">
        <v>949</v>
      </c>
      <c r="BN65" s="77" t="s">
        <v>949</v>
      </c>
      <c r="BO65" s="77" t="s">
        <v>949</v>
      </c>
      <c r="BP65" s="77" t="s">
        <v>949</v>
      </c>
      <c r="BQ65" s="77" t="s">
        <v>949</v>
      </c>
      <c r="BR65" s="77" t="s">
        <v>949</v>
      </c>
      <c r="BS65" s="77" t="s">
        <v>948</v>
      </c>
      <c r="BT65" s="77" t="s">
        <v>948</v>
      </c>
      <c r="BU65" s="77" t="s">
        <v>948</v>
      </c>
      <c r="BV65" s="77" t="s">
        <v>948</v>
      </c>
      <c r="BW65" s="77" t="s">
        <v>948</v>
      </c>
      <c r="BX65" s="77" t="s">
        <v>948</v>
      </c>
      <c r="BY65" s="77" t="s">
        <v>948</v>
      </c>
      <c r="BZ65" s="77" t="s">
        <v>948</v>
      </c>
      <c r="CA65" s="77" t="s">
        <v>1189</v>
      </c>
      <c r="CB65" s="267" t="s">
        <v>948</v>
      </c>
      <c r="CC65" s="77" t="s">
        <v>1189</v>
      </c>
      <c r="CD65" s="77" t="s">
        <v>1189</v>
      </c>
      <c r="CE65" s="344" t="s">
        <v>948</v>
      </c>
      <c r="CF65" s="332"/>
      <c r="CG65" s="340" t="s">
        <v>1255</v>
      </c>
      <c r="CH65" s="340" t="s">
        <v>1255</v>
      </c>
      <c r="CI65" s="359"/>
      <c r="CJ65" s="371"/>
      <c r="CK65" s="241"/>
      <c r="CL65" s="241"/>
    </row>
    <row r="66" spans="1:90" x14ac:dyDescent="0.25">
      <c r="C66" s="27" t="s">
        <v>965</v>
      </c>
      <c r="D66" s="26" t="s">
        <v>947</v>
      </c>
      <c r="E66" s="272">
        <v>7</v>
      </c>
      <c r="F66" s="272">
        <v>7</v>
      </c>
      <c r="G66" s="272">
        <v>7</v>
      </c>
      <c r="H66" s="272">
        <v>7</v>
      </c>
      <c r="I66" s="272">
        <v>7</v>
      </c>
      <c r="J66" s="272">
        <v>7</v>
      </c>
      <c r="K66" s="272">
        <v>7</v>
      </c>
      <c r="L66" s="272">
        <v>7</v>
      </c>
      <c r="M66" s="272">
        <v>7</v>
      </c>
      <c r="N66" s="272">
        <v>7</v>
      </c>
      <c r="O66" s="272">
        <v>7</v>
      </c>
      <c r="P66" s="272">
        <v>7</v>
      </c>
      <c r="Q66" s="272">
        <v>7</v>
      </c>
      <c r="R66" s="272">
        <v>7</v>
      </c>
      <c r="S66" s="272">
        <v>7</v>
      </c>
      <c r="T66" s="272">
        <v>7</v>
      </c>
      <c r="U66" s="272">
        <v>7</v>
      </c>
      <c r="V66" s="272">
        <v>7</v>
      </c>
      <c r="W66" s="272">
        <v>7</v>
      </c>
      <c r="X66" s="272">
        <v>7</v>
      </c>
      <c r="Y66" s="272">
        <v>7</v>
      </c>
      <c r="Z66" s="272">
        <v>7</v>
      </c>
      <c r="AA66" s="272">
        <v>7</v>
      </c>
      <c r="AB66" s="272">
        <v>7</v>
      </c>
      <c r="AC66" s="272">
        <v>7</v>
      </c>
      <c r="AD66" s="272">
        <v>7</v>
      </c>
      <c r="AE66" s="272">
        <v>7</v>
      </c>
      <c r="AF66" s="272">
        <v>7</v>
      </c>
      <c r="AG66" s="272">
        <v>7</v>
      </c>
      <c r="AH66" s="272">
        <v>7</v>
      </c>
      <c r="AI66" s="272">
        <v>7</v>
      </c>
      <c r="AJ66" s="272">
        <v>7</v>
      </c>
      <c r="AK66" s="272">
        <v>7</v>
      </c>
      <c r="AL66" s="272">
        <v>7</v>
      </c>
      <c r="AM66" s="272">
        <v>7</v>
      </c>
      <c r="AN66" s="272">
        <v>7</v>
      </c>
      <c r="AO66" s="272">
        <v>7</v>
      </c>
      <c r="AP66" s="272">
        <v>7</v>
      </c>
      <c r="AQ66" s="272">
        <v>7</v>
      </c>
      <c r="AR66" s="272">
        <v>7</v>
      </c>
      <c r="AS66" s="272">
        <v>7</v>
      </c>
      <c r="AT66" s="272">
        <v>7</v>
      </c>
      <c r="AU66" s="272">
        <v>7</v>
      </c>
      <c r="AV66" s="272">
        <v>7</v>
      </c>
      <c r="AW66" s="272">
        <v>7</v>
      </c>
      <c r="AX66" s="272">
        <v>7</v>
      </c>
      <c r="AY66" s="272">
        <v>7</v>
      </c>
      <c r="AZ66" s="272">
        <v>7</v>
      </c>
      <c r="BA66" s="272">
        <v>7</v>
      </c>
      <c r="BB66" s="272">
        <v>7</v>
      </c>
      <c r="BC66" s="272">
        <v>7</v>
      </c>
      <c r="BD66" s="272">
        <v>7</v>
      </c>
      <c r="BE66" s="272">
        <v>7</v>
      </c>
      <c r="BF66" s="272">
        <v>7</v>
      </c>
      <c r="BG66" s="272">
        <v>7</v>
      </c>
      <c r="BH66" s="272">
        <v>7</v>
      </c>
      <c r="BI66" s="272">
        <v>7</v>
      </c>
      <c r="BJ66" s="272">
        <v>7</v>
      </c>
      <c r="BK66" s="272">
        <v>7</v>
      </c>
      <c r="BL66" s="272">
        <v>7</v>
      </c>
      <c r="BM66" s="272">
        <v>7</v>
      </c>
      <c r="BN66" s="272">
        <v>7</v>
      </c>
      <c r="BO66" s="272">
        <v>7</v>
      </c>
      <c r="BP66" s="272">
        <v>7</v>
      </c>
      <c r="BQ66" s="272">
        <v>7</v>
      </c>
      <c r="BR66" s="272">
        <v>7</v>
      </c>
      <c r="BS66" s="272">
        <v>7</v>
      </c>
      <c r="BT66" s="272">
        <v>7</v>
      </c>
      <c r="BU66" s="272">
        <v>7</v>
      </c>
      <c r="BV66" s="272">
        <v>7</v>
      </c>
      <c r="BW66" s="272">
        <v>7</v>
      </c>
      <c r="BX66" s="272">
        <v>7</v>
      </c>
      <c r="BY66" s="272">
        <v>7</v>
      </c>
      <c r="BZ66" s="272">
        <v>7</v>
      </c>
      <c r="CA66" s="272">
        <v>18</v>
      </c>
      <c r="CB66" s="269">
        <v>7</v>
      </c>
      <c r="CC66" s="272">
        <v>18</v>
      </c>
      <c r="CD66" s="272">
        <v>18</v>
      </c>
      <c r="CE66" s="269">
        <v>7</v>
      </c>
      <c r="CF66" s="333"/>
      <c r="CG66" s="333"/>
      <c r="CH66" s="333"/>
      <c r="CI66" s="360"/>
      <c r="CJ66" s="372"/>
      <c r="CK66" s="390"/>
      <c r="CL66" s="390"/>
    </row>
    <row customFormat="1" r="67" s="158" spans="1:90" x14ac:dyDescent="0.25">
      <c r="C67" s="30" t="s">
        <v>1171</v>
      </c>
      <c r="D67" s="29" t="s">
        <v>1150</v>
      </c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 t="s">
        <v>1036</v>
      </c>
      <c r="CB67" s="268"/>
      <c r="CC67" s="119" t="s">
        <v>1036</v>
      </c>
      <c r="CD67" s="119" t="s">
        <v>1036</v>
      </c>
      <c r="CE67" s="268"/>
      <c r="CF67" s="336"/>
      <c r="CG67" s="336"/>
      <c r="CH67" s="336"/>
      <c r="CI67" s="361"/>
      <c r="CJ67" s="373"/>
      <c r="CK67" s="248"/>
      <c r="CL67" s="248"/>
    </row>
    <row r="68" spans="1:90" x14ac:dyDescent="0.25">
      <c r="C68" s="30" t="s">
        <v>966</v>
      </c>
      <c r="D68" s="29" t="s">
        <v>938</v>
      </c>
      <c r="E68" s="28" t="s">
        <v>48</v>
      </c>
      <c r="F68" s="28" t="s">
        <v>48</v>
      </c>
      <c r="G68" s="28" t="s">
        <v>48</v>
      </c>
      <c r="H68" s="28" t="s">
        <v>48</v>
      </c>
      <c r="I68" s="28" t="s">
        <v>48</v>
      </c>
      <c r="J68" s="28" t="s">
        <v>48</v>
      </c>
      <c r="K68" s="28" t="s">
        <v>48</v>
      </c>
      <c r="L68" s="28" t="s">
        <v>48</v>
      </c>
      <c r="M68" s="28" t="s">
        <v>48</v>
      </c>
      <c r="N68" s="28" t="s">
        <v>48</v>
      </c>
      <c r="O68" s="28" t="s">
        <v>48</v>
      </c>
      <c r="P68" s="28" t="s">
        <v>48</v>
      </c>
      <c r="Q68" s="28" t="s">
        <v>48</v>
      </c>
      <c r="R68" s="28" t="s">
        <v>48</v>
      </c>
      <c r="S68" s="28" t="s">
        <v>48</v>
      </c>
      <c r="T68" s="28" t="s">
        <v>48</v>
      </c>
      <c r="U68" s="28" t="s">
        <v>48</v>
      </c>
      <c r="V68" s="28" t="s">
        <v>48</v>
      </c>
      <c r="W68" s="28" t="s">
        <v>48</v>
      </c>
      <c r="X68" s="28" t="s">
        <v>48</v>
      </c>
      <c r="Y68" s="28" t="s">
        <v>48</v>
      </c>
      <c r="Z68" s="28" t="s">
        <v>48</v>
      </c>
      <c r="AA68" s="28" t="s">
        <v>48</v>
      </c>
      <c r="AB68" s="28" t="s">
        <v>48</v>
      </c>
      <c r="AC68" s="28" t="s">
        <v>48</v>
      </c>
      <c r="AD68" s="28" t="s">
        <v>48</v>
      </c>
      <c r="AE68" s="28" t="s">
        <v>48</v>
      </c>
      <c r="AF68" s="28" t="s">
        <v>48</v>
      </c>
      <c r="AG68" s="28" t="s">
        <v>48</v>
      </c>
      <c r="AH68" s="28" t="s">
        <v>48</v>
      </c>
      <c r="AI68" s="28" t="s">
        <v>48</v>
      </c>
      <c r="AJ68" s="28" t="s">
        <v>48</v>
      </c>
      <c r="AK68" s="28" t="s">
        <v>48</v>
      </c>
      <c r="AL68" s="28" t="s">
        <v>48</v>
      </c>
      <c r="AM68" s="28" t="s">
        <v>48</v>
      </c>
      <c r="AN68" s="28" t="s">
        <v>48</v>
      </c>
      <c r="AO68" s="28" t="s">
        <v>48</v>
      </c>
      <c r="AP68" s="28" t="s">
        <v>48</v>
      </c>
      <c r="AQ68" s="28" t="s">
        <v>48</v>
      </c>
      <c r="AR68" s="28" t="s">
        <v>48</v>
      </c>
      <c r="AS68" s="28" t="s">
        <v>48</v>
      </c>
      <c r="AT68" s="28" t="s">
        <v>48</v>
      </c>
      <c r="AU68" s="28" t="s">
        <v>48</v>
      </c>
      <c r="AV68" s="28" t="s">
        <v>48</v>
      </c>
      <c r="AW68" s="28" t="s">
        <v>48</v>
      </c>
      <c r="AX68" s="28" t="s">
        <v>48</v>
      </c>
      <c r="AY68" s="28" t="s">
        <v>48</v>
      </c>
      <c r="AZ68" s="28" t="s">
        <v>48</v>
      </c>
      <c r="BA68" s="28" t="s">
        <v>48</v>
      </c>
      <c r="BB68" s="28" t="s">
        <v>48</v>
      </c>
      <c r="BC68" s="28" t="s">
        <v>48</v>
      </c>
      <c r="BD68" s="28" t="s">
        <v>48</v>
      </c>
      <c r="BE68" s="28" t="s">
        <v>48</v>
      </c>
      <c r="BF68" s="28" t="s">
        <v>48</v>
      </c>
      <c r="BG68" s="28" t="s">
        <v>48</v>
      </c>
      <c r="BH68" s="28" t="s">
        <v>48</v>
      </c>
      <c r="BI68" s="28" t="s">
        <v>48</v>
      </c>
      <c r="BJ68" s="28" t="s">
        <v>48</v>
      </c>
      <c r="BK68" s="28" t="s">
        <v>48</v>
      </c>
      <c r="BL68" s="28" t="s">
        <v>48</v>
      </c>
      <c r="BM68" s="28" t="s">
        <v>48</v>
      </c>
      <c r="BN68" s="28" t="s">
        <v>48</v>
      </c>
      <c r="BO68" s="28" t="s">
        <v>48</v>
      </c>
      <c r="BP68" s="28" t="s">
        <v>48</v>
      </c>
      <c r="BQ68" s="28" t="s">
        <v>48</v>
      </c>
      <c r="BR68" s="28" t="s">
        <v>48</v>
      </c>
      <c r="BS68" s="28" t="s">
        <v>48</v>
      </c>
      <c r="BT68" s="28" t="s">
        <v>48</v>
      </c>
      <c r="BU68" s="28" t="s">
        <v>48</v>
      </c>
      <c r="BV68" s="28" t="s">
        <v>48</v>
      </c>
      <c r="BW68" s="28" t="s">
        <v>48</v>
      </c>
      <c r="BX68" s="28" t="s">
        <v>48</v>
      </c>
      <c r="BY68" s="28" t="s">
        <v>48</v>
      </c>
      <c r="BZ68" s="28" t="s">
        <v>48</v>
      </c>
      <c r="CA68" s="115" t="s">
        <v>1007</v>
      </c>
      <c r="CB68" s="262" t="s">
        <v>48</v>
      </c>
      <c r="CC68" s="115" t="s">
        <v>1007</v>
      </c>
      <c r="CD68" s="115" t="s">
        <v>1007</v>
      </c>
      <c r="CE68" s="262" t="s">
        <v>48</v>
      </c>
      <c r="CF68" s="337"/>
      <c r="CG68" s="337"/>
      <c r="CH68" s="337"/>
      <c r="CI68" s="346"/>
      <c r="CJ68" s="366"/>
      <c r="CK68" s="194"/>
      <c r="CL68" s="194"/>
    </row>
    <row r="69" spans="1:90" x14ac:dyDescent="0.25">
      <c r="C69" s="30" t="s">
        <v>967</v>
      </c>
      <c r="D69" s="29" t="s">
        <v>945</v>
      </c>
      <c r="E69" s="31">
        <v>41703</v>
      </c>
      <c r="F69" s="31">
        <v>41703</v>
      </c>
      <c r="G69" s="31">
        <v>41703</v>
      </c>
      <c r="H69" s="31">
        <v>41703</v>
      </c>
      <c r="I69" s="31">
        <v>41703</v>
      </c>
      <c r="J69" s="31">
        <v>41703</v>
      </c>
      <c r="K69" s="31">
        <v>41703</v>
      </c>
      <c r="L69" s="31">
        <v>41703</v>
      </c>
      <c r="M69" s="31">
        <v>41703</v>
      </c>
      <c r="N69" s="31">
        <v>41703</v>
      </c>
      <c r="O69" s="31">
        <v>41703</v>
      </c>
      <c r="P69" s="31">
        <v>41703</v>
      </c>
      <c r="Q69" s="31">
        <v>41703</v>
      </c>
      <c r="R69" s="31">
        <v>41703</v>
      </c>
      <c r="S69" s="31">
        <v>41703</v>
      </c>
      <c r="T69" s="31">
        <v>41703</v>
      </c>
      <c r="U69" s="31">
        <v>41703</v>
      </c>
      <c r="V69" s="31">
        <v>41703</v>
      </c>
      <c r="W69" s="31">
        <v>41703</v>
      </c>
      <c r="X69" s="31">
        <v>41703</v>
      </c>
      <c r="Y69" s="31">
        <v>41703</v>
      </c>
      <c r="Z69" s="31">
        <v>41703</v>
      </c>
      <c r="AA69" s="31">
        <v>41703</v>
      </c>
      <c r="AB69" s="31">
        <v>41703</v>
      </c>
      <c r="AC69" s="31">
        <v>41703</v>
      </c>
      <c r="AD69" s="31">
        <v>41703</v>
      </c>
      <c r="AE69" s="31">
        <v>41703</v>
      </c>
      <c r="AF69" s="31">
        <v>41703</v>
      </c>
      <c r="AG69" s="31">
        <v>41703</v>
      </c>
      <c r="AH69" s="31">
        <v>41703</v>
      </c>
      <c r="AI69" s="31">
        <v>41703</v>
      </c>
      <c r="AJ69" s="31">
        <v>41703</v>
      </c>
      <c r="AK69" s="31">
        <v>41703</v>
      </c>
      <c r="AL69" s="31">
        <v>41703</v>
      </c>
      <c r="AM69" s="31">
        <v>41703</v>
      </c>
      <c r="AN69" s="31">
        <v>41703</v>
      </c>
      <c r="AO69" s="31">
        <v>41703</v>
      </c>
      <c r="AP69" s="31">
        <v>41703</v>
      </c>
      <c r="AQ69" s="31">
        <v>41703</v>
      </c>
      <c r="AR69" s="31">
        <v>41703</v>
      </c>
      <c r="AS69" s="31">
        <v>41703</v>
      </c>
      <c r="AT69" s="31">
        <v>41703</v>
      </c>
      <c r="AU69" s="31">
        <v>41703</v>
      </c>
      <c r="AV69" s="31">
        <v>41703</v>
      </c>
      <c r="AW69" s="31">
        <v>41703</v>
      </c>
      <c r="AX69" s="31">
        <v>41703</v>
      </c>
      <c r="AY69" s="31">
        <v>41703</v>
      </c>
      <c r="AZ69" s="31">
        <v>41703</v>
      </c>
      <c r="BA69" s="31">
        <v>41703</v>
      </c>
      <c r="BB69" s="31">
        <v>41703</v>
      </c>
      <c r="BC69" s="31">
        <v>41703</v>
      </c>
      <c r="BD69" s="31">
        <v>41703</v>
      </c>
      <c r="BE69" s="31">
        <v>41703</v>
      </c>
      <c r="BF69" s="31">
        <v>41703</v>
      </c>
      <c r="BG69" s="31">
        <v>41703</v>
      </c>
      <c r="BH69" s="31">
        <v>41703</v>
      </c>
      <c r="BI69" s="31">
        <v>41703</v>
      </c>
      <c r="BJ69" s="31">
        <v>41703</v>
      </c>
      <c r="BK69" s="31">
        <v>41703</v>
      </c>
      <c r="BL69" s="31">
        <v>41703</v>
      </c>
      <c r="BM69" s="31">
        <v>41703</v>
      </c>
      <c r="BN69" s="31">
        <v>41703</v>
      </c>
      <c r="BO69" s="31">
        <v>41703</v>
      </c>
      <c r="BP69" s="31">
        <v>41703</v>
      </c>
      <c r="BQ69" s="31">
        <v>41703</v>
      </c>
      <c r="BR69" s="31">
        <v>41703</v>
      </c>
      <c r="BS69" s="31">
        <v>41703</v>
      </c>
      <c r="BT69" s="31">
        <v>41703</v>
      </c>
      <c r="BU69" s="31">
        <v>41703</v>
      </c>
      <c r="BV69" s="31">
        <v>41703</v>
      </c>
      <c r="BW69" s="31">
        <v>41703</v>
      </c>
      <c r="BX69" s="31">
        <v>41703</v>
      </c>
      <c r="BY69" s="31">
        <v>41703</v>
      </c>
      <c r="BZ69" s="31">
        <v>41703</v>
      </c>
      <c r="CA69" s="31">
        <v>42920</v>
      </c>
      <c r="CB69" s="263">
        <v>41703</v>
      </c>
      <c r="CC69" s="116">
        <v>42920</v>
      </c>
      <c r="CD69" s="116">
        <v>42920</v>
      </c>
      <c r="CE69" s="263">
        <v>41703</v>
      </c>
      <c r="CF69" s="338"/>
      <c r="CG69" s="338"/>
      <c r="CH69" s="338"/>
      <c r="CI69" s="358"/>
      <c r="CJ69" s="370"/>
      <c r="CK69" s="201"/>
      <c r="CL69" s="201"/>
    </row>
    <row r="70" spans="1:90" x14ac:dyDescent="0.25">
      <c r="C70" s="27" t="s">
        <v>968</v>
      </c>
      <c r="D70" s="26" t="s">
        <v>941</v>
      </c>
      <c r="E70" s="25">
        <v>1.27</v>
      </c>
      <c r="F70" s="25">
        <v>1.27</v>
      </c>
      <c r="G70" s="25">
        <v>1.27</v>
      </c>
      <c r="H70" s="25">
        <v>1.27</v>
      </c>
      <c r="I70" s="25">
        <v>1.27</v>
      </c>
      <c r="J70" s="25">
        <v>1.27</v>
      </c>
      <c r="K70" s="25">
        <v>1.27</v>
      </c>
      <c r="L70" s="25">
        <v>1.27</v>
      </c>
      <c r="M70" s="25">
        <v>1.27</v>
      </c>
      <c r="N70" s="25">
        <v>1.27</v>
      </c>
      <c r="O70" s="25">
        <v>1.27</v>
      </c>
      <c r="P70" s="25">
        <v>1.27</v>
      </c>
      <c r="Q70" s="25">
        <v>1.27</v>
      </c>
      <c r="R70" s="25">
        <v>1.27</v>
      </c>
      <c r="S70" s="25">
        <v>1.27</v>
      </c>
      <c r="T70" s="25">
        <v>1.27</v>
      </c>
      <c r="U70" s="25">
        <v>1.27</v>
      </c>
      <c r="V70" s="25">
        <v>1.27</v>
      </c>
      <c r="W70" s="25">
        <v>1.27</v>
      </c>
      <c r="X70" s="25">
        <v>1.27</v>
      </c>
      <c r="Y70" s="25">
        <v>1.27</v>
      </c>
      <c r="Z70" s="25">
        <v>1.27</v>
      </c>
      <c r="AA70" s="25">
        <v>1.27</v>
      </c>
      <c r="AB70" s="25">
        <v>1.27</v>
      </c>
      <c r="AC70" s="25">
        <v>1.27</v>
      </c>
      <c r="AD70" s="25">
        <v>1.27</v>
      </c>
      <c r="AE70" s="25">
        <v>1.27</v>
      </c>
      <c r="AF70" s="25">
        <v>1.27</v>
      </c>
      <c r="AG70" s="25">
        <v>1.27</v>
      </c>
      <c r="AH70" s="25">
        <v>1.27</v>
      </c>
      <c r="AI70" s="25">
        <v>1.27</v>
      </c>
      <c r="AJ70" s="25">
        <v>1.27</v>
      </c>
      <c r="AK70" s="25">
        <v>1.27</v>
      </c>
      <c r="AL70" s="25">
        <v>1.27</v>
      </c>
      <c r="AM70" s="25">
        <v>1.27</v>
      </c>
      <c r="AN70" s="25">
        <v>1.27</v>
      </c>
      <c r="AO70" s="25">
        <v>1.27</v>
      </c>
      <c r="AP70" s="25">
        <v>1.27</v>
      </c>
      <c r="AQ70" s="25">
        <v>1.27</v>
      </c>
      <c r="AR70" s="25">
        <v>1.27</v>
      </c>
      <c r="AS70" s="25">
        <v>1.27</v>
      </c>
      <c r="AT70" s="25">
        <v>1.27</v>
      </c>
      <c r="AU70" s="25">
        <v>1.27</v>
      </c>
      <c r="AV70" s="25">
        <v>1.27</v>
      </c>
      <c r="AW70" s="25">
        <v>1.27</v>
      </c>
      <c r="AX70" s="25">
        <v>1.27</v>
      </c>
      <c r="AY70" s="25">
        <v>1.27</v>
      </c>
      <c r="AZ70" s="25">
        <v>1.27</v>
      </c>
      <c r="BA70" s="25">
        <v>1.27</v>
      </c>
      <c r="BB70" s="25">
        <v>1.27</v>
      </c>
      <c r="BC70" s="25">
        <v>1.27</v>
      </c>
      <c r="BD70" s="25">
        <v>1.27</v>
      </c>
      <c r="BE70" s="25">
        <v>1.27</v>
      </c>
      <c r="BF70" s="25">
        <v>1.27</v>
      </c>
      <c r="BG70" s="25">
        <v>1.27</v>
      </c>
      <c r="BH70" s="25">
        <v>1.27</v>
      </c>
      <c r="BI70" s="25">
        <v>1.27</v>
      </c>
      <c r="BJ70" s="25">
        <v>1.27</v>
      </c>
      <c r="BK70" s="25">
        <v>1.27</v>
      </c>
      <c r="BL70" s="25">
        <v>1.27</v>
      </c>
      <c r="BM70" s="25">
        <v>1.27</v>
      </c>
      <c r="BN70" s="25">
        <v>1.27</v>
      </c>
      <c r="BO70" s="25">
        <v>1.27</v>
      </c>
      <c r="BP70" s="25">
        <v>1.27</v>
      </c>
      <c r="BQ70" s="25">
        <v>1.27</v>
      </c>
      <c r="BR70" s="25">
        <v>1.27</v>
      </c>
      <c r="BS70" s="25">
        <v>1.27</v>
      </c>
      <c r="BT70" s="25">
        <v>1.27</v>
      </c>
      <c r="BU70" s="25">
        <v>1.27</v>
      </c>
      <c r="BV70" s="25">
        <v>1.27</v>
      </c>
      <c r="BW70" s="25">
        <v>1.27</v>
      </c>
      <c r="BX70" s="25">
        <v>1.27</v>
      </c>
      <c r="BY70" s="25">
        <v>1.27</v>
      </c>
      <c r="BZ70" s="25">
        <v>1.27</v>
      </c>
      <c r="CA70" s="25">
        <v>0.73499999999999999</v>
      </c>
      <c r="CB70" s="264">
        <v>1.27</v>
      </c>
      <c r="CC70" s="114">
        <v>0.73499999999999999</v>
      </c>
      <c r="CD70" s="114">
        <v>0.73499999999999999</v>
      </c>
      <c r="CE70" s="264">
        <v>1.27</v>
      </c>
      <c r="CF70" s="339"/>
      <c r="CG70" s="339"/>
      <c r="CH70" s="339"/>
      <c r="CI70" s="357"/>
      <c r="CJ70" s="369"/>
      <c r="CK70" s="207"/>
      <c r="CL70" s="207"/>
    </row>
    <row customFormat="1" r="71" s="158" spans="1:90" x14ac:dyDescent="0.25">
      <c r="C71" s="30" t="s">
        <v>1172</v>
      </c>
      <c r="D71" s="29" t="s">
        <v>1154</v>
      </c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7"/>
      <c r="BV71" s="117"/>
      <c r="BW71" s="117"/>
      <c r="BX71" s="117"/>
      <c r="BY71" s="117"/>
      <c r="BZ71" s="117"/>
      <c r="CA71" s="119" t="s">
        <v>1036</v>
      </c>
      <c r="CB71" s="110"/>
      <c r="CC71" s="119" t="s">
        <v>1036</v>
      </c>
      <c r="CD71" s="119" t="s">
        <v>1036</v>
      </c>
      <c r="CE71" s="110"/>
      <c r="CF71" s="336"/>
      <c r="CG71" s="336"/>
      <c r="CH71" s="336"/>
      <c r="CI71" s="346"/>
      <c r="CJ71" s="366"/>
      <c r="CK71" s="194"/>
      <c r="CL71" s="194"/>
    </row>
    <row r="72" spans="1:90" x14ac:dyDescent="0.25">
      <c r="C72" s="30" t="s">
        <v>969</v>
      </c>
      <c r="D72" s="29" t="s">
        <v>939</v>
      </c>
      <c r="E72" s="28" t="s">
        <v>47</v>
      </c>
      <c r="F72" s="28" t="s">
        <v>47</v>
      </c>
      <c r="G72" s="28" t="s">
        <v>47</v>
      </c>
      <c r="H72" s="28" t="s">
        <v>47</v>
      </c>
      <c r="I72" s="28" t="s">
        <v>47</v>
      </c>
      <c r="J72" s="28" t="s">
        <v>47</v>
      </c>
      <c r="K72" s="28" t="s">
        <v>47</v>
      </c>
      <c r="L72" s="28" t="s">
        <v>47</v>
      </c>
      <c r="M72" s="28" t="s">
        <v>47</v>
      </c>
      <c r="N72" s="28" t="s">
        <v>47</v>
      </c>
      <c r="O72" s="28" t="s">
        <v>47</v>
      </c>
      <c r="P72" s="28" t="s">
        <v>47</v>
      </c>
      <c r="Q72" s="28" t="s">
        <v>47</v>
      </c>
      <c r="R72" s="28" t="s">
        <v>47</v>
      </c>
      <c r="S72" s="28" t="s">
        <v>47</v>
      </c>
      <c r="T72" s="28" t="s">
        <v>47</v>
      </c>
      <c r="U72" s="28" t="s">
        <v>47</v>
      </c>
      <c r="V72" s="28" t="s">
        <v>47</v>
      </c>
      <c r="W72" s="28" t="s">
        <v>47</v>
      </c>
      <c r="X72" s="28" t="s">
        <v>47</v>
      </c>
      <c r="Y72" s="28" t="s">
        <v>47</v>
      </c>
      <c r="Z72" s="28" t="s">
        <v>47</v>
      </c>
      <c r="AA72" s="28" t="s">
        <v>47</v>
      </c>
      <c r="AB72" s="28" t="s">
        <v>47</v>
      </c>
      <c r="AC72" s="28" t="s">
        <v>47</v>
      </c>
      <c r="AD72" s="28" t="s">
        <v>47</v>
      </c>
      <c r="AE72" s="28" t="s">
        <v>47</v>
      </c>
      <c r="AF72" s="28" t="s">
        <v>47</v>
      </c>
      <c r="AG72" s="28" t="s">
        <v>47</v>
      </c>
      <c r="AH72" s="28" t="s">
        <v>47</v>
      </c>
      <c r="AI72" s="28" t="s">
        <v>47</v>
      </c>
      <c r="AJ72" s="28" t="s">
        <v>47</v>
      </c>
      <c r="AK72" s="28" t="s">
        <v>47</v>
      </c>
      <c r="AL72" s="28" t="s">
        <v>47</v>
      </c>
      <c r="AM72" s="28" t="s">
        <v>47</v>
      </c>
      <c r="AN72" s="28" t="s">
        <v>47</v>
      </c>
      <c r="AO72" s="28" t="s">
        <v>47</v>
      </c>
      <c r="AP72" s="28" t="s">
        <v>47</v>
      </c>
      <c r="AQ72" s="28" t="s">
        <v>47</v>
      </c>
      <c r="AR72" s="28" t="s">
        <v>47</v>
      </c>
      <c r="AS72" s="28" t="s">
        <v>47</v>
      </c>
      <c r="AT72" s="28" t="s">
        <v>47</v>
      </c>
      <c r="AU72" s="28" t="s">
        <v>47</v>
      </c>
      <c r="AV72" s="28" t="s">
        <v>47</v>
      </c>
      <c r="AW72" s="28" t="s">
        <v>47</v>
      </c>
      <c r="AX72" s="28" t="s">
        <v>47</v>
      </c>
      <c r="AY72" s="28" t="s">
        <v>47</v>
      </c>
      <c r="AZ72" s="28" t="s">
        <v>47</v>
      </c>
      <c r="BA72" s="28" t="s">
        <v>47</v>
      </c>
      <c r="BB72" s="28" t="s">
        <v>47</v>
      </c>
      <c r="BC72" s="28" t="s">
        <v>47</v>
      </c>
      <c r="BD72" s="28" t="s">
        <v>47</v>
      </c>
      <c r="BE72" s="28" t="s">
        <v>47</v>
      </c>
      <c r="BF72" s="28" t="s">
        <v>47</v>
      </c>
      <c r="BG72" s="28" t="s">
        <v>47</v>
      </c>
      <c r="BH72" s="28" t="s">
        <v>47</v>
      </c>
      <c r="BI72" s="28" t="s">
        <v>47</v>
      </c>
      <c r="BJ72" s="28" t="s">
        <v>47</v>
      </c>
      <c r="BK72" s="28" t="s">
        <v>47</v>
      </c>
      <c r="BL72" s="28" t="s">
        <v>47</v>
      </c>
      <c r="BM72" s="28" t="s">
        <v>47</v>
      </c>
      <c r="BN72" s="28" t="s">
        <v>47</v>
      </c>
      <c r="BO72" s="28" t="s">
        <v>47</v>
      </c>
      <c r="BP72" s="28" t="s">
        <v>47</v>
      </c>
      <c r="BQ72" s="28" t="s">
        <v>47</v>
      </c>
      <c r="BR72" s="28" t="s">
        <v>47</v>
      </c>
      <c r="BS72" s="28" t="s">
        <v>47</v>
      </c>
      <c r="BT72" s="28" t="s">
        <v>47</v>
      </c>
      <c r="BU72" s="28" t="s">
        <v>47</v>
      </c>
      <c r="BV72" s="28" t="s">
        <v>47</v>
      </c>
      <c r="BW72" s="28" t="s">
        <v>47</v>
      </c>
      <c r="BX72" s="28" t="s">
        <v>47</v>
      </c>
      <c r="BY72" s="28" t="s">
        <v>47</v>
      </c>
      <c r="BZ72" s="28" t="s">
        <v>47</v>
      </c>
      <c r="CA72" s="115" t="s">
        <v>1174</v>
      </c>
      <c r="CB72" s="262" t="s">
        <v>47</v>
      </c>
      <c r="CC72" s="115" t="s">
        <v>1174</v>
      </c>
      <c r="CD72" s="115" t="s">
        <v>1174</v>
      </c>
      <c r="CE72" s="262" t="s">
        <v>47</v>
      </c>
      <c r="CF72" s="337"/>
      <c r="CG72" s="337"/>
      <c r="CH72" s="337"/>
      <c r="CI72" s="346"/>
      <c r="CJ72" s="366"/>
      <c r="CK72" s="194"/>
      <c r="CL72" s="194"/>
    </row>
    <row r="73" spans="1:90" x14ac:dyDescent="0.25">
      <c r="C73" s="30" t="s">
        <v>970</v>
      </c>
      <c r="D73" s="29" t="s">
        <v>944</v>
      </c>
      <c r="E73" s="31">
        <v>41067</v>
      </c>
      <c r="F73" s="31">
        <v>41067</v>
      </c>
      <c r="G73" s="31">
        <v>41067</v>
      </c>
      <c r="H73" s="31">
        <v>41067</v>
      </c>
      <c r="I73" s="31">
        <v>41067</v>
      </c>
      <c r="J73" s="31">
        <v>41067</v>
      </c>
      <c r="K73" s="31">
        <v>41067</v>
      </c>
      <c r="L73" s="31">
        <v>41067</v>
      </c>
      <c r="M73" s="31">
        <v>41067</v>
      </c>
      <c r="N73" s="31">
        <v>41067</v>
      </c>
      <c r="O73" s="31">
        <v>41067</v>
      </c>
      <c r="P73" s="31">
        <v>41067</v>
      </c>
      <c r="Q73" s="31">
        <v>41067</v>
      </c>
      <c r="R73" s="31">
        <v>41067</v>
      </c>
      <c r="S73" s="31">
        <v>41067</v>
      </c>
      <c r="T73" s="31">
        <v>41067</v>
      </c>
      <c r="U73" s="31">
        <v>41067</v>
      </c>
      <c r="V73" s="31">
        <v>41067</v>
      </c>
      <c r="W73" s="31">
        <v>41067</v>
      </c>
      <c r="X73" s="31">
        <v>41067</v>
      </c>
      <c r="Y73" s="31">
        <v>41067</v>
      </c>
      <c r="Z73" s="31">
        <v>41067</v>
      </c>
      <c r="AA73" s="31">
        <v>41067</v>
      </c>
      <c r="AB73" s="31">
        <v>41067</v>
      </c>
      <c r="AC73" s="31">
        <v>41067</v>
      </c>
      <c r="AD73" s="31">
        <v>41067</v>
      </c>
      <c r="AE73" s="31">
        <v>41067</v>
      </c>
      <c r="AF73" s="31">
        <v>41067</v>
      </c>
      <c r="AG73" s="31">
        <v>41067</v>
      </c>
      <c r="AH73" s="31">
        <v>41067</v>
      </c>
      <c r="AI73" s="31">
        <v>41067</v>
      </c>
      <c r="AJ73" s="31">
        <v>41067</v>
      </c>
      <c r="AK73" s="31">
        <v>41067</v>
      </c>
      <c r="AL73" s="31">
        <v>41067</v>
      </c>
      <c r="AM73" s="31">
        <v>41067</v>
      </c>
      <c r="AN73" s="31">
        <v>41067</v>
      </c>
      <c r="AO73" s="31">
        <v>41067</v>
      </c>
      <c r="AP73" s="31">
        <v>41067</v>
      </c>
      <c r="AQ73" s="31">
        <v>41067</v>
      </c>
      <c r="AR73" s="31">
        <v>41067</v>
      </c>
      <c r="AS73" s="31">
        <v>41067</v>
      </c>
      <c r="AT73" s="31">
        <v>41067</v>
      </c>
      <c r="AU73" s="31">
        <v>41067</v>
      </c>
      <c r="AV73" s="31">
        <v>41067</v>
      </c>
      <c r="AW73" s="31">
        <v>41067</v>
      </c>
      <c r="AX73" s="31">
        <v>41067</v>
      </c>
      <c r="AY73" s="31">
        <v>41067</v>
      </c>
      <c r="AZ73" s="31">
        <v>41067</v>
      </c>
      <c r="BA73" s="31">
        <v>41067</v>
      </c>
      <c r="BB73" s="31">
        <v>41067</v>
      </c>
      <c r="BC73" s="31">
        <v>41067</v>
      </c>
      <c r="BD73" s="31">
        <v>41067</v>
      </c>
      <c r="BE73" s="31">
        <v>41067</v>
      </c>
      <c r="BF73" s="31">
        <v>41067</v>
      </c>
      <c r="BG73" s="31">
        <v>41067</v>
      </c>
      <c r="BH73" s="31">
        <v>41067</v>
      </c>
      <c r="BI73" s="31">
        <v>41067</v>
      </c>
      <c r="BJ73" s="31">
        <v>41067</v>
      </c>
      <c r="BK73" s="31">
        <v>41067</v>
      </c>
      <c r="BL73" s="31">
        <v>41067</v>
      </c>
      <c r="BM73" s="31">
        <v>41067</v>
      </c>
      <c r="BN73" s="31">
        <v>41067</v>
      </c>
      <c r="BO73" s="31">
        <v>41067</v>
      </c>
      <c r="BP73" s="31">
        <v>41067</v>
      </c>
      <c r="BQ73" s="31">
        <v>41067</v>
      </c>
      <c r="BR73" s="31">
        <v>41067</v>
      </c>
      <c r="BS73" s="31">
        <v>41067</v>
      </c>
      <c r="BT73" s="31">
        <v>41067</v>
      </c>
      <c r="BU73" s="31">
        <v>41067</v>
      </c>
      <c r="BV73" s="31">
        <v>41067</v>
      </c>
      <c r="BW73" s="31">
        <v>41067</v>
      </c>
      <c r="BX73" s="31">
        <v>41067</v>
      </c>
      <c r="BY73" s="31">
        <v>41067</v>
      </c>
      <c r="BZ73" s="31">
        <v>41067</v>
      </c>
      <c r="CA73" s="116">
        <v>43334</v>
      </c>
      <c r="CB73" s="263">
        <v>41067</v>
      </c>
      <c r="CC73" s="116">
        <v>43334</v>
      </c>
      <c r="CD73" s="116">
        <v>43334</v>
      </c>
      <c r="CE73" s="263">
        <v>41067</v>
      </c>
      <c r="CF73" s="338"/>
      <c r="CG73" s="338"/>
      <c r="CH73" s="338"/>
      <c r="CI73" s="358"/>
      <c r="CJ73" s="370"/>
      <c r="CK73" s="201"/>
      <c r="CL73" s="201"/>
    </row>
    <row r="74" spans="1:90" x14ac:dyDescent="0.25">
      <c r="C74" s="27" t="s">
        <v>971</v>
      </c>
      <c r="D74" s="26" t="s">
        <v>943</v>
      </c>
      <c r="E74" s="25">
        <v>1.08</v>
      </c>
      <c r="F74" s="25">
        <v>1.08</v>
      </c>
      <c r="G74" s="25">
        <v>1.08</v>
      </c>
      <c r="H74" s="25">
        <v>1.08</v>
      </c>
      <c r="I74" s="25">
        <v>1.08</v>
      </c>
      <c r="J74" s="25">
        <v>1.08</v>
      </c>
      <c r="K74" s="25">
        <v>1.08</v>
      </c>
      <c r="L74" s="25">
        <v>1.08</v>
      </c>
      <c r="M74" s="25">
        <v>1.08</v>
      </c>
      <c r="N74" s="25">
        <v>1.08</v>
      </c>
      <c r="O74" s="25">
        <v>1.08</v>
      </c>
      <c r="P74" s="25">
        <v>1.08</v>
      </c>
      <c r="Q74" s="25">
        <v>1.08</v>
      </c>
      <c r="R74" s="25">
        <v>1.08</v>
      </c>
      <c r="S74" s="25">
        <v>1.08</v>
      </c>
      <c r="T74" s="25">
        <v>1.08</v>
      </c>
      <c r="U74" s="25">
        <v>1.08</v>
      </c>
      <c r="V74" s="25">
        <v>1.08</v>
      </c>
      <c r="W74" s="25">
        <v>1.08</v>
      </c>
      <c r="X74" s="25">
        <v>1.08</v>
      </c>
      <c r="Y74" s="25">
        <v>1.08</v>
      </c>
      <c r="Z74" s="25">
        <v>1.08</v>
      </c>
      <c r="AA74" s="25">
        <v>1.08</v>
      </c>
      <c r="AB74" s="25">
        <v>1.08</v>
      </c>
      <c r="AC74" s="25">
        <v>1.08</v>
      </c>
      <c r="AD74" s="25">
        <v>1.08</v>
      </c>
      <c r="AE74" s="25">
        <v>1.08</v>
      </c>
      <c r="AF74" s="25">
        <v>1.08</v>
      </c>
      <c r="AG74" s="25">
        <v>1.08</v>
      </c>
      <c r="AH74" s="25">
        <v>1.08</v>
      </c>
      <c r="AI74" s="25">
        <v>1.08</v>
      </c>
      <c r="AJ74" s="25">
        <v>1.08</v>
      </c>
      <c r="AK74" s="25">
        <v>1.08</v>
      </c>
      <c r="AL74" s="25">
        <v>1.08</v>
      </c>
      <c r="AM74" s="25">
        <v>1.08</v>
      </c>
      <c r="AN74" s="25">
        <v>1.08</v>
      </c>
      <c r="AO74" s="25">
        <v>1.08</v>
      </c>
      <c r="AP74" s="25">
        <v>1.08</v>
      </c>
      <c r="AQ74" s="25">
        <v>1.08</v>
      </c>
      <c r="AR74" s="25">
        <v>1.08</v>
      </c>
      <c r="AS74" s="25">
        <v>1.08</v>
      </c>
      <c r="AT74" s="25">
        <v>1.08</v>
      </c>
      <c r="AU74" s="25">
        <v>1.08</v>
      </c>
      <c r="AV74" s="25">
        <v>1.08</v>
      </c>
      <c r="AW74" s="25">
        <v>1.08</v>
      </c>
      <c r="AX74" s="25">
        <v>1.08</v>
      </c>
      <c r="AY74" s="25">
        <v>1.08</v>
      </c>
      <c r="AZ74" s="25">
        <v>1.08</v>
      </c>
      <c r="BA74" s="25">
        <v>1.08</v>
      </c>
      <c r="BB74" s="25">
        <v>1.08</v>
      </c>
      <c r="BC74" s="25">
        <v>1.08</v>
      </c>
      <c r="BD74" s="25">
        <v>1.08</v>
      </c>
      <c r="BE74" s="25">
        <v>1.08</v>
      </c>
      <c r="BF74" s="25">
        <v>1.08</v>
      </c>
      <c r="BG74" s="25">
        <v>1.08</v>
      </c>
      <c r="BH74" s="25">
        <v>1.08</v>
      </c>
      <c r="BI74" s="25">
        <v>1.08</v>
      </c>
      <c r="BJ74" s="25">
        <v>1.08</v>
      </c>
      <c r="BK74" s="25">
        <v>1.08</v>
      </c>
      <c r="BL74" s="25">
        <v>1.08</v>
      </c>
      <c r="BM74" s="25">
        <v>1.08</v>
      </c>
      <c r="BN74" s="25">
        <v>1.08</v>
      </c>
      <c r="BO74" s="25">
        <v>1.08</v>
      </c>
      <c r="BP74" s="25">
        <v>1.08</v>
      </c>
      <c r="BQ74" s="25">
        <v>1.08</v>
      </c>
      <c r="BR74" s="25">
        <v>1.08</v>
      </c>
      <c r="BS74" s="25">
        <v>1.08</v>
      </c>
      <c r="BT74" s="25">
        <v>1.08</v>
      </c>
      <c r="BU74" s="25">
        <v>1.08</v>
      </c>
      <c r="BV74" s="25">
        <v>1.08</v>
      </c>
      <c r="BW74" s="25">
        <v>1.08</v>
      </c>
      <c r="BX74" s="25">
        <v>1.08</v>
      </c>
      <c r="BY74" s="25">
        <v>1.08</v>
      </c>
      <c r="BZ74" s="25">
        <v>1.08</v>
      </c>
      <c r="CA74" s="114">
        <v>4.7919999999999998</v>
      </c>
      <c r="CB74" s="264">
        <v>1.08</v>
      </c>
      <c r="CC74" s="114">
        <v>4.7919999999999998</v>
      </c>
      <c r="CD74" s="114">
        <v>4.7919999999999998</v>
      </c>
      <c r="CE74" s="264">
        <v>1.08</v>
      </c>
      <c r="CF74" s="339"/>
      <c r="CG74" s="339"/>
      <c r="CH74" s="339"/>
      <c r="CI74" s="357"/>
      <c r="CJ74" s="369"/>
      <c r="CK74" s="207"/>
      <c r="CL74" s="207"/>
    </row>
    <row customFormat="1" r="75" s="158" spans="1:90" x14ac:dyDescent="0.25">
      <c r="C75" s="30" t="s">
        <v>1173</v>
      </c>
      <c r="D75" s="29" t="s">
        <v>1157</v>
      </c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1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117"/>
      <c r="BS75" s="117"/>
      <c r="BT75" s="117"/>
      <c r="BU75" s="117"/>
      <c r="BV75" s="117"/>
      <c r="BW75" s="117"/>
      <c r="BX75" s="117"/>
      <c r="BY75" s="117"/>
      <c r="BZ75" s="117"/>
      <c r="CA75" s="119" t="s">
        <v>1175</v>
      </c>
      <c r="CB75" s="110"/>
      <c r="CC75" s="119" t="s">
        <v>1175</v>
      </c>
      <c r="CD75" s="119" t="s">
        <v>1175</v>
      </c>
      <c r="CE75" s="110"/>
      <c r="CF75" s="336"/>
      <c r="CG75" s="336"/>
      <c r="CH75" s="336"/>
      <c r="CI75" s="346"/>
      <c r="CJ75" s="366"/>
      <c r="CK75" s="194"/>
      <c r="CL75" s="194"/>
    </row>
    <row r="76" spans="1:90" x14ac:dyDescent="0.25">
      <c r="C76" s="30" t="s">
        <v>972</v>
      </c>
      <c r="D76" s="29" t="s">
        <v>940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Z76" s="115"/>
      <c r="CA76" s="115" t="s">
        <v>1008</v>
      </c>
      <c r="CB76" s="262"/>
      <c r="CC76" s="115" t="s">
        <v>1008</v>
      </c>
      <c r="CD76" s="115" t="s">
        <v>1008</v>
      </c>
      <c r="CE76" s="262"/>
      <c r="CF76" s="337"/>
      <c r="CG76" s="337"/>
      <c r="CH76" s="337"/>
      <c r="CI76" s="346"/>
      <c r="CJ76" s="366"/>
      <c r="CK76" s="194"/>
      <c r="CL76" s="194"/>
    </row>
    <row r="77" spans="1:90" x14ac:dyDescent="0.25">
      <c r="C77" s="30" t="s">
        <v>973</v>
      </c>
      <c r="D77" s="29" t="s">
        <v>946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Z77" s="116"/>
      <c r="CA77" s="116">
        <v>42535</v>
      </c>
      <c r="CB77" s="263"/>
      <c r="CC77" s="116">
        <v>42535</v>
      </c>
      <c r="CD77" s="116">
        <v>42535</v>
      </c>
      <c r="CE77" s="263"/>
      <c r="CF77" s="338"/>
      <c r="CG77" s="338"/>
      <c r="CH77" s="338"/>
      <c r="CI77" s="358"/>
      <c r="CJ77" s="370"/>
      <c r="CK77" s="201"/>
      <c r="CL77" s="201"/>
    </row>
    <row r="78" spans="1:90" x14ac:dyDescent="0.25">
      <c r="C78" s="27" t="s">
        <v>974</v>
      </c>
      <c r="D78" s="26" t="s">
        <v>942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Z78" s="114"/>
      <c r="CA78" s="114">
        <v>4.4400000000000004</v>
      </c>
      <c r="CB78" s="264"/>
      <c r="CC78" s="114">
        <v>4.4400000000000004</v>
      </c>
      <c r="CD78" s="114">
        <v>4.4400000000000004</v>
      </c>
      <c r="CE78" s="264"/>
      <c r="CF78" s="339"/>
      <c r="CG78" s="339"/>
      <c r="CH78" s="339"/>
      <c r="CI78" s="357"/>
      <c r="CJ78" s="369"/>
      <c r="CK78" s="207"/>
      <c r="CL78" s="207"/>
    </row>
    <row r="79" spans="1:90" x14ac:dyDescent="0.25">
      <c r="C79" s="30" t="s">
        <v>1176</v>
      </c>
      <c r="D79" s="29" t="s">
        <v>1160</v>
      </c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117"/>
      <c r="BS79" s="117"/>
      <c r="BT79" s="117"/>
      <c r="BU79" s="117"/>
      <c r="BV79" s="117"/>
      <c r="BW79" s="117"/>
      <c r="BX79" s="117"/>
      <c r="BY79" s="117"/>
      <c r="BZ79" s="117"/>
      <c r="CA79" s="119" t="s">
        <v>1175</v>
      </c>
      <c r="CB79" s="110"/>
      <c r="CC79" s="119" t="s">
        <v>1175</v>
      </c>
      <c r="CD79" s="119" t="s">
        <v>1175</v>
      </c>
      <c r="CE79" s="110"/>
      <c r="CF79" s="336"/>
      <c r="CG79" s="336"/>
      <c r="CH79" s="336"/>
      <c r="CI79" s="346"/>
      <c r="CJ79" s="366"/>
      <c r="CK79" s="194"/>
      <c r="CL79" s="194"/>
    </row>
    <row r="80" spans="1:90" x14ac:dyDescent="0.25">
      <c r="C80" s="30" t="s">
        <v>1177</v>
      </c>
      <c r="D80" s="29" t="s">
        <v>1125</v>
      </c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BO80" s="115"/>
      <c r="BP80" s="115"/>
      <c r="BQ80" s="115"/>
      <c r="BR80" s="115"/>
      <c r="BS80" s="115"/>
      <c r="BT80" s="115"/>
      <c r="BU80" s="115"/>
      <c r="BV80" s="115"/>
      <c r="BW80" s="158"/>
      <c r="BX80" s="158"/>
      <c r="BY80" s="158"/>
      <c r="BZ80" s="115"/>
      <c r="CA80" s="115" t="s">
        <v>1009</v>
      </c>
      <c r="CB80" s="262"/>
      <c r="CC80" s="115" t="s">
        <v>1009</v>
      </c>
      <c r="CD80" s="115" t="s">
        <v>1009</v>
      </c>
      <c r="CE80" s="262"/>
      <c r="CF80" s="337"/>
      <c r="CG80" s="337"/>
      <c r="CH80" s="337"/>
      <c r="CI80" s="346"/>
      <c r="CJ80" s="366"/>
      <c r="CK80" s="194"/>
      <c r="CL80" s="194"/>
    </row>
    <row r="81" spans="3:90" x14ac:dyDescent="0.25">
      <c r="C81" s="30" t="s">
        <v>1178</v>
      </c>
      <c r="D81" s="29" t="s">
        <v>1126</v>
      </c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58"/>
      <c r="BX81" s="158"/>
      <c r="BY81" s="158"/>
      <c r="BZ81" s="116"/>
      <c r="CA81" s="116">
        <v>43334</v>
      </c>
      <c r="CB81" s="263"/>
      <c r="CC81" s="116">
        <v>43334</v>
      </c>
      <c r="CD81" s="116">
        <v>43334</v>
      </c>
      <c r="CE81" s="263"/>
      <c r="CF81" s="338"/>
      <c r="CG81" s="338"/>
      <c r="CH81" s="338"/>
      <c r="CI81" s="358"/>
      <c r="CJ81" s="370"/>
      <c r="CK81" s="201"/>
      <c r="CL81" s="201"/>
    </row>
    <row r="82" spans="3:90" x14ac:dyDescent="0.25">
      <c r="C82" s="27" t="s">
        <v>1179</v>
      </c>
      <c r="D82" s="26" t="s">
        <v>1127</v>
      </c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  <c r="AZ82" s="114"/>
      <c r="BA82" s="114"/>
      <c r="BB82" s="114"/>
      <c r="BC82" s="114"/>
      <c r="BD82" s="114"/>
      <c r="BE82" s="114"/>
      <c r="BF82" s="114"/>
      <c r="BG82" s="114"/>
      <c r="BH82" s="114"/>
      <c r="BI82" s="114"/>
      <c r="BJ82" s="114"/>
      <c r="BK82" s="114"/>
      <c r="BL82" s="114"/>
      <c r="BM82" s="114"/>
      <c r="BN82" s="114"/>
      <c r="BO82" s="114"/>
      <c r="BP82" s="114"/>
      <c r="BQ82" s="114"/>
      <c r="BR82" s="114"/>
      <c r="BS82" s="114"/>
      <c r="BT82" s="114"/>
      <c r="BU82" s="114"/>
      <c r="BV82" s="114"/>
      <c r="BW82" s="158"/>
      <c r="BX82" s="158"/>
      <c r="BY82" s="158"/>
      <c r="BZ82" s="114"/>
      <c r="CA82" s="114">
        <v>2.032</v>
      </c>
      <c r="CB82" s="264"/>
      <c r="CC82" s="114">
        <v>2.032</v>
      </c>
      <c r="CD82" s="114">
        <v>2.032</v>
      </c>
      <c r="CE82" s="264"/>
      <c r="CF82" s="339"/>
      <c r="CG82" s="339"/>
      <c r="CH82" s="339"/>
      <c r="CI82" s="357"/>
      <c r="CJ82" s="369"/>
      <c r="CK82" s="207"/>
      <c r="CL82" s="207"/>
    </row>
    <row r="83" spans="3:90" x14ac:dyDescent="0.25">
      <c r="C83" s="30" t="s">
        <v>1180</v>
      </c>
      <c r="D83" s="29" t="s">
        <v>1162</v>
      </c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  <c r="BE83" s="117"/>
      <c r="BF83" s="117"/>
      <c r="BG83" s="11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117"/>
      <c r="BS83" s="117"/>
      <c r="BT83" s="117"/>
      <c r="BU83" s="117"/>
      <c r="BV83" s="117"/>
      <c r="BW83" s="117"/>
      <c r="BX83" s="117"/>
      <c r="BY83" s="117"/>
      <c r="BZ83" s="117"/>
      <c r="CA83" s="119" t="s">
        <v>1036</v>
      </c>
      <c r="CB83" s="110"/>
      <c r="CC83" s="119" t="s">
        <v>1036</v>
      </c>
      <c r="CD83" s="119" t="s">
        <v>1036</v>
      </c>
      <c r="CE83" s="110"/>
      <c r="CF83" s="336"/>
      <c r="CG83" s="336"/>
      <c r="CH83" s="336"/>
      <c r="CI83" s="346"/>
      <c r="CJ83" s="366"/>
      <c r="CK83" s="194"/>
      <c r="CL83" s="194"/>
    </row>
    <row r="84" spans="3:90" x14ac:dyDescent="0.25">
      <c r="C84" s="30" t="s">
        <v>1181</v>
      </c>
      <c r="D84" s="29" t="s">
        <v>1128</v>
      </c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58"/>
      <c r="BX84" s="158"/>
      <c r="BY84" s="158"/>
      <c r="BZ84" s="115"/>
      <c r="CA84" s="115" t="s">
        <v>1010</v>
      </c>
      <c r="CB84" s="262"/>
      <c r="CC84" s="115" t="s">
        <v>1010</v>
      </c>
      <c r="CD84" s="115" t="s">
        <v>1010</v>
      </c>
      <c r="CE84" s="262"/>
      <c r="CF84" s="337"/>
      <c r="CG84" s="337"/>
      <c r="CH84" s="337"/>
      <c r="CI84" s="346"/>
      <c r="CJ84" s="366"/>
      <c r="CK84" s="194"/>
      <c r="CL84" s="194"/>
    </row>
    <row r="85" spans="3:90" x14ac:dyDescent="0.25">
      <c r="C85" s="30" t="s">
        <v>1182</v>
      </c>
      <c r="D85" s="29" t="s">
        <v>1130</v>
      </c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58"/>
      <c r="BX85" s="158"/>
      <c r="BY85" s="158"/>
      <c r="BZ85" s="116"/>
      <c r="CA85" s="116">
        <v>41929</v>
      </c>
      <c r="CB85" s="263"/>
      <c r="CC85" s="116">
        <v>41929</v>
      </c>
      <c r="CD85" s="116">
        <v>41929</v>
      </c>
      <c r="CE85" s="263"/>
      <c r="CF85" s="338"/>
      <c r="CG85" s="338"/>
      <c r="CH85" s="338"/>
      <c r="CI85" s="358"/>
      <c r="CJ85" s="370"/>
      <c r="CK85" s="201"/>
      <c r="CL85" s="201"/>
    </row>
    <row r="86" spans="3:90" x14ac:dyDescent="0.25">
      <c r="C86" s="27" t="s">
        <v>1183</v>
      </c>
      <c r="D86" s="26" t="s">
        <v>1131</v>
      </c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4"/>
      <c r="AZ86" s="114"/>
      <c r="BA86" s="114"/>
      <c r="BB86" s="114"/>
      <c r="BC86" s="114"/>
      <c r="BD86" s="114"/>
      <c r="BE86" s="114"/>
      <c r="BF86" s="114"/>
      <c r="BG86" s="114"/>
      <c r="BH86" s="114"/>
      <c r="BI86" s="114"/>
      <c r="BJ86" s="114"/>
      <c r="BK86" s="114"/>
      <c r="BL86" s="114"/>
      <c r="BM86" s="114"/>
      <c r="BN86" s="114"/>
      <c r="BO86" s="114"/>
      <c r="BP86" s="114"/>
      <c r="BQ86" s="114"/>
      <c r="BR86" s="114"/>
      <c r="BS86" s="114"/>
      <c r="BT86" s="114"/>
      <c r="BU86" s="114"/>
      <c r="BV86" s="114"/>
      <c r="BW86" s="158"/>
      <c r="BX86" s="158"/>
      <c r="BY86" s="158"/>
      <c r="BZ86" s="114"/>
      <c r="CA86" s="114">
        <v>4.9829999999999997</v>
      </c>
      <c r="CB86" s="264"/>
      <c r="CC86" s="114">
        <v>4.9829999999999997</v>
      </c>
      <c r="CD86" s="114">
        <v>4.9829999999999997</v>
      </c>
      <c r="CE86" s="264"/>
      <c r="CF86" s="339"/>
      <c r="CG86" s="339"/>
      <c r="CH86" s="339"/>
      <c r="CI86" s="357"/>
      <c r="CJ86" s="369"/>
      <c r="CK86" s="207"/>
      <c r="CL86" s="207"/>
    </row>
    <row r="87" spans="3:90" x14ac:dyDescent="0.25">
      <c r="C87" s="30" t="s">
        <v>1184</v>
      </c>
      <c r="D87" s="29" t="s">
        <v>1163</v>
      </c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9" t="s">
        <v>1036</v>
      </c>
      <c r="CB87" s="110"/>
      <c r="CC87" s="119" t="s">
        <v>1036</v>
      </c>
      <c r="CD87" s="119" t="s">
        <v>1036</v>
      </c>
      <c r="CE87" s="110"/>
      <c r="CF87" s="336"/>
      <c r="CG87" s="336"/>
      <c r="CH87" s="336"/>
      <c r="CI87" s="346"/>
      <c r="CJ87" s="366"/>
      <c r="CK87" s="194"/>
      <c r="CL87" s="194"/>
    </row>
    <row customFormat="1" r="88" s="158" spans="3:90" x14ac:dyDescent="0.25">
      <c r="C88" s="30" t="s">
        <v>1185</v>
      </c>
      <c r="D88" s="29" t="s">
        <v>1132</v>
      </c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BO88" s="115"/>
      <c r="BP88" s="115"/>
      <c r="BQ88" s="115"/>
      <c r="BR88" s="115"/>
      <c r="BS88" s="115"/>
      <c r="BT88" s="115"/>
      <c r="BU88" s="115"/>
      <c r="BV88" s="115"/>
      <c r="BZ88" s="115"/>
      <c r="CA88" s="115" t="s">
        <v>1188</v>
      </c>
      <c r="CB88" s="262"/>
      <c r="CC88" s="115" t="s">
        <v>1188</v>
      </c>
      <c r="CD88" s="115" t="s">
        <v>1188</v>
      </c>
      <c r="CE88" s="262"/>
      <c r="CF88" s="337"/>
      <c r="CG88" s="337"/>
      <c r="CH88" s="337"/>
      <c r="CI88" s="346"/>
      <c r="CJ88" s="366"/>
      <c r="CK88" s="194"/>
      <c r="CL88" s="194"/>
    </row>
    <row customFormat="1" r="89" s="158" spans="3:90" x14ac:dyDescent="0.25">
      <c r="C89" s="30" t="s">
        <v>1186</v>
      </c>
      <c r="D89" s="29" t="s">
        <v>1133</v>
      </c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Z89" s="116"/>
      <c r="CA89" s="116">
        <v>42920</v>
      </c>
      <c r="CB89" s="257"/>
      <c r="CC89" s="116">
        <v>42920</v>
      </c>
      <c r="CD89" s="116">
        <v>42920</v>
      </c>
      <c r="CE89" s="263"/>
      <c r="CF89" s="338"/>
      <c r="CG89" s="338"/>
      <c r="CH89" s="338"/>
      <c r="CI89" s="358"/>
      <c r="CJ89" s="370"/>
      <c r="CK89" s="201"/>
      <c r="CL89" s="201"/>
    </row>
    <row customFormat="1" r="90" s="158" spans="3:90" x14ac:dyDescent="0.25">
      <c r="C90" s="27" t="s">
        <v>1187</v>
      </c>
      <c r="D90" s="26" t="s">
        <v>1134</v>
      </c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  <c r="AZ90" s="114"/>
      <c r="BA90" s="114"/>
      <c r="BB90" s="114"/>
      <c r="BC90" s="114"/>
      <c r="BD90" s="114"/>
      <c r="BE90" s="114"/>
      <c r="BF90" s="114"/>
      <c r="BG90" s="114"/>
      <c r="BH90" s="114"/>
      <c r="BI90" s="114"/>
      <c r="BJ90" s="114"/>
      <c r="BK90" s="114"/>
      <c r="BL90" s="114"/>
      <c r="BM90" s="114"/>
      <c r="BN90" s="114"/>
      <c r="BO90" s="114"/>
      <c r="BP90" s="114"/>
      <c r="BQ90" s="114"/>
      <c r="BR90" s="114"/>
      <c r="BS90" s="114"/>
      <c r="BT90" s="114"/>
      <c r="BU90" s="114"/>
      <c r="BV90" s="114"/>
      <c r="BZ90" s="114"/>
      <c r="CA90" s="114">
        <v>2.5190000000000001</v>
      </c>
      <c r="CB90" s="178"/>
      <c r="CC90" s="114">
        <v>2.5190000000000001</v>
      </c>
      <c r="CD90" s="114">
        <v>2.5190000000000001</v>
      </c>
      <c r="CE90" s="264"/>
      <c r="CF90" s="339"/>
      <c r="CG90" s="339"/>
      <c r="CH90" s="339"/>
      <c r="CI90" s="357"/>
      <c r="CJ90" s="369"/>
      <c r="CK90" s="207"/>
      <c r="CL90" s="207"/>
    </row>
    <row customFormat="1" r="91" s="158" spans="3:90" x14ac:dyDescent="0.25">
      <c r="C91" s="30" t="s">
        <v>1191</v>
      </c>
      <c r="D91" s="29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273">
        <v>7400</v>
      </c>
      <c r="CB91" s="258"/>
      <c r="CC91" s="273">
        <v>250</v>
      </c>
      <c r="CD91" s="273">
        <v>7400</v>
      </c>
      <c r="CE91" s="110"/>
      <c r="CF91" s="317">
        <v>11600</v>
      </c>
      <c r="CG91" s="317">
        <v>11600</v>
      </c>
      <c r="CH91" s="317">
        <v>11600</v>
      </c>
      <c r="CI91" s="345">
        <v>3800</v>
      </c>
      <c r="CJ91" s="194">
        <v>3800</v>
      </c>
      <c r="CK91" s="194">
        <v>3800</v>
      </c>
      <c r="CL91" s="194">
        <v>3800</v>
      </c>
    </row>
    <row customFormat="1" r="92" s="158" spans="3:90" x14ac:dyDescent="0.25">
      <c r="C92" s="27" t="s">
        <v>1192</v>
      </c>
      <c r="D92" s="26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  <c r="AZ92" s="114"/>
      <c r="BA92" s="114"/>
      <c r="BB92" s="114"/>
      <c r="BC92" s="114"/>
      <c r="BD92" s="114"/>
      <c r="BE92" s="114"/>
      <c r="BF92" s="114"/>
      <c r="BG92" s="114"/>
      <c r="BH92" s="114"/>
      <c r="BI92" s="114"/>
      <c r="BJ92" s="114"/>
      <c r="BK92" s="114"/>
      <c r="BL92" s="114"/>
      <c r="BM92" s="114"/>
      <c r="BN92" s="114"/>
      <c r="BO92" s="114"/>
      <c r="BP92" s="114"/>
      <c r="BQ92" s="114"/>
      <c r="BR92" s="114"/>
      <c r="BS92" s="114"/>
      <c r="BT92" s="114"/>
      <c r="BU92" s="114"/>
      <c r="BV92" s="114"/>
      <c r="BW92" s="274"/>
      <c r="BX92" s="274"/>
      <c r="BY92" s="274"/>
      <c r="BZ92" s="114"/>
      <c r="CA92" s="114">
        <v>7400</v>
      </c>
      <c r="CB92" s="178"/>
      <c r="CC92" s="114">
        <v>250</v>
      </c>
      <c r="CD92" s="114">
        <v>7400</v>
      </c>
      <c r="CE92" s="264"/>
      <c r="CF92" s="318">
        <v>11600</v>
      </c>
      <c r="CG92" s="318">
        <v>11600</v>
      </c>
      <c r="CH92" s="318">
        <v>11600</v>
      </c>
      <c r="CI92" s="353">
        <v>3400</v>
      </c>
      <c r="CJ92" s="207">
        <v>3400</v>
      </c>
      <c r="CK92" s="207">
        <v>3400</v>
      </c>
      <c r="CL92" s="207">
        <v>3400</v>
      </c>
    </row>
    <row r="93" spans="3:90" x14ac:dyDescent="0.25">
      <c r="CG93"/>
    </row>
    <row customFormat="1" r="94" s="158" spans="3:90" x14ac:dyDescent="0.25"/>
    <row customFormat="1" r="95" s="158" spans="3:90" x14ac:dyDescent="0.25"/>
    <row customFormat="1" r="96" s="158" spans="3:90" x14ac:dyDescent="0.25"/>
    <row r="97" spans="3:85" x14ac:dyDescent="0.25">
      <c r="C97" s="443" t="s">
        <v>1114</v>
      </c>
      <c r="D97" s="443"/>
      <c r="E97" s="443"/>
      <c r="F97" s="443"/>
      <c r="G97" s="443"/>
      <c r="H97" s="443"/>
      <c r="I97" s="443"/>
      <c r="J97" s="443"/>
      <c r="K97" s="443"/>
      <c r="CG97"/>
    </row>
    <row r="98" spans="3:85" x14ac:dyDescent="0.25">
      <c r="C98" s="30" t="s">
        <v>1115</v>
      </c>
      <c r="D98" s="29" t="s">
        <v>1116</v>
      </c>
      <c r="E98" s="117" t="s">
        <v>1102</v>
      </c>
      <c r="F98" s="117" t="s">
        <v>1111</v>
      </c>
      <c r="G98" s="117" t="s">
        <v>1103</v>
      </c>
      <c r="H98" s="117" t="s">
        <v>1112</v>
      </c>
      <c r="I98" s="117" t="s">
        <v>1113</v>
      </c>
      <c r="J98" s="117" t="s">
        <v>1104</v>
      </c>
      <c r="K98" s="117" t="s">
        <v>1105</v>
      </c>
      <c r="L98" s="117" t="s">
        <v>1117</v>
      </c>
      <c r="CE98" s="158"/>
      <c r="CG98"/>
    </row>
    <row r="99" spans="3:85" x14ac:dyDescent="0.25">
      <c r="C99" s="30" t="s">
        <v>1118</v>
      </c>
      <c r="D99" s="29" t="s">
        <v>1119</v>
      </c>
      <c r="E99" s="115"/>
      <c r="F99" s="115"/>
      <c r="G99" s="115"/>
      <c r="H99" s="115"/>
      <c r="I99" s="115"/>
      <c r="J99" s="115"/>
      <c r="K99" s="115"/>
      <c r="L99" s="115"/>
      <c r="CE99" s="158"/>
      <c r="CG99"/>
    </row>
    <row r="100" spans="3:85" x14ac:dyDescent="0.25">
      <c r="C100" s="30" t="s">
        <v>1120</v>
      </c>
      <c r="D100" s="29" t="s">
        <v>1121</v>
      </c>
      <c r="E100" s="115"/>
      <c r="F100" s="115"/>
      <c r="G100" s="115"/>
      <c r="H100" s="115"/>
      <c r="I100" s="115"/>
      <c r="J100" s="115"/>
      <c r="K100" s="115"/>
      <c r="L100" s="115"/>
      <c r="CE100" s="158"/>
      <c r="CG100"/>
    </row>
    <row r="101" spans="3:85" x14ac:dyDescent="0.25">
      <c r="C101" s="30" t="s">
        <v>1122</v>
      </c>
      <c r="D101" s="29" t="s">
        <v>1123</v>
      </c>
      <c r="E101" s="114"/>
      <c r="F101" s="114"/>
      <c r="G101" s="114"/>
      <c r="H101" s="114"/>
      <c r="I101" s="114"/>
      <c r="J101" s="114"/>
      <c r="K101" s="114"/>
      <c r="L101" s="114"/>
      <c r="CE101" s="158"/>
    </row>
    <row r="102" spans="3:85" x14ac:dyDescent="0.25">
      <c r="C102" s="37" t="s">
        <v>937</v>
      </c>
      <c r="D102" s="36" t="s">
        <v>937</v>
      </c>
      <c r="E102" s="77"/>
      <c r="F102" s="77"/>
      <c r="G102" s="77"/>
      <c r="H102" s="77"/>
      <c r="I102" s="77"/>
      <c r="J102" s="77"/>
      <c r="K102" s="77"/>
      <c r="L102" s="77"/>
    </row>
    <row r="103" spans="3:85" x14ac:dyDescent="0.25">
      <c r="C103" s="30" t="s">
        <v>947</v>
      </c>
      <c r="D103" s="29" t="s">
        <v>947</v>
      </c>
      <c r="E103" s="119"/>
      <c r="F103" s="119"/>
      <c r="G103" s="119"/>
      <c r="H103" s="119"/>
      <c r="I103" s="119"/>
      <c r="J103" s="119"/>
      <c r="K103" s="119"/>
      <c r="L103" s="119"/>
    </row>
    <row r="104" spans="3:85" x14ac:dyDescent="0.25">
      <c r="C104" s="30" t="s">
        <v>938</v>
      </c>
      <c r="D104" s="29" t="s">
        <v>938</v>
      </c>
      <c r="E104" s="115" t="s">
        <v>1102</v>
      </c>
      <c r="F104" s="115" t="s">
        <v>1111</v>
      </c>
      <c r="G104" s="115" t="s">
        <v>1102</v>
      </c>
      <c r="H104" s="115" t="s">
        <v>1112</v>
      </c>
      <c r="I104" s="115" t="s">
        <v>1112</v>
      </c>
      <c r="J104" s="115" t="s">
        <v>1124</v>
      </c>
      <c r="K104" s="115" t="s">
        <v>1102</v>
      </c>
      <c r="L104" s="115"/>
    </row>
    <row r="105" spans="3:85" x14ac:dyDescent="0.25">
      <c r="C105" s="30" t="s">
        <v>945</v>
      </c>
      <c r="D105" s="29" t="s">
        <v>945</v>
      </c>
      <c r="E105" s="116">
        <v>42434</v>
      </c>
      <c r="F105" s="116">
        <v>42434</v>
      </c>
      <c r="G105" s="116">
        <v>42434</v>
      </c>
      <c r="H105" s="116">
        <v>42434</v>
      </c>
      <c r="I105" s="116">
        <v>42434</v>
      </c>
      <c r="J105" s="116">
        <v>42434</v>
      </c>
      <c r="K105" s="116">
        <v>42434</v>
      </c>
      <c r="L105" s="116"/>
    </row>
    <row r="106" spans="3:85" x14ac:dyDescent="0.25">
      <c r="C106" s="30" t="s">
        <v>941</v>
      </c>
      <c r="D106" s="29" t="s">
        <v>941</v>
      </c>
      <c r="E106" s="117">
        <v>4.4400000000000004</v>
      </c>
      <c r="F106" s="117">
        <v>4.4400000000000004</v>
      </c>
      <c r="G106" s="117">
        <v>50</v>
      </c>
      <c r="H106" s="117">
        <v>4.4400000000000004</v>
      </c>
      <c r="I106" s="117">
        <v>4.4400000000000004</v>
      </c>
      <c r="J106" s="117">
        <v>4.4400000000000004</v>
      </c>
      <c r="K106" s="117">
        <v>50</v>
      </c>
      <c r="L106" s="114"/>
    </row>
    <row r="107" spans="3:85" x14ac:dyDescent="0.25">
      <c r="C107" s="176" t="s">
        <v>1150</v>
      </c>
      <c r="D107" s="177" t="s">
        <v>1150</v>
      </c>
      <c r="E107" s="178" t="s">
        <v>1153</v>
      </c>
      <c r="F107" s="178" t="s">
        <v>1152</v>
      </c>
      <c r="G107" s="114"/>
      <c r="H107" s="178" t="s">
        <v>1151</v>
      </c>
      <c r="I107" s="114"/>
      <c r="J107" s="114"/>
      <c r="K107" s="114"/>
      <c r="L107" s="115"/>
    </row>
    <row r="108" spans="3:85" x14ac:dyDescent="0.25">
      <c r="C108" s="30" t="s">
        <v>939</v>
      </c>
      <c r="D108" s="29" t="s">
        <v>939</v>
      </c>
      <c r="E108" s="115" t="s">
        <v>1103</v>
      </c>
      <c r="F108" s="115" t="s">
        <v>1111</v>
      </c>
      <c r="G108" s="115" t="s">
        <v>1103</v>
      </c>
      <c r="H108" s="115" t="s">
        <v>1112</v>
      </c>
      <c r="I108" s="115" t="s">
        <v>1112</v>
      </c>
      <c r="J108" s="115" t="s">
        <v>1112</v>
      </c>
      <c r="K108" s="115" t="s">
        <v>1102</v>
      </c>
      <c r="L108" s="116"/>
    </row>
    <row r="109" spans="3:85" x14ac:dyDescent="0.25">
      <c r="C109" s="30" t="s">
        <v>944</v>
      </c>
      <c r="D109" s="29" t="s">
        <v>944</v>
      </c>
      <c r="E109" s="116">
        <v>42068</v>
      </c>
      <c r="F109" s="116">
        <v>42068</v>
      </c>
      <c r="G109" s="116">
        <v>42068</v>
      </c>
      <c r="H109" s="116">
        <v>42068</v>
      </c>
      <c r="I109" s="116">
        <v>42068</v>
      </c>
      <c r="J109" s="116">
        <v>42068</v>
      </c>
      <c r="K109" s="116">
        <v>42434</v>
      </c>
      <c r="L109" s="114"/>
    </row>
    <row r="110" spans="3:85" x14ac:dyDescent="0.25">
      <c r="C110" s="30" t="s">
        <v>943</v>
      </c>
      <c r="D110" s="29" t="s">
        <v>943</v>
      </c>
      <c r="E110" s="117">
        <v>4.7919999999999998</v>
      </c>
      <c r="F110" s="117">
        <v>4.7919999999999998</v>
      </c>
      <c r="G110" s="117">
        <v>2.5190000000000001</v>
      </c>
      <c r="H110" s="117">
        <v>4.7919999999999998</v>
      </c>
      <c r="I110" s="117">
        <v>4.7919999999999998</v>
      </c>
      <c r="J110" s="117">
        <v>4.7919999999999998</v>
      </c>
      <c r="K110" s="117">
        <v>50</v>
      </c>
      <c r="L110" s="115"/>
    </row>
    <row r="111" spans="3:85" x14ac:dyDescent="0.25">
      <c r="C111" s="176" t="s">
        <v>1154</v>
      </c>
      <c r="D111" s="177" t="s">
        <v>1154</v>
      </c>
      <c r="E111" s="178" t="s">
        <v>1151</v>
      </c>
      <c r="F111" s="178" t="s">
        <v>1152</v>
      </c>
      <c r="G111" s="178" t="s">
        <v>1155</v>
      </c>
      <c r="H111" s="178" t="s">
        <v>1156</v>
      </c>
      <c r="I111" s="114"/>
      <c r="J111" s="114"/>
      <c r="K111" s="114"/>
      <c r="L111" s="116"/>
    </row>
    <row r="112" spans="3:85" x14ac:dyDescent="0.25">
      <c r="C112" s="30" t="s">
        <v>940</v>
      </c>
      <c r="D112" s="29" t="s">
        <v>940</v>
      </c>
      <c r="E112" s="115" t="s">
        <v>1102</v>
      </c>
      <c r="F112" s="115" t="s">
        <v>1103</v>
      </c>
      <c r="G112" s="115" t="s">
        <v>1103</v>
      </c>
      <c r="H112" s="115" t="s">
        <v>1112</v>
      </c>
      <c r="I112" s="115" t="s">
        <v>1113</v>
      </c>
      <c r="J112" s="115" t="s">
        <v>1113</v>
      </c>
      <c r="K112" s="115" t="s">
        <v>1105</v>
      </c>
      <c r="L112" s="114"/>
    </row>
    <row r="113" spans="3:12" x14ac:dyDescent="0.25">
      <c r="C113" s="30" t="s">
        <v>946</v>
      </c>
      <c r="D113" s="29" t="s">
        <v>946</v>
      </c>
      <c r="E113" s="116">
        <v>41703</v>
      </c>
      <c r="F113" s="116">
        <v>41703</v>
      </c>
      <c r="G113" s="116">
        <v>41338</v>
      </c>
      <c r="H113" s="116">
        <v>41703</v>
      </c>
      <c r="I113" s="116">
        <v>41703</v>
      </c>
      <c r="J113" s="116">
        <v>41703</v>
      </c>
      <c r="K113" s="116">
        <v>41703</v>
      </c>
      <c r="L113" s="115"/>
    </row>
    <row r="114" spans="3:12" x14ac:dyDescent="0.25">
      <c r="C114" s="30" t="s">
        <v>942</v>
      </c>
      <c r="D114" s="29" t="s">
        <v>942</v>
      </c>
      <c r="E114" s="117">
        <v>0.73499999999999999</v>
      </c>
      <c r="F114" s="117">
        <v>0.73499999999999999</v>
      </c>
      <c r="G114" s="117">
        <v>0.73499999999999999</v>
      </c>
      <c r="H114" s="117">
        <v>0.73499999999999999</v>
      </c>
      <c r="I114" s="117">
        <v>0.73499999999999999</v>
      </c>
      <c r="J114" s="117">
        <v>0.73499999999999999</v>
      </c>
      <c r="K114" s="117">
        <v>0.83899999999999997</v>
      </c>
      <c r="L114" s="116"/>
    </row>
    <row r="115" spans="3:12" x14ac:dyDescent="0.25">
      <c r="C115" s="176" t="s">
        <v>1157</v>
      </c>
      <c r="D115" s="177" t="s">
        <v>1157</v>
      </c>
      <c r="E115" s="178" t="s">
        <v>1153</v>
      </c>
      <c r="F115" s="178" t="s">
        <v>1152</v>
      </c>
      <c r="G115" s="178" t="s">
        <v>1155</v>
      </c>
      <c r="H115" s="178" t="s">
        <v>1158</v>
      </c>
      <c r="I115" s="178" t="s">
        <v>1155</v>
      </c>
      <c r="J115" s="114"/>
      <c r="K115" s="178" t="s">
        <v>1159</v>
      </c>
      <c r="L115" s="114"/>
    </row>
    <row r="116" spans="3:12" x14ac:dyDescent="0.25">
      <c r="C116" s="30" t="s">
        <v>1125</v>
      </c>
      <c r="D116" s="29" t="s">
        <v>1125</v>
      </c>
      <c r="E116" s="115" t="s">
        <v>1102</v>
      </c>
      <c r="F116" s="115" t="s">
        <v>1112</v>
      </c>
      <c r="G116" s="115" t="s">
        <v>1112</v>
      </c>
      <c r="H116" s="115" t="s">
        <v>1112</v>
      </c>
      <c r="I116" s="115" t="s">
        <v>1112</v>
      </c>
      <c r="J116" s="115" t="s">
        <v>1112</v>
      </c>
      <c r="K116" s="115" t="s">
        <v>1102</v>
      </c>
      <c r="L116" s="115"/>
    </row>
    <row r="117" spans="3:12" x14ac:dyDescent="0.25">
      <c r="C117" s="30" t="s">
        <v>1126</v>
      </c>
      <c r="D117" s="29" t="s">
        <v>1126</v>
      </c>
      <c r="E117" s="116">
        <v>41703</v>
      </c>
      <c r="F117" s="116">
        <v>41703</v>
      </c>
      <c r="G117" s="116">
        <v>41703</v>
      </c>
      <c r="H117" s="116">
        <v>41703</v>
      </c>
      <c r="I117" s="116">
        <v>41703</v>
      </c>
      <c r="J117" s="116">
        <v>41703</v>
      </c>
      <c r="K117" s="116">
        <v>42434</v>
      </c>
      <c r="L117" s="116"/>
    </row>
    <row r="118" spans="3:12" x14ac:dyDescent="0.25">
      <c r="C118" s="30" t="s">
        <v>1127</v>
      </c>
      <c r="D118" s="29" t="s">
        <v>1127</v>
      </c>
      <c r="E118" s="117">
        <v>2.032</v>
      </c>
      <c r="F118" s="117">
        <v>2.032</v>
      </c>
      <c r="G118" s="117">
        <v>2.032</v>
      </c>
      <c r="H118" s="117">
        <v>2.032</v>
      </c>
      <c r="I118" s="117">
        <v>2.032</v>
      </c>
      <c r="J118" s="117">
        <v>2.032</v>
      </c>
      <c r="K118" s="117">
        <v>50</v>
      </c>
      <c r="L118" s="114"/>
    </row>
    <row r="119" spans="3:12" x14ac:dyDescent="0.25">
      <c r="C119" s="176" t="s">
        <v>1160</v>
      </c>
      <c r="D119" s="177" t="s">
        <v>1160</v>
      </c>
      <c r="E119" s="178" t="s">
        <v>1161</v>
      </c>
      <c r="F119" s="178" t="s">
        <v>1152</v>
      </c>
      <c r="G119" s="114"/>
      <c r="H119" s="178" t="s">
        <v>1158</v>
      </c>
      <c r="I119" s="114"/>
      <c r="J119" s="114"/>
      <c r="K119" s="114"/>
      <c r="L119" s="115"/>
    </row>
    <row r="120" spans="3:12" x14ac:dyDescent="0.25">
      <c r="C120" s="30" t="s">
        <v>1128</v>
      </c>
      <c r="D120" s="29" t="s">
        <v>1128</v>
      </c>
      <c r="E120" s="115" t="s">
        <v>1104</v>
      </c>
      <c r="F120" s="115" t="s">
        <v>1113</v>
      </c>
      <c r="G120" s="115" t="s">
        <v>1113</v>
      </c>
      <c r="H120" s="115" t="s">
        <v>1112</v>
      </c>
      <c r="I120" s="115" t="s">
        <v>1112</v>
      </c>
      <c r="J120" s="115" t="s">
        <v>1129</v>
      </c>
      <c r="K120" s="115" t="s">
        <v>1102</v>
      </c>
      <c r="L120" s="116"/>
    </row>
    <row r="121" spans="3:12" x14ac:dyDescent="0.25">
      <c r="C121" s="30" t="s">
        <v>1130</v>
      </c>
      <c r="D121" s="29" t="s">
        <v>1130</v>
      </c>
      <c r="E121" s="116">
        <v>41338</v>
      </c>
      <c r="F121" s="116">
        <v>41338</v>
      </c>
      <c r="G121" s="116">
        <v>41338</v>
      </c>
      <c r="H121" s="116">
        <v>41338</v>
      </c>
      <c r="I121" s="116">
        <v>41338</v>
      </c>
      <c r="J121" s="116">
        <v>41338</v>
      </c>
      <c r="K121" s="116">
        <v>42434</v>
      </c>
      <c r="L121" s="114"/>
    </row>
    <row r="122" spans="3:12" x14ac:dyDescent="0.25">
      <c r="C122" s="30" t="s">
        <v>1131</v>
      </c>
      <c r="D122" s="29" t="s">
        <v>1131</v>
      </c>
      <c r="E122" s="117">
        <v>4.9829999999999997</v>
      </c>
      <c r="F122" s="117">
        <v>4.9829999999999997</v>
      </c>
      <c r="G122" s="117">
        <v>4.9829999999999997</v>
      </c>
      <c r="H122" s="117">
        <v>4.9829999999999997</v>
      </c>
      <c r="I122" s="117">
        <v>4.9829999999999997</v>
      </c>
      <c r="J122" s="117">
        <v>4.9829999999999997</v>
      </c>
      <c r="K122" s="117">
        <v>50</v>
      </c>
    </row>
    <row r="123" spans="3:12" x14ac:dyDescent="0.25">
      <c r="C123" s="176" t="s">
        <v>1162</v>
      </c>
      <c r="D123" s="177" t="s">
        <v>1162</v>
      </c>
      <c r="E123" s="114"/>
      <c r="F123" s="114"/>
      <c r="G123" s="114"/>
      <c r="H123" s="178" t="s">
        <v>1156</v>
      </c>
      <c r="I123" s="114"/>
      <c r="J123" s="114"/>
      <c r="K123" s="114"/>
    </row>
    <row customFormat="1" r="124" s="158" spans="3:12" x14ac:dyDescent="0.25">
      <c r="C124" s="30" t="s">
        <v>1132</v>
      </c>
      <c r="D124" s="29" t="s">
        <v>1132</v>
      </c>
      <c r="E124" s="115" t="s">
        <v>1105</v>
      </c>
      <c r="F124" s="115" t="s">
        <v>1104</v>
      </c>
      <c r="G124" s="115" t="s">
        <v>1104</v>
      </c>
      <c r="H124" s="115" t="s">
        <v>1112</v>
      </c>
      <c r="I124" s="115" t="s">
        <v>1112</v>
      </c>
      <c r="J124" s="115" t="s">
        <v>1124</v>
      </c>
      <c r="K124" s="115" t="s">
        <v>1105</v>
      </c>
    </row>
    <row customFormat="1" r="125" s="158" spans="3:12" x14ac:dyDescent="0.25">
      <c r="C125" s="30" t="s">
        <v>1133</v>
      </c>
      <c r="D125" s="29" t="s">
        <v>1133</v>
      </c>
      <c r="E125" s="116">
        <v>40973</v>
      </c>
      <c r="F125" s="116">
        <v>40973</v>
      </c>
      <c r="G125" s="116">
        <v>40973</v>
      </c>
      <c r="H125" s="116">
        <v>40973</v>
      </c>
      <c r="I125" s="116">
        <v>40973</v>
      </c>
      <c r="J125" s="116">
        <v>40973</v>
      </c>
      <c r="K125" s="116">
        <v>41706</v>
      </c>
    </row>
    <row customFormat="1" r="126" s="158" spans="3:12" x14ac:dyDescent="0.25">
      <c r="C126" s="30" t="s">
        <v>1134</v>
      </c>
      <c r="D126" s="29" t="s">
        <v>1134</v>
      </c>
      <c r="E126" s="117">
        <v>2.5190000000000001</v>
      </c>
      <c r="F126" s="117">
        <v>2.5190000000000001</v>
      </c>
      <c r="G126" s="117">
        <v>2.5190000000000001</v>
      </c>
      <c r="H126" s="117">
        <v>2.5190000000000001</v>
      </c>
      <c r="I126" s="117">
        <v>2.5190000000000001</v>
      </c>
      <c r="J126" s="117">
        <v>2.5190000000000001</v>
      </c>
      <c r="K126" s="117">
        <v>0.73499999999999999</v>
      </c>
    </row>
    <row customFormat="1" r="127" s="158" spans="3:12" x14ac:dyDescent="0.25">
      <c r="C127" s="176" t="s">
        <v>1163</v>
      </c>
      <c r="D127" s="177" t="s">
        <v>1163</v>
      </c>
      <c r="E127" s="114"/>
      <c r="F127" s="114"/>
      <c r="G127" s="114"/>
      <c r="H127" s="178" t="s">
        <v>1156</v>
      </c>
      <c r="I127" s="114"/>
      <c r="J127" s="114"/>
      <c r="K127" s="178" t="s">
        <v>1159</v>
      </c>
    </row>
    <row customFormat="1" r="128" s="158" spans="3:12" x14ac:dyDescent="0.25"/>
    <row customFormat="1" r="129" s="158" spans="3:10" x14ac:dyDescent="0.25"/>
    <row customFormat="1" r="130" s="158" spans="3:10" x14ac:dyDescent="0.25"/>
    <row customFormat="1" r="131" s="158" spans="3:10" x14ac:dyDescent="0.25"/>
    <row customFormat="1" r="132" s="158" spans="3:10" x14ac:dyDescent="0.25"/>
    <row r="133" spans="3:10" x14ac:dyDescent="0.25">
      <c r="C133" s="443" t="s">
        <v>1135</v>
      </c>
      <c r="D133" s="443"/>
      <c r="E133" s="443"/>
      <c r="F133" s="443"/>
      <c r="G133" s="443"/>
      <c r="H133" s="443"/>
      <c r="I133" s="443"/>
      <c r="J133" s="443"/>
    </row>
    <row r="134" spans="3:10" x14ac:dyDescent="0.25">
      <c r="C134" s="30" t="s">
        <v>1136</v>
      </c>
      <c r="D134" s="29" t="s">
        <v>1136</v>
      </c>
      <c r="E134" s="115" t="s">
        <v>1102</v>
      </c>
      <c r="F134" s="115" t="s">
        <v>1103</v>
      </c>
      <c r="G134" s="115" t="s">
        <v>1102</v>
      </c>
      <c r="H134" s="115" t="s">
        <v>1102</v>
      </c>
      <c r="I134" s="115" t="s">
        <v>1104</v>
      </c>
      <c r="J134" s="115" t="s">
        <v>1105</v>
      </c>
    </row>
    <row r="135" spans="3:10" x14ac:dyDescent="0.25">
      <c r="C135" s="30" t="s">
        <v>1137</v>
      </c>
      <c r="D135" s="29" t="s">
        <v>1137</v>
      </c>
      <c r="E135" s="116">
        <v>42434</v>
      </c>
      <c r="F135" s="116">
        <v>42068</v>
      </c>
      <c r="G135" s="116">
        <v>41703</v>
      </c>
      <c r="H135" s="116">
        <v>41703</v>
      </c>
      <c r="I135" s="116">
        <v>41338</v>
      </c>
      <c r="J135" s="116">
        <v>40973</v>
      </c>
    </row>
    <row r="136" spans="3:10" x14ac:dyDescent="0.25">
      <c r="C136" s="27" t="s">
        <v>1138</v>
      </c>
      <c r="D136" s="26" t="s">
        <v>1138</v>
      </c>
      <c r="E136" s="114">
        <v>4.4400000000000004</v>
      </c>
      <c r="F136" s="114">
        <v>4.7919999999999998</v>
      </c>
      <c r="G136" s="114">
        <v>0.73499999999999999</v>
      </c>
      <c r="H136" s="114">
        <v>2.032</v>
      </c>
      <c r="I136" s="114">
        <v>4.9829999999999997</v>
      </c>
      <c r="J136" s="114">
        <v>2.5190000000000001</v>
      </c>
    </row>
  </sheetData>
  <mergeCells count="3">
    <mergeCell ref="C3:D3"/>
    <mergeCell ref="C97:K97"/>
    <mergeCell ref="C133:J133"/>
  </mergeCells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3:Y135"/>
  <sheetViews>
    <sheetView workbookViewId="0" zoomScale="85" zoomScaleNormal="85">
      <pane activePane="bottomRight" state="frozen" topLeftCell="E4" xSplit="4" ySplit="3"/>
      <selection activeCell="E1" pane="topRight" sqref="E1"/>
      <selection activeCell="A4" pane="bottomLeft" sqref="A4"/>
      <selection activeCell="E61" pane="bottomRight" sqref="E61:E73"/>
    </sheetView>
  </sheetViews>
  <sheetFormatPr defaultRowHeight="15" x14ac:dyDescent="0.25"/>
  <cols>
    <col min="1" max="1" style="158" width="9.140625" collapsed="true"/>
    <col min="2" max="2" bestFit="true" customWidth="true" style="158" width="28.42578125" collapsed="true"/>
    <col min="3" max="3" customWidth="true" style="158" width="11.28515625" collapsed="true"/>
    <col min="4" max="4" bestFit="true" customWidth="true" style="158" width="40.140625" collapsed="true"/>
    <col min="5" max="5" customWidth="true" style="158" width="50.5703125" collapsed="true"/>
    <col min="6" max="22" customWidth="true" style="158" width="13.7109375" collapsed="true"/>
    <col min="23" max="24" customWidth="true" style="315" width="13.7109375" collapsed="true"/>
    <col min="25" max="16384" style="158" width="9.140625" collapsed="true"/>
  </cols>
  <sheetData>
    <row r="3" spans="2:24" x14ac:dyDescent="0.25">
      <c r="D3" s="68" t="s">
        <v>1194</v>
      </c>
      <c r="E3" s="68"/>
      <c r="F3" s="68"/>
      <c r="G3" s="40"/>
      <c r="H3" s="59"/>
      <c r="I3" s="59"/>
      <c r="J3" s="59"/>
      <c r="K3" s="40"/>
      <c r="L3" s="40"/>
      <c r="M3" s="40"/>
      <c r="N3" s="59"/>
      <c r="O3" s="182"/>
      <c r="P3" s="182"/>
    </row>
    <row ht="15.75" r="4" spans="2:24" x14ac:dyDescent="0.3">
      <c r="B4" s="35" t="s">
        <v>106</v>
      </c>
      <c r="C4" s="42"/>
      <c r="D4" s="30" t="s">
        <v>105</v>
      </c>
      <c r="E4" s="29" t="s">
        <v>105</v>
      </c>
      <c r="F4" s="183" t="s">
        <v>0</v>
      </c>
      <c r="G4" s="184" t="s">
        <v>1195</v>
      </c>
      <c r="H4" s="184" t="s">
        <v>1196</v>
      </c>
      <c r="I4" s="184" t="s">
        <v>1197</v>
      </c>
      <c r="J4" s="185" t="s">
        <v>104</v>
      </c>
      <c r="K4" s="186" t="s">
        <v>1198</v>
      </c>
      <c r="L4" s="186" t="s">
        <v>1199</v>
      </c>
      <c r="M4" s="186" t="s">
        <v>1200</v>
      </c>
      <c r="N4" s="187" t="s">
        <v>1201</v>
      </c>
      <c r="O4" s="183" t="s">
        <v>1202</v>
      </c>
      <c r="P4" s="184" t="s">
        <v>1203</v>
      </c>
      <c r="Q4" s="184" t="s">
        <v>1213</v>
      </c>
      <c r="R4" s="184" t="s">
        <v>1216</v>
      </c>
      <c r="S4" s="184" t="s">
        <v>1217</v>
      </c>
      <c r="T4" s="184" t="s">
        <v>1218</v>
      </c>
      <c r="U4" s="183" t="s">
        <v>1219</v>
      </c>
      <c r="V4" s="305" t="s">
        <v>1221</v>
      </c>
      <c r="W4" s="316"/>
      <c r="X4" s="316"/>
    </row>
    <row r="5" spans="2:24" x14ac:dyDescent="0.25">
      <c r="D5" s="30" t="s">
        <v>103</v>
      </c>
      <c r="E5" s="29" t="s">
        <v>103</v>
      </c>
      <c r="F5" s="188" t="s">
        <v>280</v>
      </c>
      <c r="G5" s="189" t="s">
        <v>280</v>
      </c>
      <c r="H5" s="189" t="s">
        <v>280</v>
      </c>
      <c r="I5" s="189" t="s">
        <v>280</v>
      </c>
      <c r="J5" s="190" t="s">
        <v>279</v>
      </c>
      <c r="K5" s="191" t="s">
        <v>279</v>
      </c>
      <c r="L5" s="191" t="s">
        <v>279</v>
      </c>
      <c r="M5" s="191" t="s">
        <v>279</v>
      </c>
      <c r="N5" s="192" t="s">
        <v>279</v>
      </c>
      <c r="O5" s="193" t="s">
        <v>280</v>
      </c>
      <c r="P5" s="194" t="s">
        <v>280</v>
      </c>
      <c r="Q5" s="189" t="s">
        <v>279</v>
      </c>
      <c r="R5" s="189" t="s">
        <v>279</v>
      </c>
      <c r="S5" s="189" t="s">
        <v>279</v>
      </c>
      <c r="T5" s="189" t="s">
        <v>280</v>
      </c>
      <c r="U5" s="188" t="s">
        <v>280</v>
      </c>
      <c r="V5" s="306" t="s">
        <v>279</v>
      </c>
      <c r="W5" s="316"/>
      <c r="X5" s="316"/>
    </row>
    <row customHeight="1" ht="15" r="6" spans="2:24" x14ac:dyDescent="0.25">
      <c r="D6" s="30" t="s">
        <v>10</v>
      </c>
      <c r="E6" s="29" t="s">
        <v>10</v>
      </c>
      <c r="F6" s="195">
        <v>43100</v>
      </c>
      <c r="G6" s="196">
        <v>43100</v>
      </c>
      <c r="H6" s="196">
        <v>43100</v>
      </c>
      <c r="I6" s="196">
        <v>43100</v>
      </c>
      <c r="J6" s="197">
        <v>43100</v>
      </c>
      <c r="K6" s="198">
        <v>43100</v>
      </c>
      <c r="L6" s="198">
        <v>43100</v>
      </c>
      <c r="M6" s="198">
        <v>43100</v>
      </c>
      <c r="N6" s="199">
        <v>43100</v>
      </c>
      <c r="O6" s="200">
        <v>43100</v>
      </c>
      <c r="P6" s="201">
        <v>43100</v>
      </c>
      <c r="Q6" s="196">
        <v>43100</v>
      </c>
      <c r="R6" s="196">
        <v>43100</v>
      </c>
      <c r="S6" s="196">
        <v>43100</v>
      </c>
      <c r="T6" s="196">
        <v>43100</v>
      </c>
      <c r="U6" s="195">
        <v>43100</v>
      </c>
      <c r="V6" s="307">
        <v>43100</v>
      </c>
      <c r="W6" s="198"/>
      <c r="X6" s="316"/>
    </row>
    <row r="7" spans="2:24" x14ac:dyDescent="0.25">
      <c r="D7" s="30" t="s">
        <v>1170</v>
      </c>
      <c r="E7" s="29" t="s">
        <v>1170</v>
      </c>
      <c r="F7" s="195"/>
      <c r="G7" s="196"/>
      <c r="H7" s="196"/>
      <c r="I7" s="196"/>
      <c r="J7" s="197"/>
      <c r="K7" s="198"/>
      <c r="L7" s="198"/>
      <c r="M7" s="198"/>
      <c r="N7" s="199"/>
      <c r="O7" s="200"/>
      <c r="P7" s="201"/>
      <c r="Q7" s="196"/>
      <c r="R7" s="196"/>
      <c r="S7" s="196"/>
      <c r="T7" s="196"/>
      <c r="U7" s="195"/>
      <c r="V7" s="307"/>
      <c r="W7" s="198"/>
      <c r="X7" s="191"/>
    </row>
    <row r="8" spans="2:24" x14ac:dyDescent="0.25">
      <c r="D8" s="30" t="s">
        <v>931</v>
      </c>
      <c r="E8" s="29" t="s">
        <v>932</v>
      </c>
      <c r="F8" s="193"/>
      <c r="G8" s="194"/>
      <c r="H8" s="194"/>
      <c r="I8" s="194"/>
      <c r="J8" s="190" t="s">
        <v>102</v>
      </c>
      <c r="K8" s="202" t="s">
        <v>102</v>
      </c>
      <c r="L8" s="202" t="s">
        <v>102</v>
      </c>
      <c r="M8" s="202" t="s">
        <v>102</v>
      </c>
      <c r="N8" s="192" t="s">
        <v>102</v>
      </c>
      <c r="O8" s="193"/>
      <c r="P8" s="194"/>
      <c r="Q8" s="194"/>
      <c r="R8" s="194"/>
      <c r="S8" s="194"/>
      <c r="T8" s="194"/>
      <c r="U8" s="193"/>
      <c r="V8" s="306"/>
      <c r="W8" s="191"/>
      <c r="X8" s="191"/>
    </row>
    <row r="9" spans="2:24" x14ac:dyDescent="0.25">
      <c r="D9" s="30" t="s">
        <v>101</v>
      </c>
      <c r="E9" s="29" t="s">
        <v>101</v>
      </c>
      <c r="F9" s="188" t="s">
        <v>151</v>
      </c>
      <c r="G9" s="203" t="s">
        <v>1001</v>
      </c>
      <c r="H9" s="203" t="s">
        <v>1001</v>
      </c>
      <c r="I9" s="189" t="s">
        <v>151</v>
      </c>
      <c r="J9" s="190" t="s">
        <v>151</v>
      </c>
      <c r="K9" s="191" t="s">
        <v>151</v>
      </c>
      <c r="L9" s="191" t="s">
        <v>151</v>
      </c>
      <c r="M9" s="191" t="s">
        <v>151</v>
      </c>
      <c r="N9" s="204" t="s">
        <v>1002</v>
      </c>
      <c r="O9" s="193" t="s">
        <v>151</v>
      </c>
      <c r="P9" s="205" t="s">
        <v>1001</v>
      </c>
      <c r="Q9" s="194" t="s">
        <v>151</v>
      </c>
      <c r="R9" s="205" t="s">
        <v>1001</v>
      </c>
      <c r="S9" s="205" t="s">
        <v>1002</v>
      </c>
      <c r="T9" s="194" t="s">
        <v>151</v>
      </c>
      <c r="U9" s="261" t="s">
        <v>1001</v>
      </c>
      <c r="V9" s="306" t="s">
        <v>151</v>
      </c>
      <c r="W9" s="191"/>
      <c r="X9" s="191"/>
    </row>
    <row r="10" spans="2:24" x14ac:dyDescent="0.25">
      <c r="D10" s="30" t="s">
        <v>153</v>
      </c>
      <c r="E10" s="29" t="s">
        <v>153</v>
      </c>
      <c r="F10" s="188" t="s">
        <v>1003</v>
      </c>
      <c r="G10" s="189" t="s">
        <v>1003</v>
      </c>
      <c r="H10" s="189" t="s">
        <v>1003</v>
      </c>
      <c r="I10" s="189" t="s">
        <v>1003</v>
      </c>
      <c r="J10" s="190" t="s">
        <v>160</v>
      </c>
      <c r="K10" s="191" t="s">
        <v>160</v>
      </c>
      <c r="L10" s="191" t="s">
        <v>160</v>
      </c>
      <c r="M10" s="191" t="s">
        <v>160</v>
      </c>
      <c r="N10" s="192" t="s">
        <v>160</v>
      </c>
      <c r="O10" s="193" t="s">
        <v>1003</v>
      </c>
      <c r="P10" s="194" t="s">
        <v>1003</v>
      </c>
      <c r="Q10" s="189" t="s">
        <v>1003</v>
      </c>
      <c r="R10" s="189" t="s">
        <v>1003</v>
      </c>
      <c r="S10" s="189" t="s">
        <v>1003</v>
      </c>
      <c r="T10" s="189" t="s">
        <v>160</v>
      </c>
      <c r="U10" s="188" t="s">
        <v>160</v>
      </c>
      <c r="V10" s="306" t="s">
        <v>160</v>
      </c>
      <c r="W10" s="191"/>
      <c r="X10" s="191"/>
    </row>
    <row r="11" spans="2:24" x14ac:dyDescent="0.25">
      <c r="D11" s="30" t="s">
        <v>100</v>
      </c>
      <c r="E11" s="29" t="s">
        <v>100</v>
      </c>
      <c r="F11" s="188">
        <v>1</v>
      </c>
      <c r="G11" s="189">
        <v>1</v>
      </c>
      <c r="H11" s="189">
        <v>1</v>
      </c>
      <c r="I11" s="189">
        <v>1</v>
      </c>
      <c r="J11" s="190">
        <v>1</v>
      </c>
      <c r="K11" s="191">
        <v>1</v>
      </c>
      <c r="L11" s="191">
        <v>1</v>
      </c>
      <c r="M11" s="191">
        <v>1</v>
      </c>
      <c r="N11" s="192">
        <v>1</v>
      </c>
      <c r="O11" s="193">
        <v>1</v>
      </c>
      <c r="P11" s="194">
        <v>1</v>
      </c>
      <c r="Q11" s="189">
        <v>1</v>
      </c>
      <c r="R11" s="189">
        <v>1</v>
      </c>
      <c r="S11" s="189">
        <v>1</v>
      </c>
      <c r="T11" s="189">
        <v>1</v>
      </c>
      <c r="U11" s="188">
        <v>1</v>
      </c>
      <c r="V11" s="306">
        <v>1</v>
      </c>
      <c r="W11" s="191"/>
      <c r="X11" s="191"/>
    </row>
    <row r="12" spans="2:24" x14ac:dyDescent="0.25">
      <c r="D12" s="30" t="s">
        <v>99</v>
      </c>
      <c r="E12" s="29" t="s">
        <v>99</v>
      </c>
      <c r="F12" s="188"/>
      <c r="G12" s="189"/>
      <c r="H12" s="189"/>
      <c r="I12" s="189"/>
      <c r="J12" s="190" t="s">
        <v>161</v>
      </c>
      <c r="K12" s="191" t="s">
        <v>161</v>
      </c>
      <c r="L12" s="191" t="s">
        <v>161</v>
      </c>
      <c r="M12" s="191" t="s">
        <v>161</v>
      </c>
      <c r="N12" s="192" t="s">
        <v>161</v>
      </c>
      <c r="O12" s="193"/>
      <c r="P12" s="194"/>
      <c r="Q12" s="189"/>
      <c r="R12" s="189"/>
      <c r="S12" s="189"/>
      <c r="T12" s="189"/>
      <c r="U12" s="188"/>
      <c r="V12" s="306"/>
      <c r="W12" s="191"/>
      <c r="X12" s="191"/>
    </row>
    <row r="13" spans="2:24" x14ac:dyDescent="0.25">
      <c r="D13" s="30" t="s">
        <v>97</v>
      </c>
      <c r="E13" s="29" t="s">
        <v>97</v>
      </c>
      <c r="F13" s="188" t="s">
        <v>96</v>
      </c>
      <c r="G13" s="189" t="s">
        <v>96</v>
      </c>
      <c r="H13" s="189" t="s">
        <v>96</v>
      </c>
      <c r="I13" s="189" t="s">
        <v>96</v>
      </c>
      <c r="J13" s="190" t="s">
        <v>96</v>
      </c>
      <c r="K13" s="191" t="s">
        <v>96</v>
      </c>
      <c r="L13" s="191" t="s">
        <v>96</v>
      </c>
      <c r="M13" s="191" t="s">
        <v>96</v>
      </c>
      <c r="N13" s="192" t="s">
        <v>96</v>
      </c>
      <c r="O13" s="193" t="s">
        <v>96</v>
      </c>
      <c r="P13" s="194" t="s">
        <v>96</v>
      </c>
      <c r="Q13" s="189" t="s">
        <v>96</v>
      </c>
      <c r="R13" s="189" t="s">
        <v>96</v>
      </c>
      <c r="S13" s="189" t="s">
        <v>96</v>
      </c>
      <c r="T13" s="189" t="s">
        <v>96</v>
      </c>
      <c r="U13" s="188" t="s">
        <v>96</v>
      </c>
      <c r="V13" s="306" t="s">
        <v>96</v>
      </c>
      <c r="W13" s="191"/>
      <c r="X13" s="191"/>
    </row>
    <row r="14" spans="2:24" x14ac:dyDescent="0.25">
      <c r="D14" s="30" t="s">
        <v>95</v>
      </c>
      <c r="E14" s="29" t="s">
        <v>95</v>
      </c>
      <c r="F14" s="188">
        <v>0</v>
      </c>
      <c r="G14" s="189">
        <v>0</v>
      </c>
      <c r="H14" s="189">
        <v>0</v>
      </c>
      <c r="I14" s="189">
        <v>0</v>
      </c>
      <c r="J14" s="190">
        <v>0</v>
      </c>
      <c r="K14" s="191">
        <v>0</v>
      </c>
      <c r="L14" s="191">
        <v>0</v>
      </c>
      <c r="M14" s="191">
        <v>0</v>
      </c>
      <c r="N14" s="192">
        <v>0</v>
      </c>
      <c r="O14" s="193">
        <v>0</v>
      </c>
      <c r="P14" s="194">
        <v>0</v>
      </c>
      <c r="Q14" s="189">
        <v>0</v>
      </c>
      <c r="R14" s="189">
        <v>0</v>
      </c>
      <c r="S14" s="189">
        <v>0</v>
      </c>
      <c r="T14" s="189">
        <v>0</v>
      </c>
      <c r="U14" s="188">
        <v>0</v>
      </c>
      <c r="V14" s="306">
        <v>0</v>
      </c>
      <c r="W14" s="191"/>
      <c r="X14" s="191"/>
    </row>
    <row r="15" spans="2:24" x14ac:dyDescent="0.25">
      <c r="D15" s="30" t="s">
        <v>94</v>
      </c>
      <c r="E15" s="29" t="s">
        <v>94</v>
      </c>
      <c r="F15" s="188">
        <v>0</v>
      </c>
      <c r="G15" s="189">
        <v>0</v>
      </c>
      <c r="H15" s="189">
        <v>0</v>
      </c>
      <c r="I15" s="189">
        <v>0</v>
      </c>
      <c r="J15" s="190">
        <v>0</v>
      </c>
      <c r="K15" s="191">
        <v>0</v>
      </c>
      <c r="L15" s="191">
        <v>0</v>
      </c>
      <c r="M15" s="191">
        <v>0</v>
      </c>
      <c r="N15" s="192">
        <v>0</v>
      </c>
      <c r="O15" s="193">
        <v>0</v>
      </c>
      <c r="P15" s="194">
        <v>0</v>
      </c>
      <c r="Q15" s="189">
        <v>0</v>
      </c>
      <c r="R15" s="189">
        <v>0</v>
      </c>
      <c r="S15" s="189">
        <v>0</v>
      </c>
      <c r="T15" s="189">
        <v>0</v>
      </c>
      <c r="U15" s="188">
        <v>0</v>
      </c>
      <c r="V15" s="306">
        <v>0</v>
      </c>
      <c r="W15" s="191"/>
      <c r="X15" s="191"/>
    </row>
    <row r="16" spans="2:24" x14ac:dyDescent="0.25">
      <c r="D16" s="30" t="s">
        <v>154</v>
      </c>
      <c r="E16" s="29" t="s">
        <v>154</v>
      </c>
      <c r="F16" s="206"/>
      <c r="G16" s="207"/>
      <c r="H16" s="207"/>
      <c r="I16" s="207"/>
      <c r="J16" s="208"/>
      <c r="K16" s="209"/>
      <c r="L16" s="209"/>
      <c r="M16" s="209"/>
      <c r="N16" s="210"/>
      <c r="O16" s="206"/>
      <c r="P16" s="207"/>
      <c r="Q16" s="207"/>
      <c r="R16" s="207"/>
      <c r="S16" s="207"/>
      <c r="T16" s="207"/>
      <c r="U16" s="206"/>
      <c r="V16" s="308"/>
      <c r="W16" s="318"/>
      <c r="X16" s="209"/>
    </row>
    <row ht="15.75" r="17" spans="2:24" x14ac:dyDescent="0.3">
      <c r="B17" s="35" t="s">
        <v>93</v>
      </c>
      <c r="C17" s="34"/>
      <c r="D17" s="37" t="s">
        <v>92</v>
      </c>
      <c r="E17" s="36" t="s">
        <v>92</v>
      </c>
      <c r="F17" s="193">
        <v>1.0101010101010099</v>
      </c>
      <c r="G17" s="194">
        <v>1.0101010101010099</v>
      </c>
      <c r="H17" s="194">
        <v>1.0101010101010099</v>
      </c>
      <c r="I17" s="194">
        <v>1.0101010101010099</v>
      </c>
      <c r="J17" s="190">
        <v>1.0101010101010099</v>
      </c>
      <c r="K17" s="202">
        <v>1.0101010101010099</v>
      </c>
      <c r="L17" s="202">
        <v>1.0101010101010099</v>
      </c>
      <c r="M17" s="202">
        <v>1.0101010101010099</v>
      </c>
      <c r="N17" s="192">
        <v>1.0101010101010099</v>
      </c>
      <c r="O17" s="193">
        <v>1.0101010101010099</v>
      </c>
      <c r="P17" s="194">
        <v>1.0101010101010099</v>
      </c>
      <c r="Q17" s="194">
        <v>1.0101010101010099</v>
      </c>
      <c r="R17" s="194">
        <v>1.0101010101010099</v>
      </c>
      <c r="S17" s="194">
        <v>1.0101010101010099</v>
      </c>
      <c r="T17" s="194">
        <v>1.0101010101010099</v>
      </c>
      <c r="U17" s="193">
        <v>1.0101010101010099</v>
      </c>
      <c r="V17" s="306">
        <v>1.0101010101010099</v>
      </c>
      <c r="W17" s="319"/>
      <c r="X17" s="202"/>
    </row>
    <row ht="15.75" r="18" spans="2:24" x14ac:dyDescent="0.3">
      <c r="B18" s="320"/>
      <c r="C18" s="321"/>
      <c r="D18" s="30" t="s">
        <v>1191</v>
      </c>
      <c r="E18" s="29"/>
      <c r="F18" s="193"/>
      <c r="G18" s="194"/>
      <c r="H18" s="194"/>
      <c r="I18" s="194"/>
      <c r="J18" s="190"/>
      <c r="K18" s="202"/>
      <c r="L18" s="202"/>
      <c r="M18" s="202"/>
      <c r="N18" s="192"/>
      <c r="O18" s="193"/>
      <c r="P18" s="194"/>
      <c r="Q18" s="194"/>
      <c r="R18" s="194"/>
      <c r="S18" s="194"/>
      <c r="T18" s="194"/>
      <c r="U18" s="193"/>
      <c r="V18" s="306"/>
      <c r="W18" s="319"/>
      <c r="X18" s="202"/>
    </row>
    <row ht="15.75" r="19" spans="2:24" x14ac:dyDescent="0.3">
      <c r="B19" s="320"/>
      <c r="C19" s="321"/>
      <c r="D19" s="30" t="s">
        <v>1192</v>
      </c>
      <c r="E19" s="29"/>
      <c r="F19" s="193"/>
      <c r="G19" s="194"/>
      <c r="H19" s="194"/>
      <c r="I19" s="194"/>
      <c r="J19" s="190"/>
      <c r="K19" s="202"/>
      <c r="L19" s="202"/>
      <c r="M19" s="202"/>
      <c r="N19" s="192"/>
      <c r="O19" s="193"/>
      <c r="P19" s="194"/>
      <c r="Q19" s="194"/>
      <c r="R19" s="194"/>
      <c r="S19" s="194"/>
      <c r="T19" s="194"/>
      <c r="U19" s="193"/>
      <c r="V19" s="306"/>
      <c r="W19" s="319"/>
      <c r="X19" s="202"/>
    </row>
    <row r="20" spans="2:24" x14ac:dyDescent="0.25">
      <c r="D20" s="30" t="s">
        <v>91</v>
      </c>
      <c r="E20" s="29" t="s">
        <v>91</v>
      </c>
      <c r="F20" s="188" t="s">
        <v>147</v>
      </c>
      <c r="G20" s="189" t="s">
        <v>147</v>
      </c>
      <c r="H20" s="189" t="s">
        <v>147</v>
      </c>
      <c r="I20" s="189" t="s">
        <v>147</v>
      </c>
      <c r="J20" s="190" t="s">
        <v>147</v>
      </c>
      <c r="K20" s="191" t="s">
        <v>147</v>
      </c>
      <c r="L20" s="191" t="s">
        <v>147</v>
      </c>
      <c r="M20" s="191" t="s">
        <v>147</v>
      </c>
      <c r="N20" s="192" t="s">
        <v>147</v>
      </c>
      <c r="O20" s="193" t="s">
        <v>147</v>
      </c>
      <c r="P20" s="194" t="s">
        <v>147</v>
      </c>
      <c r="Q20" s="189" t="s">
        <v>147</v>
      </c>
      <c r="R20" s="189" t="s">
        <v>147</v>
      </c>
      <c r="S20" s="189" t="s">
        <v>147</v>
      </c>
      <c r="T20" s="189" t="s">
        <v>147</v>
      </c>
      <c r="U20" s="188" t="s">
        <v>147</v>
      </c>
      <c r="V20" s="306" t="s">
        <v>147</v>
      </c>
      <c r="W20" s="317"/>
      <c r="X20" s="202"/>
    </row>
    <row r="21" spans="2:24" x14ac:dyDescent="0.25">
      <c r="D21" s="30" t="s">
        <v>90</v>
      </c>
      <c r="E21" s="29" t="s">
        <v>90</v>
      </c>
      <c r="F21" s="188"/>
      <c r="G21" s="203" t="s">
        <v>1006</v>
      </c>
      <c r="H21" s="203" t="s">
        <v>1006</v>
      </c>
      <c r="I21" s="203"/>
      <c r="J21" s="190"/>
      <c r="K21" s="203" t="s">
        <v>1006</v>
      </c>
      <c r="L21" s="191"/>
      <c r="M21" s="191"/>
      <c r="N21" s="192"/>
      <c r="O21" s="193" t="s">
        <v>1006</v>
      </c>
      <c r="P21" s="194" t="s">
        <v>1006</v>
      </c>
      <c r="Q21" s="189"/>
      <c r="R21" s="304" t="s">
        <v>1215</v>
      </c>
      <c r="S21" s="304"/>
      <c r="T21" s="189"/>
      <c r="U21" s="260" t="s">
        <v>149</v>
      </c>
      <c r="V21" s="309" t="s">
        <v>1215</v>
      </c>
      <c r="W21" s="317"/>
      <c r="X21" s="202"/>
    </row>
    <row r="22" spans="2:24" x14ac:dyDescent="0.25">
      <c r="D22" s="30" t="s">
        <v>1204</v>
      </c>
      <c r="E22" s="29" t="s">
        <v>1204</v>
      </c>
      <c r="F22" s="188"/>
      <c r="G22" s="203">
        <v>5000</v>
      </c>
      <c r="H22" s="203">
        <v>5000</v>
      </c>
      <c r="I22" s="203"/>
      <c r="J22" s="190"/>
      <c r="K22" s="203"/>
      <c r="L22" s="191"/>
      <c r="M22" s="191"/>
      <c r="N22" s="192"/>
      <c r="O22" s="193">
        <v>2000</v>
      </c>
      <c r="P22" s="194">
        <v>2000</v>
      </c>
      <c r="Q22" s="189"/>
      <c r="R22" s="203">
        <v>5000</v>
      </c>
      <c r="S22" s="203"/>
      <c r="T22" s="189"/>
      <c r="U22" s="188"/>
      <c r="V22" s="306">
        <v>2000</v>
      </c>
      <c r="W22" s="317"/>
      <c r="X22" s="202"/>
    </row>
    <row r="23" spans="2:24" x14ac:dyDescent="0.25">
      <c r="D23" s="30" t="s">
        <v>89</v>
      </c>
      <c r="E23" s="29" t="s">
        <v>89</v>
      </c>
      <c r="F23" s="188"/>
      <c r="G23" s="203" t="s">
        <v>1004</v>
      </c>
      <c r="H23" s="203" t="s">
        <v>1004</v>
      </c>
      <c r="I23" s="203"/>
      <c r="J23" s="190"/>
      <c r="K23" s="191"/>
      <c r="L23" s="191"/>
      <c r="M23" s="191"/>
      <c r="N23" s="192"/>
      <c r="O23" s="193"/>
      <c r="P23" s="205" t="s">
        <v>1004</v>
      </c>
      <c r="Q23" s="189" t="s">
        <v>251</v>
      </c>
      <c r="R23" s="189" t="s">
        <v>251</v>
      </c>
      <c r="S23" s="189" t="s">
        <v>251</v>
      </c>
      <c r="T23" s="189" t="s">
        <v>251</v>
      </c>
      <c r="U23" s="188" t="s">
        <v>251</v>
      </c>
      <c r="V23" s="306" t="s">
        <v>251</v>
      </c>
      <c r="W23" s="317"/>
      <c r="X23" s="202"/>
    </row>
    <row r="24" spans="2:24" x14ac:dyDescent="0.25">
      <c r="D24" s="30" t="s">
        <v>87</v>
      </c>
      <c r="E24" s="29" t="s">
        <v>87</v>
      </c>
      <c r="F24" s="188" t="s">
        <v>148</v>
      </c>
      <c r="G24" s="211" t="s">
        <v>1205</v>
      </c>
      <c r="H24" s="211" t="s">
        <v>1205</v>
      </c>
      <c r="I24" s="212" t="s">
        <v>148</v>
      </c>
      <c r="J24" s="190" t="s">
        <v>1205</v>
      </c>
      <c r="K24" s="213" t="s">
        <v>1205</v>
      </c>
      <c r="L24" s="213" t="s">
        <v>1205</v>
      </c>
      <c r="M24" s="213" t="s">
        <v>1205</v>
      </c>
      <c r="N24" s="214" t="s">
        <v>1205</v>
      </c>
      <c r="O24" s="193" t="s">
        <v>148</v>
      </c>
      <c r="P24" s="215" t="s">
        <v>1205</v>
      </c>
      <c r="Q24" s="189"/>
      <c r="R24" s="203" t="s">
        <v>1004</v>
      </c>
      <c r="S24" s="203"/>
      <c r="T24" s="189" t="s">
        <v>148</v>
      </c>
      <c r="U24" s="188" t="s">
        <v>148</v>
      </c>
      <c r="V24" s="306" t="s">
        <v>148</v>
      </c>
      <c r="W24" s="317"/>
      <c r="X24" s="202"/>
    </row>
    <row customHeight="1" ht="15" r="25" spans="2:24" x14ac:dyDescent="0.25">
      <c r="B25" s="49"/>
      <c r="C25" s="49"/>
      <c r="D25" s="50" t="s">
        <v>86</v>
      </c>
      <c r="E25" s="51" t="s">
        <v>86</v>
      </c>
      <c r="F25" s="216" t="s">
        <v>149</v>
      </c>
      <c r="G25" s="217" t="s">
        <v>149</v>
      </c>
      <c r="H25" s="218" t="s">
        <v>1205</v>
      </c>
      <c r="I25" s="217" t="s">
        <v>149</v>
      </c>
      <c r="J25" s="219" t="s">
        <v>149</v>
      </c>
      <c r="K25" s="220" t="s">
        <v>149</v>
      </c>
      <c r="L25" s="220" t="s">
        <v>149</v>
      </c>
      <c r="M25" s="221" t="s">
        <v>1205</v>
      </c>
      <c r="N25" s="214" t="s">
        <v>1205</v>
      </c>
      <c r="O25" s="222" t="s">
        <v>149</v>
      </c>
      <c r="P25" s="223" t="s">
        <v>149</v>
      </c>
      <c r="Q25" s="217"/>
      <c r="R25" s="304" t="s">
        <v>149</v>
      </c>
      <c r="S25" s="304"/>
      <c r="T25" s="217"/>
      <c r="U25" s="260" t="s">
        <v>1220</v>
      </c>
      <c r="V25" s="310" t="s">
        <v>162</v>
      </c>
      <c r="W25" s="317"/>
      <c r="X25" s="202"/>
    </row>
    <row r="26" spans="2:24" x14ac:dyDescent="0.25">
      <c r="D26" s="30" t="s">
        <v>85</v>
      </c>
      <c r="E26" s="29" t="s">
        <v>85</v>
      </c>
      <c r="F26" s="188" t="s">
        <v>162</v>
      </c>
      <c r="G26" s="189" t="s">
        <v>162</v>
      </c>
      <c r="H26" s="189" t="s">
        <v>162</v>
      </c>
      <c r="I26" s="189" t="s">
        <v>162</v>
      </c>
      <c r="J26" s="190" t="s">
        <v>162</v>
      </c>
      <c r="K26" s="191" t="s">
        <v>162</v>
      </c>
      <c r="L26" s="213" t="s">
        <v>1205</v>
      </c>
      <c r="M26" s="191" t="s">
        <v>162</v>
      </c>
      <c r="N26" s="224" t="s">
        <v>1205</v>
      </c>
      <c r="O26" s="193" t="s">
        <v>162</v>
      </c>
      <c r="P26" s="194" t="s">
        <v>162</v>
      </c>
      <c r="Q26" s="189"/>
      <c r="R26" s="217"/>
      <c r="S26" s="217"/>
      <c r="T26" s="189"/>
      <c r="U26" s="188"/>
      <c r="V26" s="306"/>
      <c r="W26" s="317"/>
      <c r="X26" s="202"/>
    </row>
    <row r="27" spans="2:24" x14ac:dyDescent="0.25">
      <c r="D27" s="30" t="s">
        <v>84</v>
      </c>
      <c r="E27" s="29" t="s">
        <v>84</v>
      </c>
      <c r="F27" s="188">
        <v>15000</v>
      </c>
      <c r="G27" s="189">
        <v>15000</v>
      </c>
      <c r="H27" s="189">
        <v>15000</v>
      </c>
      <c r="I27" s="189">
        <v>15000</v>
      </c>
      <c r="J27" s="190">
        <v>15000</v>
      </c>
      <c r="K27" s="191">
        <v>15000</v>
      </c>
      <c r="L27" s="191">
        <v>15000</v>
      </c>
      <c r="M27" s="191">
        <v>15000</v>
      </c>
      <c r="N27" s="192">
        <v>15000</v>
      </c>
      <c r="O27" s="193">
        <v>15000</v>
      </c>
      <c r="P27" s="194">
        <v>15000</v>
      </c>
      <c r="Q27" s="189">
        <v>15000</v>
      </c>
      <c r="R27" s="189">
        <v>15000</v>
      </c>
      <c r="S27" s="189">
        <v>15000</v>
      </c>
      <c r="T27" s="189">
        <v>15000</v>
      </c>
      <c r="U27" s="188">
        <v>15000</v>
      </c>
      <c r="V27" s="306">
        <v>15000</v>
      </c>
      <c r="W27" s="317"/>
      <c r="X27" s="202"/>
    </row>
    <row r="28" spans="2:24" x14ac:dyDescent="0.25">
      <c r="D28" s="30" t="s">
        <v>83</v>
      </c>
      <c r="E28" s="29" t="s">
        <v>83</v>
      </c>
      <c r="F28" s="206">
        <v>400</v>
      </c>
      <c r="G28" s="207">
        <v>400</v>
      </c>
      <c r="H28" s="207">
        <v>400</v>
      </c>
      <c r="I28" s="207">
        <v>400</v>
      </c>
      <c r="J28" s="208">
        <v>400</v>
      </c>
      <c r="K28" s="209">
        <v>400</v>
      </c>
      <c r="L28" s="209">
        <v>400</v>
      </c>
      <c r="M28" s="209">
        <v>400</v>
      </c>
      <c r="N28" s="210">
        <v>400</v>
      </c>
      <c r="O28" s="206">
        <v>400</v>
      </c>
      <c r="P28" s="207">
        <v>400</v>
      </c>
      <c r="Q28" s="207">
        <v>400</v>
      </c>
      <c r="R28" s="207">
        <v>400</v>
      </c>
      <c r="S28" s="207">
        <v>400</v>
      </c>
      <c r="T28" s="207">
        <v>400</v>
      </c>
      <c r="U28" s="206">
        <v>400</v>
      </c>
      <c r="V28" s="308">
        <v>400</v>
      </c>
      <c r="W28" s="318"/>
      <c r="X28" s="209"/>
    </row>
    <row ht="15.75" r="29" spans="2:24" x14ac:dyDescent="0.3">
      <c r="B29" s="35" t="s">
        <v>82</v>
      </c>
      <c r="C29" s="34"/>
      <c r="D29" s="33" t="s">
        <v>975</v>
      </c>
      <c r="E29" s="32" t="s">
        <v>81</v>
      </c>
      <c r="F29" s="193" t="s">
        <v>80</v>
      </c>
      <c r="G29" s="194" t="s">
        <v>80</v>
      </c>
      <c r="H29" s="194" t="s">
        <v>80</v>
      </c>
      <c r="I29" s="194" t="s">
        <v>80</v>
      </c>
      <c r="J29" s="190" t="s">
        <v>80</v>
      </c>
      <c r="K29" s="202" t="s">
        <v>80</v>
      </c>
      <c r="L29" s="202" t="s">
        <v>80</v>
      </c>
      <c r="M29" s="202" t="s">
        <v>80</v>
      </c>
      <c r="N29" s="192" t="s">
        <v>80</v>
      </c>
      <c r="O29" s="193" t="s">
        <v>80</v>
      </c>
      <c r="P29" s="194" t="s">
        <v>80</v>
      </c>
      <c r="Q29" s="194" t="s">
        <v>80</v>
      </c>
      <c r="R29" s="194" t="s">
        <v>80</v>
      </c>
      <c r="S29" s="194" t="s">
        <v>80</v>
      </c>
      <c r="T29" s="194" t="s">
        <v>80</v>
      </c>
      <c r="U29" s="193" t="s">
        <v>80</v>
      </c>
      <c r="V29" s="306" t="s">
        <v>80</v>
      </c>
      <c r="W29" s="198"/>
      <c r="X29" s="191"/>
    </row>
    <row r="30" spans="2:24" x14ac:dyDescent="0.25">
      <c r="D30" s="39" t="s">
        <v>976</v>
      </c>
      <c r="E30" s="38" t="s">
        <v>79</v>
      </c>
      <c r="F30" s="195">
        <v>13076</v>
      </c>
      <c r="G30" s="196">
        <v>13076</v>
      </c>
      <c r="H30" s="196">
        <v>13076</v>
      </c>
      <c r="I30" s="196">
        <v>13076</v>
      </c>
      <c r="J30" s="197">
        <v>19651</v>
      </c>
      <c r="K30" s="198">
        <v>19651</v>
      </c>
      <c r="L30" s="198">
        <v>19651</v>
      </c>
      <c r="M30" s="198">
        <v>19651</v>
      </c>
      <c r="N30" s="199">
        <v>19651</v>
      </c>
      <c r="O30" s="200">
        <v>13076</v>
      </c>
      <c r="P30" s="201">
        <v>13076</v>
      </c>
      <c r="Q30" s="196">
        <v>13076</v>
      </c>
      <c r="R30" s="196">
        <v>13076</v>
      </c>
      <c r="S30" s="196">
        <v>13076</v>
      </c>
      <c r="T30" s="196">
        <v>13076</v>
      </c>
      <c r="U30" s="195">
        <v>13076</v>
      </c>
      <c r="V30" s="307">
        <v>13076</v>
      </c>
      <c r="W30" s="198"/>
      <c r="X30" s="191"/>
    </row>
    <row r="31" spans="2:24" x14ac:dyDescent="0.25">
      <c r="D31" s="39" t="s">
        <v>977</v>
      </c>
      <c r="E31" s="38" t="s">
        <v>78</v>
      </c>
      <c r="F31" s="188" t="s">
        <v>1142</v>
      </c>
      <c r="G31" s="189" t="s">
        <v>1142</v>
      </c>
      <c r="H31" s="189" t="s">
        <v>1142</v>
      </c>
      <c r="I31" s="189" t="s">
        <v>1142</v>
      </c>
      <c r="J31" s="190" t="s">
        <v>1142</v>
      </c>
      <c r="K31" s="191" t="s">
        <v>1142</v>
      </c>
      <c r="L31" s="191" t="s">
        <v>1142</v>
      </c>
      <c r="M31" s="191" t="s">
        <v>1142</v>
      </c>
      <c r="N31" s="192" t="s">
        <v>1142</v>
      </c>
      <c r="O31" s="193" t="s">
        <v>1142</v>
      </c>
      <c r="P31" s="194" t="s">
        <v>1142</v>
      </c>
      <c r="Q31" s="189" t="s">
        <v>1142</v>
      </c>
      <c r="R31" s="189" t="s">
        <v>1142</v>
      </c>
      <c r="S31" s="189" t="s">
        <v>1142</v>
      </c>
      <c r="T31" s="189" t="s">
        <v>1142</v>
      </c>
      <c r="U31" s="188" t="s">
        <v>1142</v>
      </c>
      <c r="V31" s="306" t="s">
        <v>1142</v>
      </c>
      <c r="W31" s="191"/>
      <c r="X31" s="191"/>
    </row>
    <row r="32" spans="2:24" x14ac:dyDescent="0.25">
      <c r="D32" s="39" t="s">
        <v>978</v>
      </c>
      <c r="E32" s="38" t="s">
        <v>150</v>
      </c>
      <c r="F32" s="188"/>
      <c r="G32" s="189"/>
      <c r="H32" s="189"/>
      <c r="I32" s="189"/>
      <c r="J32" s="190"/>
      <c r="K32" s="191"/>
      <c r="L32" s="191"/>
      <c r="M32" s="191"/>
      <c r="N32" s="192"/>
      <c r="O32" s="193"/>
      <c r="P32" s="194"/>
      <c r="Q32" s="189"/>
      <c r="R32" s="189"/>
      <c r="S32" s="189"/>
      <c r="T32" s="189"/>
      <c r="U32" s="188"/>
      <c r="V32" s="306"/>
      <c r="W32" s="191"/>
      <c r="X32" s="191"/>
    </row>
    <row r="33" spans="2:24" x14ac:dyDescent="0.25">
      <c r="D33" s="39" t="s">
        <v>1085</v>
      </c>
      <c r="E33" s="38" t="s">
        <v>1085</v>
      </c>
      <c r="F33" s="188"/>
      <c r="G33" s="189"/>
      <c r="H33" s="189"/>
      <c r="I33" s="189"/>
      <c r="J33" s="190"/>
      <c r="K33" s="191"/>
      <c r="L33" s="191"/>
      <c r="M33" s="191"/>
      <c r="N33" s="192"/>
      <c r="O33" s="193"/>
      <c r="P33" s="194"/>
      <c r="Q33" s="189"/>
      <c r="R33" s="189"/>
      <c r="S33" s="189"/>
      <c r="T33" s="189"/>
      <c r="U33" s="188"/>
      <c r="V33" s="306"/>
      <c r="W33" s="191"/>
      <c r="X33" s="191"/>
    </row>
    <row r="34" spans="2:24" x14ac:dyDescent="0.25">
      <c r="D34" s="39" t="s">
        <v>1086</v>
      </c>
      <c r="E34" s="38" t="s">
        <v>1086</v>
      </c>
      <c r="F34" s="188"/>
      <c r="G34" s="189"/>
      <c r="H34" s="189"/>
      <c r="I34" s="189"/>
      <c r="J34" s="190"/>
      <c r="K34" s="191"/>
      <c r="L34" s="191"/>
      <c r="M34" s="191"/>
      <c r="N34" s="192"/>
      <c r="O34" s="193"/>
      <c r="P34" s="194"/>
      <c r="Q34" s="189"/>
      <c r="R34" s="189"/>
      <c r="S34" s="189"/>
      <c r="T34" s="189"/>
      <c r="U34" s="188"/>
      <c r="V34" s="306"/>
      <c r="W34" s="191"/>
      <c r="X34" s="191"/>
    </row>
    <row r="35" spans="2:24" x14ac:dyDescent="0.25">
      <c r="D35" s="39" t="s">
        <v>1087</v>
      </c>
      <c r="E35" s="38" t="s">
        <v>1087</v>
      </c>
      <c r="F35" s="188"/>
      <c r="G35" s="189"/>
      <c r="H35" s="189"/>
      <c r="I35" s="189"/>
      <c r="J35" s="190"/>
      <c r="K35" s="191"/>
      <c r="L35" s="191"/>
      <c r="M35" s="191"/>
      <c r="N35" s="192"/>
      <c r="O35" s="193"/>
      <c r="P35" s="194"/>
      <c r="Q35" s="189"/>
      <c r="R35" s="189"/>
      <c r="S35" s="189"/>
      <c r="T35" s="189"/>
      <c r="U35" s="188"/>
      <c r="V35" s="306"/>
      <c r="W35" s="191"/>
      <c r="X35" s="191"/>
    </row>
    <row r="36" spans="2:24" x14ac:dyDescent="0.25">
      <c r="D36" s="39" t="s">
        <v>979</v>
      </c>
      <c r="E36" s="38" t="s">
        <v>77</v>
      </c>
      <c r="F36" s="225" t="s">
        <v>272</v>
      </c>
      <c r="G36" s="226" t="s">
        <v>272</v>
      </c>
      <c r="H36" s="226" t="s">
        <v>272</v>
      </c>
      <c r="I36" s="226" t="s">
        <v>272</v>
      </c>
      <c r="J36" s="227" t="s">
        <v>272</v>
      </c>
      <c r="K36" s="228" t="s">
        <v>272</v>
      </c>
      <c r="L36" s="228" t="s">
        <v>272</v>
      </c>
      <c r="M36" s="228" t="s">
        <v>272</v>
      </c>
      <c r="N36" s="229" t="s">
        <v>272</v>
      </c>
      <c r="O36" s="225" t="s">
        <v>272</v>
      </c>
      <c r="P36" s="226" t="s">
        <v>272</v>
      </c>
      <c r="Q36" s="226" t="s">
        <v>272</v>
      </c>
      <c r="R36" s="226" t="s">
        <v>272</v>
      </c>
      <c r="S36" s="226" t="s">
        <v>272</v>
      </c>
      <c r="T36" s="226" t="s">
        <v>272</v>
      </c>
      <c r="U36" s="225" t="s">
        <v>272</v>
      </c>
      <c r="V36" s="311" t="s">
        <v>272</v>
      </c>
      <c r="W36" s="226"/>
      <c r="X36" s="191"/>
    </row>
    <row r="37" spans="2:24" x14ac:dyDescent="0.25">
      <c r="D37" s="39" t="s">
        <v>1091</v>
      </c>
      <c r="E37" s="38" t="s">
        <v>1085</v>
      </c>
      <c r="F37" s="225"/>
      <c r="G37" s="226"/>
      <c r="H37" s="226"/>
      <c r="I37" s="226"/>
      <c r="J37" s="227"/>
      <c r="K37" s="228"/>
      <c r="L37" s="228"/>
      <c r="M37" s="228"/>
      <c r="N37" s="229"/>
      <c r="O37" s="225"/>
      <c r="P37" s="226"/>
      <c r="Q37" s="226"/>
      <c r="R37" s="226"/>
      <c r="S37" s="226"/>
      <c r="T37" s="226"/>
      <c r="U37" s="225"/>
      <c r="V37" s="311"/>
      <c r="W37" s="191"/>
      <c r="X37" s="191"/>
    </row>
    <row r="38" spans="2:24" x14ac:dyDescent="0.25">
      <c r="D38" s="39" t="s">
        <v>1092</v>
      </c>
      <c r="E38" s="38" t="s">
        <v>1086</v>
      </c>
      <c r="F38" s="225"/>
      <c r="G38" s="226"/>
      <c r="H38" s="226"/>
      <c r="I38" s="226"/>
      <c r="J38" s="227"/>
      <c r="K38" s="228"/>
      <c r="L38" s="228"/>
      <c r="M38" s="228"/>
      <c r="N38" s="229"/>
      <c r="O38" s="225"/>
      <c r="P38" s="226"/>
      <c r="Q38" s="226"/>
      <c r="R38" s="226"/>
      <c r="S38" s="226"/>
      <c r="T38" s="226"/>
      <c r="U38" s="225"/>
      <c r="V38" s="311"/>
      <c r="W38" s="191"/>
      <c r="X38" s="191"/>
    </row>
    <row r="39" spans="2:24" x14ac:dyDescent="0.25">
      <c r="D39" s="39" t="s">
        <v>1093</v>
      </c>
      <c r="E39" s="38" t="s">
        <v>1087</v>
      </c>
      <c r="F39" s="230"/>
      <c r="G39" s="231"/>
      <c r="H39" s="231"/>
      <c r="I39" s="231"/>
      <c r="J39" s="232"/>
      <c r="K39" s="233"/>
      <c r="L39" s="233"/>
      <c r="M39" s="233"/>
      <c r="N39" s="234"/>
      <c r="O39" s="230"/>
      <c r="P39" s="231"/>
      <c r="Q39" s="231"/>
      <c r="R39" s="231"/>
      <c r="S39" s="231"/>
      <c r="T39" s="231"/>
      <c r="U39" s="230"/>
      <c r="V39" s="312"/>
      <c r="W39" s="318"/>
      <c r="X39" s="209"/>
    </row>
    <row ht="15.75" r="40" spans="2:24" x14ac:dyDescent="0.3">
      <c r="B40" s="35" t="s">
        <v>55</v>
      </c>
      <c r="C40" s="34"/>
      <c r="D40" s="37" t="s">
        <v>266</v>
      </c>
      <c r="E40" s="36" t="s">
        <v>54</v>
      </c>
      <c r="F40" s="193" t="s">
        <v>53</v>
      </c>
      <c r="G40" s="194" t="s">
        <v>53</v>
      </c>
      <c r="H40" s="194" t="s">
        <v>53</v>
      </c>
      <c r="I40" s="194" t="s">
        <v>53</v>
      </c>
      <c r="J40" s="190" t="s">
        <v>53</v>
      </c>
      <c r="K40" s="202" t="s">
        <v>53</v>
      </c>
      <c r="L40" s="202" t="s">
        <v>53</v>
      </c>
      <c r="M40" s="202" t="s">
        <v>53</v>
      </c>
      <c r="N40" s="192" t="s">
        <v>53</v>
      </c>
      <c r="O40" s="193" t="s">
        <v>53</v>
      </c>
      <c r="P40" s="194" t="s">
        <v>53</v>
      </c>
      <c r="Q40" s="194" t="s">
        <v>53</v>
      </c>
      <c r="R40" s="194" t="s">
        <v>53</v>
      </c>
      <c r="S40" s="194" t="s">
        <v>53</v>
      </c>
      <c r="T40" s="194" t="s">
        <v>53</v>
      </c>
      <c r="U40" s="193" t="s">
        <v>53</v>
      </c>
      <c r="V40" s="306" t="s">
        <v>53</v>
      </c>
      <c r="W40" s="317"/>
      <c r="X40" s="202"/>
    </row>
    <row r="41" spans="2:24" x14ac:dyDescent="0.25">
      <c r="D41" s="30" t="s">
        <v>263</v>
      </c>
      <c r="E41" s="29" t="s">
        <v>52</v>
      </c>
      <c r="F41" s="188">
        <v>38</v>
      </c>
      <c r="G41" s="189">
        <v>38</v>
      </c>
      <c r="H41" s="189">
        <v>38</v>
      </c>
      <c r="I41" s="189">
        <v>38</v>
      </c>
      <c r="J41" s="190">
        <v>38</v>
      </c>
      <c r="K41" s="191">
        <v>38</v>
      </c>
      <c r="L41" s="191">
        <v>38</v>
      </c>
      <c r="M41" s="191">
        <v>38</v>
      </c>
      <c r="N41" s="192">
        <v>38</v>
      </c>
      <c r="O41" s="193">
        <v>38</v>
      </c>
      <c r="P41" s="194">
        <v>38</v>
      </c>
      <c r="Q41" s="189">
        <v>38</v>
      </c>
      <c r="R41" s="189">
        <v>38</v>
      </c>
      <c r="S41" s="189">
        <v>38</v>
      </c>
      <c r="T41" s="189">
        <v>38</v>
      </c>
      <c r="U41" s="188">
        <v>38</v>
      </c>
      <c r="V41" s="306">
        <v>38</v>
      </c>
      <c r="W41" s="317"/>
      <c r="X41" s="202"/>
    </row>
    <row r="42" spans="2:24" x14ac:dyDescent="0.25">
      <c r="D42" s="30" t="s">
        <v>264</v>
      </c>
      <c r="E42" s="29" t="s">
        <v>51</v>
      </c>
      <c r="F42" s="188">
        <v>4950</v>
      </c>
      <c r="G42" s="189">
        <v>4950</v>
      </c>
      <c r="H42" s="189">
        <v>4950</v>
      </c>
      <c r="I42" s="189">
        <v>4950</v>
      </c>
      <c r="J42" s="190">
        <v>4950</v>
      </c>
      <c r="K42" s="191">
        <v>4950</v>
      </c>
      <c r="L42" s="191">
        <v>4950</v>
      </c>
      <c r="M42" s="191">
        <v>4950</v>
      </c>
      <c r="N42" s="192">
        <v>4950</v>
      </c>
      <c r="O42" s="193">
        <v>4950</v>
      </c>
      <c r="P42" s="194">
        <v>4950</v>
      </c>
      <c r="Q42" s="189">
        <v>4950</v>
      </c>
      <c r="R42" s="189">
        <v>4950</v>
      </c>
      <c r="S42" s="189">
        <v>4950</v>
      </c>
      <c r="T42" s="189">
        <v>4950</v>
      </c>
      <c r="U42" s="188">
        <v>4950</v>
      </c>
      <c r="V42" s="306">
        <v>4950</v>
      </c>
      <c r="W42" s="317"/>
      <c r="X42" s="202"/>
    </row>
    <row r="43" spans="2:24" x14ac:dyDescent="0.25">
      <c r="D43" s="30" t="s">
        <v>265</v>
      </c>
      <c r="E43" s="29" t="s">
        <v>50</v>
      </c>
      <c r="F43" s="206">
        <v>1</v>
      </c>
      <c r="G43" s="207">
        <v>1</v>
      </c>
      <c r="H43" s="207">
        <v>1</v>
      </c>
      <c r="I43" s="207">
        <v>1</v>
      </c>
      <c r="J43" s="208">
        <v>1</v>
      </c>
      <c r="K43" s="209">
        <v>1</v>
      </c>
      <c r="L43" s="209">
        <v>1</v>
      </c>
      <c r="M43" s="209">
        <v>1</v>
      </c>
      <c r="N43" s="210">
        <v>1</v>
      </c>
      <c r="O43" s="206">
        <v>1</v>
      </c>
      <c r="P43" s="207">
        <v>1</v>
      </c>
      <c r="Q43" s="207">
        <v>1</v>
      </c>
      <c r="R43" s="207">
        <v>1</v>
      </c>
      <c r="S43" s="207">
        <v>1</v>
      </c>
      <c r="T43" s="207">
        <v>1</v>
      </c>
      <c r="U43" s="206">
        <v>1</v>
      </c>
      <c r="V43" s="308">
        <v>1</v>
      </c>
      <c r="W43" s="318"/>
      <c r="X43" s="209"/>
    </row>
    <row ht="15.75" r="44" spans="2:24" x14ac:dyDescent="0.3">
      <c r="B44" s="35" t="s">
        <v>49</v>
      </c>
      <c r="C44" s="40"/>
      <c r="D44" s="37" t="s">
        <v>964</v>
      </c>
      <c r="E44" s="36" t="s">
        <v>937</v>
      </c>
      <c r="F44" s="235" t="s">
        <v>948</v>
      </c>
      <c r="G44" s="236" t="s">
        <v>948</v>
      </c>
      <c r="H44" s="236" t="s">
        <v>948</v>
      </c>
      <c r="I44" s="236" t="s">
        <v>948</v>
      </c>
      <c r="J44" s="237" t="s">
        <v>948</v>
      </c>
      <c r="K44" s="238" t="s">
        <v>948</v>
      </c>
      <c r="L44" s="238" t="s">
        <v>948</v>
      </c>
      <c r="M44" s="238" t="s">
        <v>948</v>
      </c>
      <c r="N44" s="239" t="s">
        <v>948</v>
      </c>
      <c r="O44" s="240" t="s">
        <v>948</v>
      </c>
      <c r="P44" s="241" t="s">
        <v>948</v>
      </c>
      <c r="Q44" s="236" t="s">
        <v>948</v>
      </c>
      <c r="R44" s="236" t="s">
        <v>948</v>
      </c>
      <c r="S44" s="236" t="s">
        <v>948</v>
      </c>
      <c r="T44" s="236" t="s">
        <v>948</v>
      </c>
      <c r="U44" s="235" t="s">
        <v>948</v>
      </c>
      <c r="V44" s="313" t="s">
        <v>948</v>
      </c>
      <c r="W44" s="191"/>
      <c r="X44" s="191"/>
    </row>
    <row r="45" spans="2:24" x14ac:dyDescent="0.25">
      <c r="D45" s="30" t="s">
        <v>965</v>
      </c>
      <c r="E45" s="29" t="s">
        <v>947</v>
      </c>
      <c r="F45" s="242">
        <v>7</v>
      </c>
      <c r="G45" s="243">
        <v>7</v>
      </c>
      <c r="H45" s="243">
        <v>7</v>
      </c>
      <c r="I45" s="243">
        <v>7</v>
      </c>
      <c r="J45" s="244">
        <v>7</v>
      </c>
      <c r="K45" s="245">
        <v>7</v>
      </c>
      <c r="L45" s="245">
        <v>7</v>
      </c>
      <c r="M45" s="245">
        <v>7</v>
      </c>
      <c r="N45" s="246">
        <v>7</v>
      </c>
      <c r="O45" s="247">
        <v>7</v>
      </c>
      <c r="P45" s="248">
        <v>7</v>
      </c>
      <c r="Q45" s="243">
        <v>7</v>
      </c>
      <c r="R45" s="243">
        <v>7</v>
      </c>
      <c r="S45" s="243">
        <v>7</v>
      </c>
      <c r="T45" s="243">
        <v>7</v>
      </c>
      <c r="U45" s="242">
        <v>7</v>
      </c>
      <c r="V45" s="314">
        <v>7</v>
      </c>
      <c r="W45" s="191"/>
      <c r="X45" s="191"/>
    </row>
    <row r="46" spans="2:24" x14ac:dyDescent="0.25">
      <c r="D46" s="30" t="s">
        <v>1171</v>
      </c>
      <c r="E46" s="29" t="s">
        <v>1150</v>
      </c>
      <c r="F46" s="242"/>
      <c r="G46" s="243"/>
      <c r="H46" s="243"/>
      <c r="I46" s="243"/>
      <c r="J46" s="244"/>
      <c r="K46" s="245"/>
      <c r="L46" s="245"/>
      <c r="M46" s="245"/>
      <c r="N46" s="246"/>
      <c r="O46" s="247"/>
      <c r="P46" s="248"/>
      <c r="Q46" s="243"/>
      <c r="R46" s="243"/>
      <c r="S46" s="243"/>
      <c r="T46" s="243"/>
      <c r="U46" s="242"/>
      <c r="V46" s="314"/>
      <c r="W46" s="191"/>
      <c r="X46" s="191"/>
    </row>
    <row r="47" spans="2:24" x14ac:dyDescent="0.25">
      <c r="D47" s="30" t="s">
        <v>966</v>
      </c>
      <c r="E47" s="29" t="s">
        <v>938</v>
      </c>
      <c r="F47" s="188" t="s">
        <v>48</v>
      </c>
      <c r="G47" s="189" t="s">
        <v>48</v>
      </c>
      <c r="H47" s="189" t="s">
        <v>48</v>
      </c>
      <c r="I47" s="189" t="s">
        <v>48</v>
      </c>
      <c r="J47" s="190" t="s">
        <v>48</v>
      </c>
      <c r="K47" s="191" t="s">
        <v>48</v>
      </c>
      <c r="L47" s="191" t="s">
        <v>48</v>
      </c>
      <c r="M47" s="191" t="s">
        <v>48</v>
      </c>
      <c r="N47" s="192" t="s">
        <v>48</v>
      </c>
      <c r="O47" s="193" t="s">
        <v>48</v>
      </c>
      <c r="P47" s="194" t="s">
        <v>48</v>
      </c>
      <c r="Q47" s="189" t="s">
        <v>48</v>
      </c>
      <c r="R47" s="189" t="s">
        <v>48</v>
      </c>
      <c r="S47" s="189" t="s">
        <v>48</v>
      </c>
      <c r="T47" s="189" t="s">
        <v>48</v>
      </c>
      <c r="U47" s="188" t="s">
        <v>48</v>
      </c>
      <c r="V47" s="306" t="s">
        <v>48</v>
      </c>
      <c r="W47" s="191"/>
      <c r="X47" s="191"/>
    </row>
    <row r="48" spans="2:24" x14ac:dyDescent="0.25">
      <c r="D48" s="30" t="s">
        <v>967</v>
      </c>
      <c r="E48" s="29" t="s">
        <v>945</v>
      </c>
      <c r="F48" s="195">
        <v>41703</v>
      </c>
      <c r="G48" s="196">
        <v>41703</v>
      </c>
      <c r="H48" s="196">
        <v>41703</v>
      </c>
      <c r="I48" s="196">
        <v>41703</v>
      </c>
      <c r="J48" s="197">
        <v>41703</v>
      </c>
      <c r="K48" s="198">
        <v>41703</v>
      </c>
      <c r="L48" s="198">
        <v>41703</v>
      </c>
      <c r="M48" s="198">
        <v>41703</v>
      </c>
      <c r="N48" s="199">
        <v>41703</v>
      </c>
      <c r="O48" s="200">
        <v>41703</v>
      </c>
      <c r="P48" s="201">
        <v>41703</v>
      </c>
      <c r="Q48" s="196">
        <v>41703</v>
      </c>
      <c r="R48" s="196">
        <v>41703</v>
      </c>
      <c r="S48" s="196">
        <v>41703</v>
      </c>
      <c r="T48" s="196">
        <v>41703</v>
      </c>
      <c r="U48" s="195">
        <v>41703</v>
      </c>
      <c r="V48" s="307">
        <v>41703</v>
      </c>
      <c r="W48" s="191"/>
      <c r="X48" s="191"/>
    </row>
    <row r="49" spans="2:24" x14ac:dyDescent="0.25">
      <c r="D49" s="27" t="s">
        <v>968</v>
      </c>
      <c r="E49" s="26" t="s">
        <v>941</v>
      </c>
      <c r="F49" s="206">
        <v>1.27</v>
      </c>
      <c r="G49" s="207">
        <v>1.27</v>
      </c>
      <c r="H49" s="207">
        <v>1.27</v>
      </c>
      <c r="I49" s="207">
        <v>1.27</v>
      </c>
      <c r="J49" s="208">
        <v>1.27</v>
      </c>
      <c r="K49" s="209">
        <v>1.27</v>
      </c>
      <c r="L49" s="209">
        <v>1.27</v>
      </c>
      <c r="M49" s="209">
        <v>1.27</v>
      </c>
      <c r="N49" s="210">
        <v>1.27</v>
      </c>
      <c r="O49" s="206">
        <v>1.27</v>
      </c>
      <c r="P49" s="207">
        <v>1.27</v>
      </c>
      <c r="Q49" s="207">
        <v>1.27</v>
      </c>
      <c r="R49" s="207">
        <v>1.27</v>
      </c>
      <c r="S49" s="207">
        <v>1.27</v>
      </c>
      <c r="T49" s="207">
        <v>1.27</v>
      </c>
      <c r="U49" s="206">
        <v>1.27</v>
      </c>
      <c r="V49" s="308">
        <v>1.27</v>
      </c>
      <c r="W49" s="318"/>
      <c r="X49" s="209"/>
    </row>
    <row r="50" spans="2:24" x14ac:dyDescent="0.25">
      <c r="D50" s="30" t="s">
        <v>1172</v>
      </c>
      <c r="E50" s="29" t="s">
        <v>1154</v>
      </c>
      <c r="F50" s="193"/>
      <c r="G50" s="194"/>
      <c r="H50" s="194"/>
      <c r="I50" s="194"/>
      <c r="J50" s="190"/>
      <c r="K50" s="202"/>
      <c r="L50" s="202"/>
      <c r="M50" s="202"/>
      <c r="N50" s="192"/>
      <c r="O50" s="193"/>
      <c r="P50" s="194"/>
      <c r="Q50" s="194"/>
      <c r="R50" s="194"/>
      <c r="S50" s="194"/>
      <c r="T50" s="194"/>
      <c r="U50" s="193"/>
      <c r="V50" s="306"/>
      <c r="W50" s="191"/>
      <c r="X50" s="191"/>
    </row>
    <row r="51" spans="2:24" x14ac:dyDescent="0.25">
      <c r="D51" s="30" t="s">
        <v>969</v>
      </c>
      <c r="E51" s="29" t="s">
        <v>939</v>
      </c>
      <c r="F51" s="188" t="s">
        <v>47</v>
      </c>
      <c r="G51" s="189" t="s">
        <v>47</v>
      </c>
      <c r="H51" s="189" t="s">
        <v>47</v>
      </c>
      <c r="I51" s="189" t="s">
        <v>47</v>
      </c>
      <c r="J51" s="190" t="s">
        <v>47</v>
      </c>
      <c r="K51" s="191" t="s">
        <v>47</v>
      </c>
      <c r="L51" s="191" t="s">
        <v>47</v>
      </c>
      <c r="M51" s="191" t="s">
        <v>47</v>
      </c>
      <c r="N51" s="192" t="s">
        <v>47</v>
      </c>
      <c r="O51" s="193" t="s">
        <v>47</v>
      </c>
      <c r="P51" s="194" t="s">
        <v>47</v>
      </c>
      <c r="Q51" s="189" t="s">
        <v>47</v>
      </c>
      <c r="R51" s="189" t="s">
        <v>47</v>
      </c>
      <c r="S51" s="189" t="s">
        <v>47</v>
      </c>
      <c r="T51" s="189" t="s">
        <v>47</v>
      </c>
      <c r="U51" s="188" t="s">
        <v>47</v>
      </c>
      <c r="V51" s="306" t="s">
        <v>47</v>
      </c>
      <c r="W51" s="191"/>
      <c r="X51" s="191"/>
    </row>
    <row r="52" spans="2:24" x14ac:dyDescent="0.25">
      <c r="D52" s="30" t="s">
        <v>970</v>
      </c>
      <c r="E52" s="29" t="s">
        <v>944</v>
      </c>
      <c r="F52" s="195">
        <v>41067</v>
      </c>
      <c r="G52" s="196">
        <v>41067</v>
      </c>
      <c r="H52" s="196">
        <v>41067</v>
      </c>
      <c r="I52" s="196">
        <v>41067</v>
      </c>
      <c r="J52" s="197">
        <v>41067</v>
      </c>
      <c r="K52" s="198">
        <v>41067</v>
      </c>
      <c r="L52" s="198">
        <v>41067</v>
      </c>
      <c r="M52" s="198">
        <v>41067</v>
      </c>
      <c r="N52" s="199">
        <v>41067</v>
      </c>
      <c r="O52" s="200">
        <v>41067</v>
      </c>
      <c r="P52" s="201">
        <v>41067</v>
      </c>
      <c r="Q52" s="196">
        <v>41067</v>
      </c>
      <c r="R52" s="196">
        <v>41067</v>
      </c>
      <c r="S52" s="196">
        <v>41067</v>
      </c>
      <c r="T52" s="196">
        <v>41067</v>
      </c>
      <c r="U52" s="195">
        <v>41067</v>
      </c>
      <c r="V52" s="307">
        <v>41067</v>
      </c>
      <c r="W52" s="191"/>
      <c r="X52" s="191"/>
    </row>
    <row r="53" spans="2:24" x14ac:dyDescent="0.25">
      <c r="D53" s="27" t="s">
        <v>971</v>
      </c>
      <c r="E53" s="26" t="s">
        <v>943</v>
      </c>
      <c r="F53" s="206">
        <v>1.08</v>
      </c>
      <c r="G53" s="207">
        <v>1.08</v>
      </c>
      <c r="H53" s="207">
        <v>1.08</v>
      </c>
      <c r="I53" s="207">
        <v>1.08</v>
      </c>
      <c r="J53" s="208">
        <v>1.08</v>
      </c>
      <c r="K53" s="209">
        <v>1.08</v>
      </c>
      <c r="L53" s="209">
        <v>1.08</v>
      </c>
      <c r="M53" s="209">
        <v>1.08</v>
      </c>
      <c r="N53" s="210">
        <v>1.08</v>
      </c>
      <c r="O53" s="206">
        <v>1.08</v>
      </c>
      <c r="P53" s="207">
        <v>1.08</v>
      </c>
      <c r="Q53" s="207">
        <v>1.08</v>
      </c>
      <c r="R53" s="207">
        <v>1.08</v>
      </c>
      <c r="S53" s="207">
        <v>1.08</v>
      </c>
      <c r="T53" s="207">
        <v>1.08</v>
      </c>
      <c r="U53" s="206">
        <v>1.08</v>
      </c>
      <c r="V53" s="308">
        <v>1.08</v>
      </c>
      <c r="W53" s="318"/>
      <c r="X53" s="209"/>
    </row>
    <row r="56" spans="2:24" x14ac:dyDescent="0.25">
      <c r="B56" s="444" t="s">
        <v>1248</v>
      </c>
      <c r="C56" s="444"/>
      <c r="D56" s="444"/>
    </row>
    <row r="57" spans="2:24" x14ac:dyDescent="0.25">
      <c r="B57" s="60" t="s">
        <v>3</v>
      </c>
      <c r="C57" s="60" t="s">
        <v>6</v>
      </c>
      <c r="D57" s="60">
        <v>2</v>
      </c>
      <c r="E57" s="60"/>
    </row>
    <row r="58" spans="2:24" x14ac:dyDescent="0.25">
      <c r="B58" s="249" t="s">
        <v>1</v>
      </c>
      <c r="C58" s="159" t="s">
        <v>1098</v>
      </c>
      <c r="D58" s="159" t="s">
        <v>1245</v>
      </c>
      <c r="E58" s="159" t="s">
        <v>1208</v>
      </c>
    </row>
    <row r="59" spans="2:24" x14ac:dyDescent="0.25">
      <c r="B59" s="250" t="s">
        <v>1206</v>
      </c>
      <c r="C59" s="63"/>
      <c r="D59" s="63"/>
      <c r="E59" s="63"/>
    </row>
    <row r="60" spans="2:24" x14ac:dyDescent="0.25">
      <c r="B60" s="251" t="s">
        <v>2</v>
      </c>
      <c r="C60" s="160" t="s">
        <v>1139</v>
      </c>
      <c r="D60" s="160" t="s">
        <v>1249</v>
      </c>
      <c r="E60" s="47" t="s">
        <v>1207</v>
      </c>
    </row>
    <row r="61" spans="2:24" x14ac:dyDescent="0.25">
      <c r="B61" s="301" t="s">
        <v>1195</v>
      </c>
      <c r="C61" s="252" t="s">
        <v>1003</v>
      </c>
      <c r="D61" s="296">
        <v>43101</v>
      </c>
      <c r="E61" s="253" t="s">
        <v>1408</v>
      </c>
    </row>
    <row r="62" spans="2:24" x14ac:dyDescent="0.25">
      <c r="B62" s="301" t="s">
        <v>1196</v>
      </c>
      <c r="C62" s="252" t="s">
        <v>1003</v>
      </c>
      <c r="D62" s="296">
        <v>43101</v>
      </c>
      <c r="E62" s="253" t="s">
        <v>1408</v>
      </c>
    </row>
    <row r="63" spans="2:24" x14ac:dyDescent="0.25">
      <c r="B63" s="301" t="s">
        <v>1197</v>
      </c>
      <c r="C63" s="252" t="s">
        <v>1003</v>
      </c>
      <c r="D63" s="296">
        <v>43101</v>
      </c>
      <c r="E63" s="253" t="s">
        <v>1342</v>
      </c>
    </row>
    <row r="64" spans="2:24" x14ac:dyDescent="0.25">
      <c r="B64" s="301" t="s">
        <v>1198</v>
      </c>
      <c r="C64" s="252" t="s">
        <v>160</v>
      </c>
      <c r="D64" s="296">
        <v>43101</v>
      </c>
      <c r="E64" s="253" t="s">
        <v>1382</v>
      </c>
    </row>
    <row r="65" spans="2:6" x14ac:dyDescent="0.25">
      <c r="B65" s="301" t="s">
        <v>1199</v>
      </c>
      <c r="C65" s="252" t="s">
        <v>160</v>
      </c>
      <c r="D65" s="296">
        <v>43101</v>
      </c>
      <c r="E65" s="253" t="s">
        <v>1381</v>
      </c>
    </row>
    <row r="66" spans="2:6" x14ac:dyDescent="0.25">
      <c r="B66" s="301" t="s">
        <v>1200</v>
      </c>
      <c r="C66" s="252" t="s">
        <v>160</v>
      </c>
      <c r="D66" s="296">
        <v>43101</v>
      </c>
      <c r="E66" s="253" t="s">
        <v>1382</v>
      </c>
    </row>
    <row r="67" spans="2:6" x14ac:dyDescent="0.25">
      <c r="B67" s="301" t="s">
        <v>1201</v>
      </c>
      <c r="C67" s="252" t="s">
        <v>160</v>
      </c>
      <c r="D67" s="296">
        <v>43101</v>
      </c>
      <c r="E67" s="253" t="s">
        <v>1381</v>
      </c>
    </row>
    <row r="68" spans="2:6" x14ac:dyDescent="0.25">
      <c r="B68" s="301" t="s">
        <v>1203</v>
      </c>
      <c r="C68" s="259" t="s">
        <v>1003</v>
      </c>
      <c r="D68" s="296">
        <v>43101</v>
      </c>
      <c r="E68" s="253" t="s">
        <v>1408</v>
      </c>
    </row>
    <row r="69" spans="2:6" x14ac:dyDescent="0.25">
      <c r="B69" s="302" t="s">
        <v>1213</v>
      </c>
      <c r="C69" s="299" t="s">
        <v>1003</v>
      </c>
      <c r="D69" s="298">
        <v>43101</v>
      </c>
      <c r="E69" s="300" t="s">
        <v>285</v>
      </c>
    </row>
    <row r="70" spans="2:6" x14ac:dyDescent="0.25">
      <c r="B70" s="301" t="s">
        <v>1216</v>
      </c>
      <c r="C70" s="259" t="s">
        <v>1003</v>
      </c>
      <c r="D70" s="296">
        <v>43101</v>
      </c>
      <c r="E70" s="253" t="s">
        <v>285</v>
      </c>
    </row>
    <row r="71" spans="2:6" x14ac:dyDescent="0.25">
      <c r="B71" s="301" t="s">
        <v>1217</v>
      </c>
      <c r="C71" s="259" t="s">
        <v>1003</v>
      </c>
      <c r="D71" s="296">
        <v>43101</v>
      </c>
      <c r="E71" s="253" t="s">
        <v>285</v>
      </c>
    </row>
    <row r="72" spans="2:6" x14ac:dyDescent="0.25">
      <c r="B72" s="301" t="s">
        <v>1218</v>
      </c>
      <c r="C72" s="259" t="s">
        <v>160</v>
      </c>
      <c r="D72" s="296">
        <v>43101</v>
      </c>
      <c r="E72" s="253" t="s">
        <v>285</v>
      </c>
    </row>
    <row r="73" spans="2:6" x14ac:dyDescent="0.25">
      <c r="B73" s="303" t="s">
        <v>1219</v>
      </c>
      <c r="C73" s="254" t="s">
        <v>160</v>
      </c>
      <c r="D73" s="297">
        <v>43101</v>
      </c>
      <c r="E73" s="255" t="s">
        <v>1239</v>
      </c>
    </row>
    <row r="77" spans="2:6" x14ac:dyDescent="0.25">
      <c r="B77" s="445" t="s">
        <v>1263</v>
      </c>
      <c r="C77" s="445"/>
      <c r="D77" s="445"/>
      <c r="E77" s="445"/>
      <c r="F77" s="40"/>
    </row>
    <row r="78" spans="2:6" x14ac:dyDescent="0.25">
      <c r="B78" s="382" t="s">
        <v>3</v>
      </c>
      <c r="C78" s="382" t="s">
        <v>6</v>
      </c>
      <c r="D78" s="382">
        <v>2</v>
      </c>
      <c r="E78" s="274"/>
      <c r="F78" s="40"/>
    </row>
    <row r="79" spans="2:6" x14ac:dyDescent="0.25">
      <c r="B79" s="377" t="s">
        <v>1264</v>
      </c>
      <c r="C79" s="377" t="s">
        <v>108</v>
      </c>
      <c r="D79" s="380" t="s">
        <v>2</v>
      </c>
      <c r="E79" s="302" t="s">
        <v>1262</v>
      </c>
      <c r="F79" s="392" t="s">
        <v>1296</v>
      </c>
    </row>
    <row r="80" spans="2:6" x14ac:dyDescent="0.25">
      <c r="B80" s="378" t="s">
        <v>1098</v>
      </c>
      <c r="C80" s="378"/>
      <c r="D80" s="381" t="s">
        <v>1139</v>
      </c>
      <c r="E80" s="391" t="s">
        <v>160</v>
      </c>
      <c r="F80" s="393" t="s">
        <v>1003</v>
      </c>
    </row>
    <row ht="15.75" r="81" spans="2:6" thickBot="1" x14ac:dyDescent="0.3">
      <c r="B81" s="396" t="s">
        <v>1245</v>
      </c>
      <c r="C81" s="396"/>
      <c r="D81" s="397" t="s">
        <v>1249</v>
      </c>
      <c r="E81" s="398">
        <v>43451</v>
      </c>
      <c r="F81" s="399">
        <v>43452</v>
      </c>
    </row>
    <row r="82" spans="2:6" x14ac:dyDescent="0.25">
      <c r="B82" s="378" t="s">
        <v>1265</v>
      </c>
      <c r="C82" s="378"/>
      <c r="D82" s="379" t="s">
        <v>1265</v>
      </c>
      <c r="E82" s="376" t="s">
        <v>151</v>
      </c>
      <c r="F82" s="394" t="s">
        <v>1001</v>
      </c>
    </row>
    <row r="83" spans="2:6" x14ac:dyDescent="0.25">
      <c r="B83" s="378" t="s">
        <v>1266</v>
      </c>
      <c r="C83" s="378"/>
      <c r="D83" s="379" t="s">
        <v>1266</v>
      </c>
      <c r="E83" s="376" t="s">
        <v>149</v>
      </c>
      <c r="F83" s="394" t="s">
        <v>162</v>
      </c>
    </row>
    <row r="84" spans="2:6" x14ac:dyDescent="0.25">
      <c r="B84" s="378" t="s">
        <v>1267</v>
      </c>
      <c r="C84" s="378"/>
      <c r="D84" s="379" t="s">
        <v>1267</v>
      </c>
      <c r="E84" s="376" t="s">
        <v>162</v>
      </c>
      <c r="F84" s="394" t="s">
        <v>1004</v>
      </c>
    </row>
    <row r="85" spans="2:6" x14ac:dyDescent="0.25">
      <c r="B85" s="378" t="s">
        <v>1297</v>
      </c>
      <c r="C85" s="378"/>
      <c r="D85" s="379" t="s">
        <v>1297</v>
      </c>
      <c r="E85" s="376" t="s">
        <v>1205</v>
      </c>
      <c r="F85" s="394" t="s">
        <v>1006</v>
      </c>
    </row>
    <row r="86" spans="2:6" x14ac:dyDescent="0.25">
      <c r="B86" s="378" t="s">
        <v>1298</v>
      </c>
      <c r="C86" s="378"/>
      <c r="D86" s="379" t="s">
        <v>1298</v>
      </c>
      <c r="E86" s="376" t="s">
        <v>1205</v>
      </c>
      <c r="F86" s="395" t="s">
        <v>149</v>
      </c>
    </row>
    <row r="87" spans="2:6" x14ac:dyDescent="0.25">
      <c r="B87" s="383" t="s">
        <v>1270</v>
      </c>
      <c r="C87" s="383"/>
      <c r="D87" s="384" t="s">
        <v>1270</v>
      </c>
      <c r="E87" s="385" t="s">
        <v>151</v>
      </c>
      <c r="F87" s="394" t="s">
        <v>1001</v>
      </c>
    </row>
    <row r="88" spans="2:6" x14ac:dyDescent="0.25">
      <c r="B88" s="378" t="s">
        <v>1268</v>
      </c>
      <c r="C88" s="378"/>
      <c r="D88" s="379" t="s">
        <v>1268</v>
      </c>
      <c r="E88" s="376" t="s">
        <v>149</v>
      </c>
      <c r="F88" s="394" t="s">
        <v>162</v>
      </c>
    </row>
    <row r="89" spans="2:6" x14ac:dyDescent="0.25">
      <c r="B89" s="378" t="s">
        <v>1269</v>
      </c>
      <c r="C89" s="378"/>
      <c r="D89" s="379" t="s">
        <v>1269</v>
      </c>
      <c r="E89" s="376" t="s">
        <v>1205</v>
      </c>
      <c r="F89" s="394" t="s">
        <v>1004</v>
      </c>
    </row>
    <row r="90" spans="2:6" x14ac:dyDescent="0.25">
      <c r="B90" s="378" t="s">
        <v>1299</v>
      </c>
      <c r="C90" s="378"/>
      <c r="D90" s="379" t="s">
        <v>1299</v>
      </c>
      <c r="E90" s="376" t="s">
        <v>1205</v>
      </c>
      <c r="F90" s="395" t="s">
        <v>1006</v>
      </c>
    </row>
    <row r="91" spans="2:6" x14ac:dyDescent="0.25">
      <c r="B91" s="383" t="s">
        <v>1272</v>
      </c>
      <c r="C91" s="383"/>
      <c r="D91" s="384" t="s">
        <v>1272</v>
      </c>
      <c r="E91" s="385" t="s">
        <v>151</v>
      </c>
      <c r="F91" s="394" t="s">
        <v>1001</v>
      </c>
    </row>
    <row r="92" spans="2:6" x14ac:dyDescent="0.25">
      <c r="B92" s="378" t="s">
        <v>1271</v>
      </c>
      <c r="C92" s="378"/>
      <c r="D92" s="379" t="s">
        <v>1271</v>
      </c>
      <c r="E92" s="376" t="s">
        <v>162</v>
      </c>
      <c r="F92" s="394" t="s">
        <v>162</v>
      </c>
    </row>
    <row r="93" spans="2:6" x14ac:dyDescent="0.25">
      <c r="B93" s="378" t="s">
        <v>1300</v>
      </c>
      <c r="C93" s="378"/>
      <c r="D93" s="379" t="s">
        <v>1300</v>
      </c>
      <c r="E93" s="376" t="s">
        <v>1205</v>
      </c>
      <c r="F93" s="394" t="s">
        <v>1004</v>
      </c>
    </row>
    <row r="94" spans="2:6" x14ac:dyDescent="0.25">
      <c r="B94" s="386" t="s">
        <v>1301</v>
      </c>
      <c r="C94" s="386"/>
      <c r="D94" s="387" t="s">
        <v>1301</v>
      </c>
      <c r="E94" s="388" t="s">
        <v>1205</v>
      </c>
      <c r="F94" s="395" t="s">
        <v>149</v>
      </c>
    </row>
    <row r="95" spans="2:6" x14ac:dyDescent="0.25">
      <c r="B95" s="378" t="s">
        <v>1274</v>
      </c>
      <c r="C95" s="378"/>
      <c r="D95" s="379" t="s">
        <v>1274</v>
      </c>
      <c r="E95" s="376" t="s">
        <v>151</v>
      </c>
      <c r="F95" s="394" t="s">
        <v>1001</v>
      </c>
    </row>
    <row r="96" spans="2:6" x14ac:dyDescent="0.25">
      <c r="B96" s="378" t="s">
        <v>1273</v>
      </c>
      <c r="C96" s="378"/>
      <c r="D96" s="379" t="s">
        <v>1273</v>
      </c>
      <c r="E96" s="376" t="s">
        <v>1205</v>
      </c>
      <c r="F96" s="394" t="s">
        <v>162</v>
      </c>
    </row>
    <row ht="15.75" r="97" spans="2:6" thickBot="1" x14ac:dyDescent="0.3">
      <c r="B97" s="396" t="s">
        <v>1302</v>
      </c>
      <c r="C97" s="396"/>
      <c r="D97" s="400" t="s">
        <v>1302</v>
      </c>
      <c r="E97" s="401" t="s">
        <v>1205</v>
      </c>
      <c r="F97" s="395" t="s">
        <v>1004</v>
      </c>
    </row>
    <row r="98" spans="2:6" x14ac:dyDescent="0.25">
      <c r="B98" s="378" t="s">
        <v>1277</v>
      </c>
      <c r="C98" s="378"/>
      <c r="D98" s="379" t="s">
        <v>1277</v>
      </c>
      <c r="E98" s="376" t="s">
        <v>1001</v>
      </c>
      <c r="F98" s="394" t="s">
        <v>1001</v>
      </c>
    </row>
    <row r="99" spans="2:6" x14ac:dyDescent="0.25">
      <c r="B99" s="378" t="s">
        <v>1275</v>
      </c>
      <c r="C99" s="378"/>
      <c r="D99" s="379" t="s">
        <v>1275</v>
      </c>
      <c r="E99" s="376" t="s">
        <v>149</v>
      </c>
      <c r="F99" s="394" t="s">
        <v>162</v>
      </c>
    </row>
    <row r="100" spans="2:6" x14ac:dyDescent="0.25">
      <c r="B100" s="378" t="s">
        <v>1276</v>
      </c>
      <c r="C100" s="378"/>
      <c r="D100" s="379" t="s">
        <v>1276</v>
      </c>
      <c r="E100" s="376" t="s">
        <v>162</v>
      </c>
      <c r="F100" s="394" t="s">
        <v>1006</v>
      </c>
    </row>
    <row r="101" spans="2:6" x14ac:dyDescent="0.25">
      <c r="B101" s="386" t="s">
        <v>1303</v>
      </c>
      <c r="C101" s="386"/>
      <c r="D101" s="387" t="s">
        <v>1303</v>
      </c>
      <c r="E101" s="388" t="s">
        <v>1205</v>
      </c>
      <c r="F101" s="395" t="s">
        <v>149</v>
      </c>
    </row>
    <row r="102" spans="2:6" x14ac:dyDescent="0.25">
      <c r="B102" s="378" t="s">
        <v>1279</v>
      </c>
      <c r="C102" s="378"/>
      <c r="D102" s="379" t="s">
        <v>1279</v>
      </c>
      <c r="E102" s="376" t="s">
        <v>1001</v>
      </c>
      <c r="F102" s="394" t="s">
        <v>1001</v>
      </c>
    </row>
    <row r="103" spans="2:6" x14ac:dyDescent="0.25">
      <c r="B103" s="378" t="s">
        <v>1278</v>
      </c>
      <c r="C103" s="378"/>
      <c r="D103" s="379" t="s">
        <v>1278</v>
      </c>
      <c r="E103" s="376" t="s">
        <v>149</v>
      </c>
      <c r="F103" s="394" t="s">
        <v>162</v>
      </c>
    </row>
    <row r="104" spans="2:6" x14ac:dyDescent="0.25">
      <c r="B104" s="386" t="s">
        <v>1304</v>
      </c>
      <c r="C104" s="386"/>
      <c r="D104" s="387" t="s">
        <v>1304</v>
      </c>
      <c r="E104" s="388" t="s">
        <v>1205</v>
      </c>
      <c r="F104" s="395" t="s">
        <v>1006</v>
      </c>
    </row>
    <row r="105" spans="2:6" x14ac:dyDescent="0.25">
      <c r="B105" s="378" t="s">
        <v>1281</v>
      </c>
      <c r="C105" s="378"/>
      <c r="D105" s="379" t="s">
        <v>1281</v>
      </c>
      <c r="E105" s="376" t="s">
        <v>1001</v>
      </c>
      <c r="F105" s="394" t="s">
        <v>1001</v>
      </c>
    </row>
    <row r="106" spans="2:6" x14ac:dyDescent="0.25">
      <c r="B106" s="378" t="s">
        <v>1280</v>
      </c>
      <c r="C106" s="378"/>
      <c r="D106" s="379" t="s">
        <v>1280</v>
      </c>
      <c r="E106" s="376" t="s">
        <v>162</v>
      </c>
      <c r="F106" s="394" t="s">
        <v>162</v>
      </c>
    </row>
    <row r="107" spans="2:6" x14ac:dyDescent="0.25">
      <c r="B107" s="386" t="s">
        <v>1305</v>
      </c>
      <c r="C107" s="386"/>
      <c r="D107" s="387" t="s">
        <v>1305</v>
      </c>
      <c r="E107" s="388" t="s">
        <v>1205</v>
      </c>
      <c r="F107" s="395" t="s">
        <v>149</v>
      </c>
    </row>
    <row r="108" spans="2:6" x14ac:dyDescent="0.25">
      <c r="B108" s="378" t="s">
        <v>1282</v>
      </c>
      <c r="C108" s="378"/>
      <c r="D108" s="379" t="s">
        <v>1282</v>
      </c>
      <c r="E108" s="376" t="s">
        <v>1001</v>
      </c>
      <c r="F108" s="394" t="s">
        <v>1001</v>
      </c>
    </row>
    <row ht="15.75" r="109" spans="2:6" thickBot="1" x14ac:dyDescent="0.3">
      <c r="B109" s="396" t="s">
        <v>1306</v>
      </c>
      <c r="C109" s="396"/>
      <c r="D109" s="400" t="s">
        <v>1306</v>
      </c>
      <c r="E109" s="401" t="s">
        <v>1205</v>
      </c>
      <c r="F109" s="395" t="s">
        <v>162</v>
      </c>
    </row>
    <row r="110" spans="2:6" x14ac:dyDescent="0.25">
      <c r="B110" s="378" t="s">
        <v>1285</v>
      </c>
      <c r="C110" s="378"/>
      <c r="D110" s="379" t="s">
        <v>1285</v>
      </c>
      <c r="E110" s="376" t="s">
        <v>247</v>
      </c>
      <c r="F110" s="394" t="s">
        <v>1001</v>
      </c>
    </row>
    <row r="111" spans="2:6" x14ac:dyDescent="0.25">
      <c r="B111" s="378" t="s">
        <v>1283</v>
      </c>
      <c r="C111" s="378"/>
      <c r="D111" s="379" t="s">
        <v>1283</v>
      </c>
      <c r="E111" s="376" t="s">
        <v>149</v>
      </c>
      <c r="F111" s="394" t="s">
        <v>1004</v>
      </c>
    </row>
    <row r="112" spans="2:6" x14ac:dyDescent="0.25">
      <c r="B112" s="378" t="s">
        <v>1284</v>
      </c>
      <c r="C112" s="378"/>
      <c r="D112" s="379" t="s">
        <v>1284</v>
      </c>
      <c r="E112" s="376" t="s">
        <v>162</v>
      </c>
      <c r="F112" s="394" t="s">
        <v>1006</v>
      </c>
    </row>
    <row r="113" spans="2:6" x14ac:dyDescent="0.25">
      <c r="B113" s="386" t="s">
        <v>1307</v>
      </c>
      <c r="C113" s="386"/>
      <c r="D113" s="387" t="s">
        <v>1307</v>
      </c>
      <c r="E113" s="388" t="s">
        <v>1205</v>
      </c>
      <c r="F113" s="395" t="s">
        <v>149</v>
      </c>
    </row>
    <row r="114" spans="2:6" x14ac:dyDescent="0.25">
      <c r="B114" s="378" t="s">
        <v>1287</v>
      </c>
      <c r="C114" s="378"/>
      <c r="D114" s="379" t="s">
        <v>1287</v>
      </c>
      <c r="E114" s="376" t="s">
        <v>247</v>
      </c>
      <c r="F114" s="394" t="s">
        <v>1001</v>
      </c>
    </row>
    <row r="115" spans="2:6" x14ac:dyDescent="0.25">
      <c r="B115" s="378" t="s">
        <v>1286</v>
      </c>
      <c r="C115" s="378"/>
      <c r="D115" s="379" t="s">
        <v>1286</v>
      </c>
      <c r="E115" s="376" t="s">
        <v>149</v>
      </c>
      <c r="F115" s="394" t="s">
        <v>1004</v>
      </c>
    </row>
    <row r="116" spans="2:6" x14ac:dyDescent="0.25">
      <c r="B116" s="386" t="s">
        <v>1308</v>
      </c>
      <c r="C116" s="386"/>
      <c r="D116" s="387" t="s">
        <v>1308</v>
      </c>
      <c r="E116" s="388" t="s">
        <v>1205</v>
      </c>
      <c r="F116" s="395" t="s">
        <v>1006</v>
      </c>
    </row>
    <row r="117" spans="2:6" x14ac:dyDescent="0.25">
      <c r="B117" s="378" t="s">
        <v>1289</v>
      </c>
      <c r="C117" s="378"/>
      <c r="D117" s="379" t="s">
        <v>1289</v>
      </c>
      <c r="E117" s="376" t="s">
        <v>247</v>
      </c>
      <c r="F117" s="394" t="s">
        <v>1001</v>
      </c>
    </row>
    <row r="118" spans="2:6" x14ac:dyDescent="0.25">
      <c r="B118" s="378" t="s">
        <v>1288</v>
      </c>
      <c r="C118" s="378"/>
      <c r="D118" s="379" t="s">
        <v>1288</v>
      </c>
      <c r="E118" s="376" t="s">
        <v>162</v>
      </c>
      <c r="F118" s="394" t="s">
        <v>1004</v>
      </c>
    </row>
    <row r="119" spans="2:6" x14ac:dyDescent="0.25">
      <c r="B119" s="386" t="s">
        <v>1309</v>
      </c>
      <c r="C119" s="386"/>
      <c r="D119" s="387" t="s">
        <v>1309</v>
      </c>
      <c r="E119" s="388" t="s">
        <v>1205</v>
      </c>
      <c r="F119" s="395" t="s">
        <v>149</v>
      </c>
    </row>
    <row r="120" spans="2:6" x14ac:dyDescent="0.25">
      <c r="B120" s="378" t="s">
        <v>1290</v>
      </c>
      <c r="C120" s="378"/>
      <c r="D120" s="379" t="s">
        <v>1290</v>
      </c>
      <c r="E120" s="376" t="s">
        <v>247</v>
      </c>
      <c r="F120" s="394" t="s">
        <v>1001</v>
      </c>
    </row>
    <row ht="15.75" r="121" spans="2:6" thickBot="1" x14ac:dyDescent="0.3">
      <c r="B121" s="396" t="s">
        <v>1310</v>
      </c>
      <c r="C121" s="396"/>
      <c r="D121" s="400" t="s">
        <v>1310</v>
      </c>
      <c r="E121" s="401"/>
      <c r="F121" s="395" t="s">
        <v>1004</v>
      </c>
    </row>
    <row r="122" spans="2:6" x14ac:dyDescent="0.25">
      <c r="B122" s="378" t="s">
        <v>1293</v>
      </c>
      <c r="C122" s="378"/>
      <c r="D122" s="379" t="s">
        <v>1293</v>
      </c>
      <c r="E122" s="376" t="s">
        <v>1002</v>
      </c>
      <c r="F122" s="394" t="s">
        <v>1001</v>
      </c>
    </row>
    <row r="123" spans="2:6" x14ac:dyDescent="0.25">
      <c r="B123" s="378" t="s">
        <v>1291</v>
      </c>
      <c r="C123" s="378"/>
      <c r="D123" s="379" t="s">
        <v>1291</v>
      </c>
      <c r="E123" s="376" t="s">
        <v>162</v>
      </c>
      <c r="F123" s="394" t="s">
        <v>1006</v>
      </c>
    </row>
    <row r="124" spans="2:6" x14ac:dyDescent="0.25">
      <c r="B124" s="386" t="s">
        <v>1292</v>
      </c>
      <c r="C124" s="386"/>
      <c r="D124" s="387" t="s">
        <v>1292</v>
      </c>
      <c r="E124" s="388" t="s">
        <v>149</v>
      </c>
      <c r="F124" s="395" t="s">
        <v>149</v>
      </c>
    </row>
    <row r="125" spans="2:6" x14ac:dyDescent="0.25">
      <c r="B125" s="378" t="s">
        <v>1295</v>
      </c>
      <c r="C125" s="378"/>
      <c r="D125" s="379" t="s">
        <v>1295</v>
      </c>
      <c r="E125" s="376" t="s">
        <v>1002</v>
      </c>
      <c r="F125" s="394" t="s">
        <v>1001</v>
      </c>
    </row>
    <row r="126" spans="2:6" x14ac:dyDescent="0.25">
      <c r="B126" s="386" t="s">
        <v>1294</v>
      </c>
      <c r="C126" s="386"/>
      <c r="D126" s="387" t="s">
        <v>1294</v>
      </c>
      <c r="E126" s="388" t="s">
        <v>149</v>
      </c>
      <c r="F126" s="395" t="s">
        <v>1006</v>
      </c>
    </row>
    <row r="127" spans="2:6" x14ac:dyDescent="0.25">
      <c r="B127" s="378" t="s">
        <v>1311</v>
      </c>
      <c r="C127" s="378"/>
      <c r="D127" s="379" t="s">
        <v>1311</v>
      </c>
      <c r="E127" s="376"/>
      <c r="F127" s="394" t="s">
        <v>1001</v>
      </c>
    </row>
    <row r="128" spans="2:6" x14ac:dyDescent="0.25">
      <c r="B128" s="386" t="s">
        <v>1312</v>
      </c>
      <c r="C128" s="386"/>
      <c r="D128" s="387" t="s">
        <v>1312</v>
      </c>
      <c r="E128" s="388" t="s">
        <v>1205</v>
      </c>
      <c r="F128" s="395" t="s">
        <v>149</v>
      </c>
    </row>
    <row r="129" spans="2:6" x14ac:dyDescent="0.25">
      <c r="B129" s="378" t="s">
        <v>1313</v>
      </c>
      <c r="C129" s="378"/>
      <c r="D129" s="379" t="s">
        <v>1313</v>
      </c>
      <c r="E129" s="376"/>
      <c r="F129" s="394" t="s">
        <v>1001</v>
      </c>
    </row>
    <row ht="15.75" r="130" spans="2:6" thickBot="1" x14ac:dyDescent="0.3">
      <c r="B130" s="386" t="s">
        <v>1314</v>
      </c>
      <c r="C130" s="386"/>
      <c r="D130" s="387" t="s">
        <v>1314</v>
      </c>
      <c r="E130" s="388" t="s">
        <v>1205</v>
      </c>
      <c r="F130" s="402"/>
    </row>
    <row r="131" spans="2:6" x14ac:dyDescent="0.25">
      <c r="B131" s="378" t="s">
        <v>1315</v>
      </c>
      <c r="C131" s="378"/>
      <c r="D131" s="379" t="s">
        <v>1315</v>
      </c>
      <c r="E131" s="376"/>
      <c r="F131" s="394" t="s">
        <v>1002</v>
      </c>
    </row>
    <row r="132" spans="2:6" x14ac:dyDescent="0.25">
      <c r="B132" s="378" t="s">
        <v>1316</v>
      </c>
      <c r="C132" s="378"/>
      <c r="D132" s="379" t="s">
        <v>1316</v>
      </c>
      <c r="E132" s="376" t="s">
        <v>1205</v>
      </c>
      <c r="F132" s="394" t="s">
        <v>162</v>
      </c>
    </row>
    <row r="133" spans="2:6" x14ac:dyDescent="0.25">
      <c r="B133" s="386" t="s">
        <v>1317</v>
      </c>
      <c r="C133" s="386"/>
      <c r="D133" s="387" t="s">
        <v>1317</v>
      </c>
      <c r="E133" s="388" t="s">
        <v>1205</v>
      </c>
      <c r="F133" s="395" t="s">
        <v>149</v>
      </c>
    </row>
    <row r="134" spans="2:6" x14ac:dyDescent="0.25">
      <c r="B134" s="378" t="s">
        <v>1318</v>
      </c>
      <c r="C134" s="378"/>
      <c r="D134" s="379" t="s">
        <v>1318</v>
      </c>
      <c r="E134" s="376"/>
      <c r="F134" s="394" t="s">
        <v>1002</v>
      </c>
    </row>
    <row ht="15.75" r="135" spans="2:6" thickBot="1" x14ac:dyDescent="0.3">
      <c r="B135" s="396" t="s">
        <v>1319</v>
      </c>
      <c r="C135" s="396"/>
      <c r="D135" s="400" t="s">
        <v>1319</v>
      </c>
      <c r="E135" s="401" t="s">
        <v>1205</v>
      </c>
      <c r="F135" s="402" t="s">
        <v>149</v>
      </c>
    </row>
  </sheetData>
  <mergeCells count="2">
    <mergeCell ref="B56:D56"/>
    <mergeCell ref="B77:E77"/>
  </mergeCells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B3:AM455"/>
  <sheetViews>
    <sheetView tabSelected="1" topLeftCell="A236" workbookViewId="0" zoomScale="85" zoomScaleNormal="85">
      <selection activeCell="D246" sqref="D246:D262"/>
    </sheetView>
  </sheetViews>
  <sheetFormatPr defaultRowHeight="15" x14ac:dyDescent="0.25"/>
  <cols>
    <col min="1" max="1" style="4" width="9.140625" collapsed="true"/>
    <col min="2" max="2" customWidth="true" style="4" width="29.85546875" collapsed="true"/>
    <col min="3" max="3" customWidth="true" style="4" width="56.85546875" collapsed="true"/>
    <col min="4" max="4" bestFit="true" customWidth="true" style="4" width="58.28515625" collapsed="true"/>
    <col min="5" max="7" customWidth="true" style="4" width="58.28515625" collapsed="true"/>
    <col min="8" max="8" bestFit="true" customWidth="true" style="4" width="76.5703125" collapsed="true"/>
    <col min="9" max="9" bestFit="true" customWidth="true" style="4" width="53.85546875" collapsed="true"/>
    <col min="10" max="10" bestFit="true" customWidth="true" style="4" width="55.7109375" collapsed="true"/>
    <col min="11" max="11" bestFit="true" customWidth="true" style="4" width="55.5703125" collapsed="true"/>
    <col min="12" max="12" bestFit="true" customWidth="true" style="4" width="57.5703125" collapsed="true"/>
    <col min="13" max="13" bestFit="true" customWidth="true" style="4" width="52.7109375" collapsed="true"/>
    <col min="14" max="14" bestFit="true" customWidth="true" style="4" width="50.5703125" collapsed="true"/>
    <col min="15" max="15" bestFit="true" customWidth="true" style="4" width="63.0" collapsed="true"/>
    <col min="16" max="16" bestFit="true" customWidth="true" style="4" width="68.5703125" collapsed="true"/>
    <col min="17" max="17" bestFit="true" customWidth="true" style="4" width="32.28515625" collapsed="true"/>
    <col min="18" max="18" bestFit="true" customWidth="true" style="4" width="18.28515625" collapsed="true"/>
    <col min="19" max="19" bestFit="true" customWidth="true" style="4" width="41.85546875" collapsed="true"/>
    <col min="20" max="20" bestFit="true" customWidth="true" style="4" width="32.42578125" collapsed="true"/>
    <col min="21" max="21" bestFit="true" customWidth="true" style="4" width="38.85546875" collapsed="true"/>
    <col min="22" max="22" bestFit="true" customWidth="true" style="4" width="29.28515625" collapsed="true"/>
    <col min="23" max="23" bestFit="true" customWidth="true" style="4" width="35.5703125" collapsed="true"/>
    <col min="24" max="24" bestFit="true" customWidth="true" style="4" width="32.5703125" collapsed="true"/>
    <col min="25" max="25" bestFit="true" customWidth="true" style="4" width="50.0" collapsed="true"/>
    <col min="26" max="26" bestFit="true" customWidth="true" style="4" width="47.5703125" collapsed="true"/>
    <col min="27" max="28" bestFit="true" customWidth="true" style="4" width="32.85546875" collapsed="true"/>
    <col min="29" max="29" bestFit="true" customWidth="true" style="4" width="33.28515625" collapsed="true"/>
    <col min="30" max="30" bestFit="true" customWidth="true" style="4" width="33.5703125" collapsed="true"/>
    <col min="31" max="31" bestFit="true" customWidth="true" style="4" width="38.140625" collapsed="true"/>
    <col min="32" max="32" bestFit="true" customWidth="true" style="4" width="38.5703125" collapsed="true"/>
    <col min="33" max="33" bestFit="true" customWidth="true" style="4" width="28.7109375" collapsed="true"/>
    <col min="34" max="34" bestFit="true" customWidth="true" style="4" width="45.5703125" collapsed="true"/>
    <col min="35" max="35" bestFit="true" customWidth="true" style="4" width="37.42578125" collapsed="true"/>
    <col min="36" max="36" bestFit="true" customWidth="true" style="4" width="21.42578125" collapsed="true"/>
    <col min="37" max="37" bestFit="true" customWidth="true" style="4" width="47.7109375" collapsed="true"/>
    <col min="38" max="38" customWidth="true" style="4" width="47.7109375" collapsed="true"/>
    <col min="39" max="39" bestFit="true" customWidth="true" style="4" width="39.0" collapsed="true"/>
    <col min="40" max="40" bestFit="true" customWidth="true" style="4" width="36.0" collapsed="true"/>
    <col min="41" max="16384" style="4" width="9.140625" collapsed="true"/>
  </cols>
  <sheetData>
    <row customHeight="1" ht="15" r="3" spans="2:19" x14ac:dyDescent="0.25">
      <c r="B3" s="76" t="s">
        <v>267</v>
      </c>
      <c r="C3" s="76"/>
      <c r="D3" s="76"/>
      <c r="E3" s="76"/>
      <c r="F3" s="76"/>
      <c r="L3" s="20"/>
      <c r="M3" s="20"/>
      <c r="N3" s="20"/>
      <c r="O3" s="20"/>
      <c r="P3" s="20"/>
      <c r="Q3" s="20"/>
      <c r="R3" s="20"/>
      <c r="S3" s="20"/>
    </row>
    <row r="4" spans="2:19" x14ac:dyDescent="0.25">
      <c r="B4" s="5" t="s">
        <v>3</v>
      </c>
      <c r="C4" s="5" t="s">
        <v>6</v>
      </c>
      <c r="D4" s="5">
        <v>4</v>
      </c>
      <c r="E4" s="5"/>
      <c r="F4" s="5"/>
      <c r="L4" s="20"/>
      <c r="M4" s="20"/>
      <c r="N4" s="20"/>
      <c r="O4" s="20"/>
      <c r="P4" s="20"/>
      <c r="Q4" s="20"/>
      <c r="R4" s="20"/>
      <c r="S4" s="20"/>
    </row>
    <row customHeight="1" ht="15" r="5" spans="2:19" x14ac:dyDescent="0.25">
      <c r="B5" s="5" t="s">
        <v>7</v>
      </c>
      <c r="C5" s="5" t="s">
        <v>8</v>
      </c>
      <c r="D5" s="5" t="s">
        <v>9</v>
      </c>
      <c r="E5" s="5" t="s">
        <v>10</v>
      </c>
      <c r="F5" s="5" t="s">
        <v>1098</v>
      </c>
      <c r="G5" s="5" t="s">
        <v>11</v>
      </c>
      <c r="L5" s="20"/>
      <c r="M5" s="20"/>
      <c r="N5" s="20"/>
      <c r="O5" s="20"/>
      <c r="P5" s="20"/>
      <c r="Q5" s="20"/>
      <c r="R5" s="20"/>
      <c r="S5" s="20"/>
    </row>
    <row r="6" spans="2:19" x14ac:dyDescent="0.25">
      <c r="B6" s="5" t="s">
        <v>12</v>
      </c>
      <c r="C6" s="5"/>
      <c r="D6" s="5"/>
      <c r="E6" s="5"/>
      <c r="G6" s="5"/>
      <c r="L6" s="20"/>
      <c r="M6" s="20"/>
      <c r="N6" s="20"/>
      <c r="O6" s="20"/>
      <c r="P6" s="20"/>
      <c r="Q6" s="20"/>
      <c r="R6" s="20"/>
      <c r="S6" s="20"/>
    </row>
    <row r="7" spans="2:19" x14ac:dyDescent="0.25">
      <c r="B7" s="6" t="s">
        <v>13</v>
      </c>
      <c r="C7" s="6" t="s">
        <v>14</v>
      </c>
      <c r="D7" s="6" t="s">
        <v>15</v>
      </c>
      <c r="E7" s="6" t="s">
        <v>16</v>
      </c>
      <c r="F7" s="6" t="s">
        <v>1099</v>
      </c>
      <c r="G7" s="7" t="s">
        <v>17</v>
      </c>
      <c r="L7" s="20"/>
      <c r="M7" s="20"/>
      <c r="N7" s="20"/>
      <c r="O7" s="20"/>
      <c r="P7" s="20"/>
      <c r="Q7" s="20"/>
      <c r="R7" s="20"/>
      <c r="S7" s="20"/>
    </row>
    <row r="8" spans="2:19" x14ac:dyDescent="0.25">
      <c r="B8" s="15">
        <v>1</v>
      </c>
      <c r="C8" s="16" t="s">
        <v>18</v>
      </c>
      <c r="D8" s="16">
        <v>0.1</v>
      </c>
      <c r="E8" s="18">
        <v>43101</v>
      </c>
      <c r="F8" s="18" t="s">
        <v>160</v>
      </c>
      <c r="G8" s="21" t="s">
        <v>1409</v>
      </c>
      <c r="L8" s="20"/>
      <c r="M8" s="20"/>
      <c r="N8" s="20"/>
      <c r="O8" s="20"/>
      <c r="P8" s="20"/>
      <c r="Q8" s="20"/>
      <c r="R8" s="20"/>
      <c r="S8" s="20"/>
    </row>
    <row r="9" spans="2:19" x14ac:dyDescent="0.25">
      <c r="B9" s="15">
        <v>2</v>
      </c>
      <c r="C9" s="16" t="s">
        <v>18</v>
      </c>
      <c r="D9" s="16">
        <v>0.2</v>
      </c>
      <c r="E9" s="18">
        <f>E8+1</f>
        <v>43102</v>
      </c>
      <c r="F9" s="18" t="s">
        <v>160</v>
      </c>
      <c r="G9" s="21" t="s">
        <v>1410</v>
      </c>
      <c r="L9" s="20"/>
      <c r="M9" s="20"/>
      <c r="N9" s="20"/>
      <c r="O9" s="20"/>
      <c r="P9" s="20"/>
      <c r="Q9" s="20"/>
      <c r="R9" s="20"/>
      <c r="S9" s="20"/>
    </row>
    <row r="10" spans="2:19" x14ac:dyDescent="0.25">
      <c r="B10" s="15">
        <v>3</v>
      </c>
      <c r="C10" s="16" t="s">
        <v>18</v>
      </c>
      <c r="D10" s="16">
        <v>0.3</v>
      </c>
      <c r="E10" s="18">
        <f ref="E10:E17" si="0" t="shared">E9+1</f>
        <v>43103</v>
      </c>
      <c r="F10" s="18" t="s">
        <v>160</v>
      </c>
      <c r="G10" s="21" t="s">
        <v>1411</v>
      </c>
      <c r="L10" s="20"/>
      <c r="M10" s="20"/>
      <c r="N10" s="20"/>
      <c r="O10" s="20"/>
      <c r="P10" s="20"/>
      <c r="Q10" s="20"/>
      <c r="R10" s="20"/>
      <c r="S10" s="20"/>
    </row>
    <row r="11" spans="2:19" x14ac:dyDescent="0.25">
      <c r="B11" s="15">
        <v>4</v>
      </c>
      <c r="C11" s="16" t="s">
        <v>18</v>
      </c>
      <c r="D11" s="16">
        <v>0.4</v>
      </c>
      <c r="E11" s="18">
        <f si="0" t="shared"/>
        <v>43104</v>
      </c>
      <c r="F11" s="18" t="s">
        <v>160</v>
      </c>
      <c r="G11" s="21" t="s">
        <v>1412</v>
      </c>
      <c r="L11" s="20"/>
      <c r="M11" s="20"/>
      <c r="N11" s="20"/>
      <c r="O11" s="20"/>
      <c r="P11" s="20"/>
      <c r="Q11" s="20"/>
      <c r="R11" s="20"/>
      <c r="S11" s="20"/>
    </row>
    <row r="12" spans="2:19" x14ac:dyDescent="0.25">
      <c r="B12" s="15">
        <v>5</v>
      </c>
      <c r="C12" s="16" t="s">
        <v>18</v>
      </c>
      <c r="D12" s="16">
        <v>0.5</v>
      </c>
      <c r="E12" s="18">
        <f si="0" t="shared"/>
        <v>43105</v>
      </c>
      <c r="F12" s="18" t="s">
        <v>160</v>
      </c>
      <c r="G12" s="21" t="s">
        <v>1413</v>
      </c>
      <c r="L12" s="20"/>
      <c r="M12" s="20"/>
      <c r="N12" s="20"/>
      <c r="O12" s="20"/>
      <c r="P12" s="20"/>
      <c r="Q12" s="20"/>
      <c r="R12" s="20"/>
      <c r="S12" s="20"/>
    </row>
    <row r="13" spans="2:19" x14ac:dyDescent="0.25">
      <c r="B13" s="15">
        <v>6</v>
      </c>
      <c r="C13" s="16" t="s">
        <v>19</v>
      </c>
      <c r="D13" s="16">
        <v>0.6</v>
      </c>
      <c r="E13" s="18">
        <f si="0" t="shared"/>
        <v>43106</v>
      </c>
      <c r="F13" s="18" t="s">
        <v>160</v>
      </c>
      <c r="G13" s="21" t="s">
        <v>1414</v>
      </c>
      <c r="L13" s="20"/>
      <c r="M13" s="20"/>
      <c r="N13" s="20"/>
      <c r="O13" s="20"/>
      <c r="P13" s="20"/>
      <c r="Q13" s="20"/>
      <c r="R13" s="20"/>
      <c r="S13" s="20"/>
    </row>
    <row r="14" spans="2:19" x14ac:dyDescent="0.25">
      <c r="B14" s="15">
        <v>7</v>
      </c>
      <c r="C14" s="16" t="s">
        <v>19</v>
      </c>
      <c r="D14" s="16">
        <v>0.7</v>
      </c>
      <c r="E14" s="18">
        <f si="0" t="shared"/>
        <v>43107</v>
      </c>
      <c r="F14" s="18" t="s">
        <v>160</v>
      </c>
      <c r="G14" s="21" t="s">
        <v>1415</v>
      </c>
      <c r="L14" s="20"/>
      <c r="M14" s="20"/>
      <c r="N14" s="20"/>
      <c r="O14" s="20"/>
      <c r="P14" s="20"/>
      <c r="Q14" s="20"/>
      <c r="R14" s="20"/>
      <c r="S14" s="20"/>
    </row>
    <row r="15" spans="2:19" x14ac:dyDescent="0.25">
      <c r="B15" s="15">
        <v>8</v>
      </c>
      <c r="C15" s="16" t="s">
        <v>19</v>
      </c>
      <c r="D15" s="16">
        <v>0.8</v>
      </c>
      <c r="E15" s="18">
        <f si="0" t="shared"/>
        <v>43108</v>
      </c>
      <c r="F15" s="18" t="s">
        <v>160</v>
      </c>
      <c r="G15" s="21" t="s">
        <v>1416</v>
      </c>
      <c r="L15" s="20"/>
      <c r="M15" s="20"/>
      <c r="N15" s="20"/>
      <c r="O15" s="20"/>
      <c r="P15" s="20"/>
      <c r="Q15" s="20"/>
      <c r="R15" s="20"/>
      <c r="S15" s="20"/>
    </row>
    <row r="16" spans="2:19" x14ac:dyDescent="0.25">
      <c r="B16" s="15">
        <v>9</v>
      </c>
      <c r="C16" s="16" t="s">
        <v>19</v>
      </c>
      <c r="D16" s="16">
        <v>0.9</v>
      </c>
      <c r="E16" s="18">
        <f si="0" t="shared"/>
        <v>43109</v>
      </c>
      <c r="F16" s="18" t="s">
        <v>160</v>
      </c>
      <c r="G16" s="21" t="s">
        <v>1417</v>
      </c>
      <c r="L16" s="20"/>
      <c r="M16" s="20"/>
      <c r="N16" s="20"/>
      <c r="O16" s="20"/>
      <c r="P16" s="20"/>
      <c r="Q16" s="20"/>
      <c r="R16" s="20"/>
      <c r="S16" s="20"/>
    </row>
    <row r="17" spans="2:26" x14ac:dyDescent="0.25">
      <c r="B17" s="17">
        <v>10</v>
      </c>
      <c r="C17" s="17" t="s">
        <v>19</v>
      </c>
      <c r="D17" s="17">
        <v>1</v>
      </c>
      <c r="E17" s="19">
        <f si="0" t="shared"/>
        <v>43110</v>
      </c>
      <c r="F17" s="18" t="s">
        <v>160</v>
      </c>
      <c r="G17" s="22" t="s">
        <v>1418</v>
      </c>
      <c r="L17" s="20"/>
      <c r="M17" s="20"/>
      <c r="N17" s="20"/>
      <c r="O17" s="20"/>
      <c r="P17" s="20"/>
      <c r="Q17" s="20"/>
      <c r="R17" s="20"/>
      <c r="S17" s="20"/>
    </row>
    <row r="18" spans="2:26" x14ac:dyDescent="0.25">
      <c r="L18" s="20"/>
      <c r="M18" s="20"/>
      <c r="N18" s="20"/>
      <c r="O18" s="20"/>
      <c r="P18" s="20"/>
      <c r="Q18" s="20"/>
      <c r="R18" s="20"/>
      <c r="S18" s="20"/>
    </row>
    <row r="19" spans="2:26" x14ac:dyDescent="0.25">
      <c r="L19" s="20"/>
      <c r="M19" s="20"/>
      <c r="N19" s="20"/>
      <c r="O19" s="20"/>
      <c r="P19" s="20"/>
      <c r="Q19" s="20"/>
      <c r="R19" s="20"/>
      <c r="S19" s="20"/>
    </row>
    <row customHeight="1" ht="15" r="20" spans="2:26" x14ac:dyDescent="0.25">
      <c r="B20" s="8" t="s">
        <v>269</v>
      </c>
      <c r="C20" s="8"/>
      <c r="D20" s="8"/>
      <c r="E20" s="8"/>
      <c r="L20" s="20"/>
      <c r="M20" s="20"/>
      <c r="N20" s="20"/>
      <c r="O20" s="20"/>
      <c r="P20" s="20"/>
      <c r="Q20" s="20"/>
      <c r="R20" s="20"/>
      <c r="S20" s="20"/>
    </row>
    <row r="21" spans="2:26" x14ac:dyDescent="0.25">
      <c r="B21" s="5" t="s">
        <v>20</v>
      </c>
      <c r="C21" s="5" t="s">
        <v>21</v>
      </c>
      <c r="D21" s="5" t="s">
        <v>22</v>
      </c>
      <c r="E21" s="5" t="s">
        <v>23</v>
      </c>
      <c r="F21" s="5" t="s">
        <v>1047</v>
      </c>
      <c r="G21" s="5" t="s">
        <v>1048</v>
      </c>
      <c r="H21" s="5" t="s">
        <v>1074</v>
      </c>
      <c r="I21" s="5" t="s">
        <v>1049</v>
      </c>
      <c r="J21" s="5" t="s">
        <v>1050</v>
      </c>
      <c r="K21" s="5" t="s">
        <v>1075</v>
      </c>
      <c r="L21" s="5" t="s">
        <v>1051</v>
      </c>
      <c r="M21" s="5" t="s">
        <v>1052</v>
      </c>
      <c r="N21" s="5" t="s">
        <v>1076</v>
      </c>
      <c r="O21" s="5" t="s">
        <v>1057</v>
      </c>
      <c r="P21" s="5" t="s">
        <v>1058</v>
      </c>
      <c r="Q21" s="5" t="s">
        <v>1077</v>
      </c>
      <c r="R21" s="5" t="s">
        <v>1059</v>
      </c>
      <c r="S21" s="5" t="s">
        <v>1060</v>
      </c>
      <c r="T21" s="5" t="s">
        <v>1078</v>
      </c>
      <c r="U21" s="5" t="s">
        <v>1063</v>
      </c>
      <c r="V21" s="5" t="s">
        <v>1064</v>
      </c>
      <c r="W21" s="5" t="s">
        <v>1079</v>
      </c>
      <c r="X21" s="5" t="s">
        <v>1068</v>
      </c>
      <c r="Y21" s="5" t="s">
        <v>1069</v>
      </c>
      <c r="Z21" s="5" t="s">
        <v>1080</v>
      </c>
    </row>
    <row r="22" spans="2:26" x14ac:dyDescent="0.25">
      <c r="B22" s="6" t="s">
        <v>20</v>
      </c>
      <c r="C22" s="6" t="s">
        <v>21</v>
      </c>
      <c r="D22" s="6" t="s">
        <v>22</v>
      </c>
      <c r="E22" s="6" t="s">
        <v>23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2:26" x14ac:dyDescent="0.25">
      <c r="B23" s="15">
        <v>1</v>
      </c>
      <c r="C23" s="129">
        <v>25934</v>
      </c>
      <c r="D23" s="130" t="s">
        <v>1142</v>
      </c>
      <c r="E23" s="130"/>
      <c r="F23" s="131"/>
      <c r="G23" s="131"/>
      <c r="I23" s="131"/>
      <c r="J23" s="131"/>
      <c r="K23" s="131"/>
      <c r="L23" s="131"/>
      <c r="M23" s="131"/>
      <c r="N23" s="131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</row>
    <row r="24" spans="2:26" x14ac:dyDescent="0.25">
      <c r="B24" s="130">
        <v>2</v>
      </c>
      <c r="C24" s="129">
        <v>27760</v>
      </c>
      <c r="D24" s="130" t="s">
        <v>1142</v>
      </c>
      <c r="E24" s="130"/>
      <c r="F24" s="131"/>
      <c r="G24" s="131"/>
      <c r="I24" s="131"/>
      <c r="J24" s="131"/>
      <c r="K24" s="131"/>
      <c r="L24" s="131"/>
      <c r="M24" s="131"/>
      <c r="N24" s="131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</row>
    <row r="25" spans="2:26" x14ac:dyDescent="0.25">
      <c r="B25" s="130">
        <v>3</v>
      </c>
      <c r="C25" s="129">
        <v>29587</v>
      </c>
      <c r="D25" s="130" t="s">
        <v>1142</v>
      </c>
      <c r="E25" s="130"/>
      <c r="F25" s="131"/>
      <c r="G25" s="131"/>
      <c r="I25" s="131"/>
      <c r="J25" s="131"/>
      <c r="K25" s="131"/>
      <c r="L25" s="131"/>
      <c r="M25" s="131"/>
      <c r="N25" s="131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</row>
    <row r="26" spans="2:26" x14ac:dyDescent="0.25">
      <c r="B26" s="130">
        <v>4</v>
      </c>
      <c r="C26" s="129">
        <v>33239</v>
      </c>
      <c r="D26" s="130" t="s">
        <v>1142</v>
      </c>
      <c r="E26" s="130"/>
      <c r="F26" s="131"/>
      <c r="G26" s="131"/>
      <c r="I26" s="131"/>
      <c r="J26" s="131"/>
      <c r="K26" s="131"/>
      <c r="L26" s="131"/>
      <c r="M26" s="131"/>
      <c r="N26" s="131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</row>
    <row r="27" spans="2:26" x14ac:dyDescent="0.25">
      <c r="B27" s="130">
        <v>5</v>
      </c>
      <c r="C27" s="129">
        <v>37622</v>
      </c>
      <c r="D27" s="130" t="s">
        <v>1143</v>
      </c>
      <c r="E27" s="130"/>
      <c r="F27" s="131"/>
      <c r="G27" s="131"/>
      <c r="I27" s="131"/>
      <c r="J27" s="131"/>
      <c r="K27" s="131"/>
      <c r="L27" s="131"/>
      <c r="M27" s="131"/>
      <c r="N27" s="131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</row>
    <row r="28" spans="2:26" x14ac:dyDescent="0.25">
      <c r="B28" s="130">
        <v>6</v>
      </c>
      <c r="C28" s="129">
        <v>26299</v>
      </c>
      <c r="D28" s="130" t="s">
        <v>1144</v>
      </c>
      <c r="E28" s="130"/>
      <c r="F28" s="131"/>
      <c r="G28" s="131"/>
      <c r="I28" s="131"/>
      <c r="J28" s="131"/>
      <c r="K28" s="131"/>
      <c r="L28" s="131"/>
      <c r="M28" s="131"/>
      <c r="N28" s="131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</row>
    <row r="29" spans="2:26" x14ac:dyDescent="0.25">
      <c r="B29" s="130">
        <v>7</v>
      </c>
      <c r="C29" s="129">
        <v>28126</v>
      </c>
      <c r="D29" s="130" t="s">
        <v>1144</v>
      </c>
      <c r="E29" s="130"/>
      <c r="F29" s="130"/>
      <c r="G29" s="131"/>
      <c r="I29" s="131"/>
      <c r="J29" s="131"/>
      <c r="K29" s="131"/>
      <c r="L29" s="131"/>
      <c r="M29" s="131"/>
      <c r="N29" s="131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</row>
    <row r="30" spans="2:26" x14ac:dyDescent="0.25">
      <c r="B30" s="130">
        <v>8</v>
      </c>
      <c r="C30" s="129">
        <v>33604</v>
      </c>
      <c r="D30" s="130" t="s">
        <v>1144</v>
      </c>
      <c r="E30" s="130"/>
      <c r="F30" s="130"/>
      <c r="G30" s="131"/>
      <c r="I30" s="131"/>
      <c r="J30" s="131"/>
      <c r="K30" s="131"/>
      <c r="L30" s="131"/>
      <c r="M30" s="131"/>
      <c r="N30" s="131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</row>
    <row r="31" spans="2:26" x14ac:dyDescent="0.25">
      <c r="B31" s="130">
        <v>9</v>
      </c>
      <c r="C31" s="129">
        <v>37257</v>
      </c>
      <c r="D31" s="130" t="s">
        <v>1144</v>
      </c>
      <c r="E31" s="130"/>
      <c r="F31" s="130"/>
      <c r="G31" s="131"/>
      <c r="I31" s="131"/>
      <c r="J31" s="131"/>
      <c r="K31" s="131"/>
      <c r="L31" s="131"/>
      <c r="M31" s="131"/>
      <c r="N31" s="131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</row>
    <row r="32" spans="2:26" x14ac:dyDescent="0.25">
      <c r="B32" s="15">
        <v>10</v>
      </c>
      <c r="C32" s="129">
        <v>37622</v>
      </c>
      <c r="D32" s="130" t="s">
        <v>1144</v>
      </c>
      <c r="E32" s="130"/>
      <c r="F32" s="130"/>
      <c r="G32" s="131"/>
      <c r="I32" s="131"/>
      <c r="J32" s="131"/>
      <c r="K32" s="131"/>
      <c r="L32" s="131"/>
      <c r="M32" s="131"/>
      <c r="N32" s="131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</row>
    <row r="33" spans="2:26" x14ac:dyDescent="0.25">
      <c r="B33" s="130">
        <v>11</v>
      </c>
      <c r="C33" s="131"/>
      <c r="D33" s="131"/>
      <c r="E33" s="131"/>
      <c r="F33" s="130"/>
      <c r="G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</row>
    <row r="34" spans="2:26" x14ac:dyDescent="0.25">
      <c r="B34" s="130">
        <v>12</v>
      </c>
      <c r="C34" s="131"/>
      <c r="D34" s="131"/>
      <c r="E34" s="131"/>
      <c r="F34" s="130">
        <v>2018</v>
      </c>
      <c r="G34" s="127" t="s">
        <v>1053</v>
      </c>
      <c r="H34" s="4" t="b">
        <v>0</v>
      </c>
      <c r="I34" s="131">
        <v>2018</v>
      </c>
      <c r="J34" s="127" t="s">
        <v>1054</v>
      </c>
      <c r="K34" s="127" t="b">
        <v>1</v>
      </c>
      <c r="L34" s="131">
        <v>2017</v>
      </c>
      <c r="M34" s="128" t="s">
        <v>1055</v>
      </c>
      <c r="N34" s="4" t="b">
        <v>1</v>
      </c>
      <c r="O34" s="131">
        <v>2016</v>
      </c>
      <c r="P34" s="127" t="s">
        <v>1056</v>
      </c>
      <c r="Q34" s="4" t="b">
        <v>1</v>
      </c>
      <c r="R34" s="131">
        <v>2016</v>
      </c>
      <c r="S34" s="127" t="s">
        <v>1061</v>
      </c>
      <c r="T34" s="4" t="b">
        <v>0</v>
      </c>
      <c r="U34" s="131">
        <v>2015</v>
      </c>
      <c r="V34" s="127" t="s">
        <v>1062</v>
      </c>
      <c r="W34" s="4" t="b">
        <v>1</v>
      </c>
      <c r="X34" s="131"/>
      <c r="Y34" s="131"/>
    </row>
    <row r="35" spans="2:26" x14ac:dyDescent="0.25">
      <c r="B35" s="130">
        <v>13</v>
      </c>
      <c r="C35" s="131"/>
      <c r="D35" s="131"/>
      <c r="E35" s="131"/>
      <c r="F35" s="130">
        <v>2018</v>
      </c>
      <c r="G35" s="127" t="s">
        <v>1053</v>
      </c>
      <c r="H35" s="4" t="b">
        <v>0</v>
      </c>
      <c r="I35" s="131">
        <v>2018</v>
      </c>
      <c r="J35" s="127" t="s">
        <v>1054</v>
      </c>
      <c r="K35" s="127" t="b">
        <v>1</v>
      </c>
      <c r="L35" s="131">
        <v>2017</v>
      </c>
      <c r="M35" s="128" t="s">
        <v>1055</v>
      </c>
      <c r="N35" s="4" t="b">
        <v>1</v>
      </c>
      <c r="O35" s="131">
        <v>2016</v>
      </c>
      <c r="P35" s="127" t="s">
        <v>1056</v>
      </c>
      <c r="Q35" s="4" t="b">
        <v>1</v>
      </c>
      <c r="R35" s="131">
        <v>2016</v>
      </c>
      <c r="S35" s="127" t="s">
        <v>1061</v>
      </c>
      <c r="T35" s="4" t="b">
        <v>0</v>
      </c>
      <c r="U35" s="131">
        <v>2015</v>
      </c>
      <c r="V35" s="127" t="s">
        <v>1062</v>
      </c>
      <c r="W35" s="4" t="b">
        <v>1</v>
      </c>
      <c r="X35" s="131">
        <v>2018</v>
      </c>
      <c r="Y35" s="127" t="s">
        <v>1065</v>
      </c>
      <c r="Z35" s="4" t="b">
        <v>1</v>
      </c>
    </row>
    <row r="36" spans="2:26" x14ac:dyDescent="0.25">
      <c r="B36" s="130">
        <v>14</v>
      </c>
      <c r="C36" s="131"/>
      <c r="D36" s="131"/>
      <c r="E36" s="131"/>
      <c r="F36" s="130">
        <v>2018</v>
      </c>
      <c r="G36" s="127" t="s">
        <v>1053</v>
      </c>
      <c r="H36" s="4" t="b">
        <v>0</v>
      </c>
      <c r="I36" s="131">
        <v>2018</v>
      </c>
      <c r="J36" s="127" t="s">
        <v>1054</v>
      </c>
      <c r="K36" s="127" t="b">
        <v>1</v>
      </c>
      <c r="L36" s="131">
        <v>2017</v>
      </c>
      <c r="M36" s="128" t="s">
        <v>1055</v>
      </c>
      <c r="N36" s="4" t="b">
        <v>1</v>
      </c>
      <c r="O36" s="131">
        <v>2016</v>
      </c>
      <c r="P36" s="127" t="s">
        <v>1056</v>
      </c>
      <c r="Q36" s="4" t="b">
        <v>1</v>
      </c>
      <c r="R36" s="131">
        <v>2016</v>
      </c>
      <c r="S36" s="127" t="s">
        <v>1061</v>
      </c>
      <c r="T36" s="4" t="b">
        <v>0</v>
      </c>
      <c r="U36" s="131">
        <v>2015</v>
      </c>
      <c r="V36" s="127" t="s">
        <v>1062</v>
      </c>
      <c r="W36" s="4" t="b">
        <v>1</v>
      </c>
      <c r="X36" s="131">
        <v>2017</v>
      </c>
      <c r="Y36" s="127" t="s">
        <v>1066</v>
      </c>
      <c r="Z36" s="4" t="b">
        <v>1</v>
      </c>
    </row>
    <row r="37" spans="2:26" x14ac:dyDescent="0.25">
      <c r="B37" s="130">
        <v>15</v>
      </c>
      <c r="C37" s="131"/>
      <c r="D37" s="131"/>
      <c r="E37" s="131"/>
      <c r="F37" s="130">
        <v>2018</v>
      </c>
      <c r="G37" s="127" t="s">
        <v>1053</v>
      </c>
      <c r="H37" s="4" t="b">
        <v>0</v>
      </c>
      <c r="I37" s="131">
        <v>2018</v>
      </c>
      <c r="J37" s="127" t="s">
        <v>1054</v>
      </c>
      <c r="K37" s="127" t="b">
        <v>1</v>
      </c>
      <c r="L37" s="131">
        <v>2017</v>
      </c>
      <c r="M37" s="128" t="s">
        <v>1055</v>
      </c>
      <c r="N37" s="4" t="b">
        <v>1</v>
      </c>
      <c r="O37" s="131">
        <v>2016</v>
      </c>
      <c r="P37" s="127" t="s">
        <v>1056</v>
      </c>
      <c r="Q37" s="4" t="b">
        <v>1</v>
      </c>
      <c r="R37" s="131">
        <v>2016</v>
      </c>
      <c r="S37" s="127" t="s">
        <v>1061</v>
      </c>
      <c r="T37" s="4" t="b">
        <v>0</v>
      </c>
      <c r="U37" s="131">
        <v>2015</v>
      </c>
      <c r="V37" s="127" t="s">
        <v>1062</v>
      </c>
      <c r="W37" s="4" t="b">
        <v>1</v>
      </c>
      <c r="X37" s="131">
        <v>2016</v>
      </c>
      <c r="Y37" s="128" t="s">
        <v>1067</v>
      </c>
      <c r="Z37" s="4" t="b">
        <v>1</v>
      </c>
    </row>
    <row r="38" spans="2:26" x14ac:dyDescent="0.25">
      <c r="B38" s="130"/>
      <c r="C38" s="131"/>
      <c r="D38" s="131"/>
      <c r="E38" s="131"/>
      <c r="F38" s="130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</row>
    <row r="39" spans="2:26" x14ac:dyDescent="0.25">
      <c r="B39" s="16"/>
      <c r="F39" s="16"/>
    </row>
    <row r="40" spans="2:26" x14ac:dyDescent="0.25">
      <c r="F40" s="16"/>
    </row>
    <row r="41" spans="2:26" x14ac:dyDescent="0.25">
      <c r="F41" s="16"/>
    </row>
    <row r="42" spans="2:26" x14ac:dyDescent="0.25">
      <c r="F42" s="16"/>
    </row>
    <row ht="15.75" r="43" spans="2:26" x14ac:dyDescent="0.25">
      <c r="B43" s="446" t="s">
        <v>30</v>
      </c>
      <c r="C43" s="446"/>
    </row>
    <row r="44" spans="2:26" x14ac:dyDescent="0.25">
      <c r="B44" s="6" t="s">
        <v>31</v>
      </c>
      <c r="C44" s="7" t="s">
        <v>32</v>
      </c>
    </row>
    <row r="45" spans="2:26" x14ac:dyDescent="0.25">
      <c r="B45" s="9" t="s">
        <v>33</v>
      </c>
      <c r="C45" s="10" t="s">
        <v>34</v>
      </c>
    </row>
    <row r="46" spans="2:26" x14ac:dyDescent="0.25">
      <c r="B46" s="9" t="s">
        <v>35</v>
      </c>
      <c r="C46" s="10" t="s">
        <v>36</v>
      </c>
    </row>
    <row r="47" spans="2:26" x14ac:dyDescent="0.25">
      <c r="B47" s="11" t="s">
        <v>37</v>
      </c>
      <c r="C47" s="12" t="s">
        <v>38</v>
      </c>
    </row>
    <row r="50" spans="2:13" x14ac:dyDescent="0.25">
      <c r="B50" s="444" t="s">
        <v>271</v>
      </c>
      <c r="C50" s="444"/>
      <c r="D50" s="444"/>
      <c r="E50" s="444"/>
    </row>
    <row r="51" spans="2:13" x14ac:dyDescent="0.25">
      <c r="B51" s="5" t="s">
        <v>3</v>
      </c>
      <c r="C51" s="5" t="s">
        <v>6</v>
      </c>
      <c r="D51" s="5">
        <v>4</v>
      </c>
    </row>
    <row r="52" spans="2:13" x14ac:dyDescent="0.25">
      <c r="B52" s="5" t="s">
        <v>39</v>
      </c>
      <c r="C52" s="5" t="s">
        <v>40</v>
      </c>
      <c r="D52" s="5" t="s">
        <v>153</v>
      </c>
      <c r="E52" s="5" t="s">
        <v>1098</v>
      </c>
      <c r="F52" s="5" t="s">
        <v>11</v>
      </c>
    </row>
    <row r="53" spans="2:13" x14ac:dyDescent="0.25">
      <c r="B53" s="6" t="s">
        <v>41</v>
      </c>
      <c r="C53" s="6" t="s">
        <v>42</v>
      </c>
      <c r="D53" s="6" t="s">
        <v>268</v>
      </c>
      <c r="E53" s="6" t="s">
        <v>1099</v>
      </c>
      <c r="F53" s="7" t="s">
        <v>17</v>
      </c>
    </row>
    <row r="54" spans="2:13" x14ac:dyDescent="0.25">
      <c r="B54" s="15">
        <v>0</v>
      </c>
      <c r="C54" s="13">
        <v>400</v>
      </c>
      <c r="D54" s="16" t="s">
        <v>160</v>
      </c>
      <c r="E54" s="18" t="s">
        <v>160</v>
      </c>
      <c r="F54" s="23" t="s">
        <v>285</v>
      </c>
    </row>
    <row r="55" spans="2:13" x14ac:dyDescent="0.25">
      <c r="B55" s="15">
        <v>5000</v>
      </c>
      <c r="C55" s="13">
        <v>500</v>
      </c>
      <c r="D55" s="16" t="s">
        <v>160</v>
      </c>
      <c r="E55" s="18" t="s">
        <v>160</v>
      </c>
      <c r="F55" s="23" t="s">
        <v>1351</v>
      </c>
    </row>
    <row r="56" spans="2:13" x14ac:dyDescent="0.25">
      <c r="B56" s="15">
        <v>10000</v>
      </c>
      <c r="C56" s="13">
        <v>750</v>
      </c>
      <c r="D56" s="16" t="s">
        <v>160</v>
      </c>
      <c r="E56" s="18" t="s">
        <v>160</v>
      </c>
      <c r="F56" s="23" t="s">
        <v>1352</v>
      </c>
    </row>
    <row r="57" spans="2:13" x14ac:dyDescent="0.25">
      <c r="B57" s="15">
        <v>20000</v>
      </c>
      <c r="C57" s="13">
        <v>1000</v>
      </c>
      <c r="D57" s="16" t="s">
        <v>160</v>
      </c>
      <c r="E57" s="18" t="s">
        <v>160</v>
      </c>
      <c r="F57" s="23" t="s">
        <v>1353</v>
      </c>
    </row>
    <row r="58" spans="2:13" x14ac:dyDescent="0.25">
      <c r="B58" s="15">
        <v>30000</v>
      </c>
      <c r="C58" s="13">
        <v>2000</v>
      </c>
      <c r="D58" s="16" t="s">
        <v>160</v>
      </c>
      <c r="E58" s="18" t="s">
        <v>160</v>
      </c>
      <c r="F58" s="23" t="s">
        <v>1354</v>
      </c>
    </row>
    <row r="59" spans="2:13" x14ac:dyDescent="0.25">
      <c r="B59" s="15">
        <v>100000</v>
      </c>
      <c r="C59" s="13">
        <v>3000</v>
      </c>
      <c r="D59" s="16" t="s">
        <v>160</v>
      </c>
      <c r="E59" s="18" t="s">
        <v>160</v>
      </c>
      <c r="F59" s="23" t="s">
        <v>1355</v>
      </c>
      <c r="G59" s="23"/>
    </row>
    <row r="60" spans="2:13" x14ac:dyDescent="0.25">
      <c r="B60" s="13">
        <v>120000</v>
      </c>
      <c r="C60" s="13">
        <v>4000</v>
      </c>
      <c r="D60" s="16" t="s">
        <v>160</v>
      </c>
      <c r="E60" s="18" t="s">
        <v>160</v>
      </c>
      <c r="F60" s="23" t="s">
        <v>1356</v>
      </c>
      <c r="G60" s="23"/>
    </row>
    <row r="61" spans="2:13" x14ac:dyDescent="0.25">
      <c r="B61" s="13">
        <v>6000</v>
      </c>
      <c r="C61" s="13">
        <v>400</v>
      </c>
      <c r="D61" s="16" t="s">
        <v>160</v>
      </c>
      <c r="E61" s="18" t="s">
        <v>160</v>
      </c>
      <c r="F61" s="23" t="s">
        <v>285</v>
      </c>
      <c r="G61" s="23"/>
      <c r="I61" s="20"/>
      <c r="J61" s="20"/>
      <c r="K61" s="20"/>
      <c r="L61" s="20"/>
      <c r="M61" s="20"/>
    </row>
    <row r="62" spans="2:13" x14ac:dyDescent="0.25">
      <c r="B62" s="13">
        <v>0</v>
      </c>
      <c r="C62" s="16">
        <v>750</v>
      </c>
      <c r="D62" s="16" t="s">
        <v>160</v>
      </c>
      <c r="E62" s="18" t="s">
        <v>160</v>
      </c>
      <c r="F62" s="21" t="s">
        <v>1352</v>
      </c>
      <c r="G62" s="21"/>
      <c r="I62" s="20"/>
      <c r="J62" s="20"/>
      <c r="K62" s="20"/>
      <c r="L62" s="20"/>
      <c r="M62" s="20"/>
    </row>
    <row r="63" spans="2:13" x14ac:dyDescent="0.25">
      <c r="B63" s="56">
        <v>25000</v>
      </c>
      <c r="C63" s="56">
        <v>450</v>
      </c>
      <c r="D63" s="16" t="s">
        <v>160</v>
      </c>
      <c r="E63" s="18" t="s">
        <v>160</v>
      </c>
      <c r="F63" s="43" t="s">
        <v>1357</v>
      </c>
      <c r="G63" s="21"/>
      <c r="I63" s="20"/>
      <c r="J63" s="20"/>
      <c r="K63" s="20"/>
      <c r="L63" s="20"/>
      <c r="M63" s="20"/>
    </row>
    <row r="64" spans="2:13" x14ac:dyDescent="0.25">
      <c r="B64" s="14">
        <v>41950</v>
      </c>
      <c r="C64" s="14">
        <v>400</v>
      </c>
      <c r="D64" s="14" t="s">
        <v>160</v>
      </c>
      <c r="E64" s="19" t="s">
        <v>160</v>
      </c>
      <c r="F64" s="24" t="s">
        <v>285</v>
      </c>
      <c r="G64" s="43"/>
      <c r="I64" s="20"/>
      <c r="J64" s="20"/>
      <c r="K64" s="20"/>
      <c r="L64" s="20"/>
      <c r="M64" s="20"/>
    </row>
    <row r="65" spans="2:38" x14ac:dyDescent="0.25">
      <c r="I65" s="20"/>
      <c r="J65" s="20"/>
      <c r="K65" s="20"/>
      <c r="L65" s="20"/>
      <c r="M65" s="20"/>
    </row>
    <row r="66" spans="2:38" x14ac:dyDescent="0.25">
      <c r="I66" s="20"/>
      <c r="J66" s="20"/>
      <c r="K66" s="20"/>
      <c r="L66" s="20"/>
      <c r="M66" s="20"/>
    </row>
    <row r="67" spans="2:38" x14ac:dyDescent="0.25">
      <c r="B67" s="57" t="s">
        <v>1140</v>
      </c>
      <c r="C67" s="57"/>
      <c r="D67" s="57"/>
      <c r="E67" s="58"/>
      <c r="F67" s="58"/>
      <c r="G67" s="58"/>
      <c r="H67" s="59"/>
      <c r="I67" s="59"/>
      <c r="J67" s="59"/>
      <c r="K67" s="59"/>
      <c r="L67" s="59"/>
      <c r="M67" s="59"/>
      <c r="N67" s="59"/>
      <c r="O67" s="59"/>
      <c r="P67" s="59"/>
    </row>
    <row r="68" spans="2:38" x14ac:dyDescent="0.25">
      <c r="B68" s="60" t="s">
        <v>3</v>
      </c>
      <c r="C68" s="60" t="s">
        <v>6</v>
      </c>
      <c r="D68" s="60">
        <v>4</v>
      </c>
      <c r="E68" s="60"/>
      <c r="F68" s="60"/>
      <c r="G68" s="60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</row>
    <row ht="15.75" r="69" spans="2:38" x14ac:dyDescent="0.3">
      <c r="B69" s="2" t="s">
        <v>1</v>
      </c>
      <c r="C69" s="5" t="s">
        <v>1098</v>
      </c>
      <c r="D69" s="5" t="s">
        <v>166</v>
      </c>
      <c r="E69" s="5" t="s">
        <v>167</v>
      </c>
      <c r="F69" s="5" t="s">
        <v>168</v>
      </c>
      <c r="G69" s="5" t="s">
        <v>169</v>
      </c>
      <c r="H69" s="5" t="s">
        <v>170</v>
      </c>
      <c r="I69" s="5" t="s">
        <v>171</v>
      </c>
      <c r="J69" s="5" t="s">
        <v>172</v>
      </c>
      <c r="K69" s="5" t="s">
        <v>173</v>
      </c>
      <c r="L69" s="5" t="s">
        <v>174</v>
      </c>
      <c r="M69" s="5" t="s">
        <v>175</v>
      </c>
      <c r="N69" s="5" t="s">
        <v>176</v>
      </c>
      <c r="O69" s="5" t="s">
        <v>177</v>
      </c>
      <c r="P69" s="5" t="s">
        <v>178</v>
      </c>
      <c r="Q69" s="5" t="s">
        <v>179</v>
      </c>
      <c r="R69" s="5" t="s">
        <v>180</v>
      </c>
      <c r="S69" s="5" t="s">
        <v>181</v>
      </c>
      <c r="T69" s="5" t="s">
        <v>187</v>
      </c>
      <c r="U69" s="5" t="s">
        <v>933</v>
      </c>
      <c r="V69" s="5" t="s">
        <v>182</v>
      </c>
      <c r="W69" s="5" t="s">
        <v>183</v>
      </c>
      <c r="X69" s="5" t="s">
        <v>184</v>
      </c>
      <c r="Y69" s="5" t="s">
        <v>185</v>
      </c>
      <c r="Z69" s="5" t="s">
        <v>186</v>
      </c>
      <c r="AA69" s="5" t="s">
        <v>958</v>
      </c>
      <c r="AB69" s="5" t="s">
        <v>188</v>
      </c>
      <c r="AC69" s="5" t="s">
        <v>189</v>
      </c>
      <c r="AD69" s="5" t="s">
        <v>190</v>
      </c>
      <c r="AE69" s="5" t="s">
        <v>935</v>
      </c>
      <c r="AF69" s="5" t="s">
        <v>158</v>
      </c>
    </row>
    <row ht="15.75" r="70" spans="2:38" x14ac:dyDescent="0.3">
      <c r="B70" s="62" t="s">
        <v>108</v>
      </c>
      <c r="C70" s="63"/>
      <c r="D70" s="63"/>
      <c r="E70" s="63"/>
      <c r="F70" s="63"/>
      <c r="G70" s="63"/>
      <c r="H70" s="63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</row>
    <row ht="27" r="71" spans="2:38" x14ac:dyDescent="0.25">
      <c r="B71" s="52" t="s">
        <v>2</v>
      </c>
      <c r="C71" s="6" t="s">
        <v>1099</v>
      </c>
      <c r="D71" s="47" t="s">
        <v>113</v>
      </c>
      <c r="E71" s="47" t="s">
        <v>114</v>
      </c>
      <c r="F71" s="47" t="s">
        <v>115</v>
      </c>
      <c r="G71" s="47" t="s">
        <v>111</v>
      </c>
      <c r="H71" s="47" t="s">
        <v>112</v>
      </c>
      <c r="I71" s="47" t="s">
        <v>116</v>
      </c>
      <c r="J71" s="47" t="s">
        <v>117</v>
      </c>
      <c r="K71" s="47" t="s">
        <v>118</v>
      </c>
      <c r="L71" s="47" t="s">
        <v>119</v>
      </c>
      <c r="M71" s="47" t="s">
        <v>120</v>
      </c>
      <c r="N71" s="47" t="s">
        <v>121</v>
      </c>
      <c r="O71" s="47" t="s">
        <v>122</v>
      </c>
      <c r="P71" s="47" t="s">
        <v>123</v>
      </c>
      <c r="Q71" s="47" t="s">
        <v>124</v>
      </c>
      <c r="R71" s="47" t="s">
        <v>138</v>
      </c>
      <c r="S71" s="47" t="s">
        <v>139</v>
      </c>
      <c r="T71" s="47" t="s">
        <v>140</v>
      </c>
      <c r="U71" s="47" t="s">
        <v>934</v>
      </c>
      <c r="V71" s="47" t="s">
        <v>155</v>
      </c>
      <c r="W71" s="47" t="s">
        <v>137</v>
      </c>
      <c r="X71" s="47" t="s">
        <v>141</v>
      </c>
      <c r="Y71" s="47" t="s">
        <v>142</v>
      </c>
      <c r="Z71" s="47" t="s">
        <v>156</v>
      </c>
      <c r="AA71" s="47" t="s">
        <v>143</v>
      </c>
      <c r="AB71" s="47" t="s">
        <v>144</v>
      </c>
      <c r="AC71" s="47" t="s">
        <v>145</v>
      </c>
      <c r="AD71" s="47" t="s">
        <v>146</v>
      </c>
      <c r="AE71" s="47" t="s">
        <v>157</v>
      </c>
      <c r="AF71" s="47" t="s">
        <v>159</v>
      </c>
    </row>
    <row r="72" spans="2:38" x14ac:dyDescent="0.25">
      <c r="B72" s="53" t="s">
        <v>0</v>
      </c>
      <c r="C72" s="18" t="s">
        <v>160</v>
      </c>
      <c r="D72" s="45">
        <v>265.5</v>
      </c>
      <c r="E72" s="45">
        <v>121.89</v>
      </c>
      <c r="F72" s="45">
        <v>286.58999999999997</v>
      </c>
      <c r="G72" s="45">
        <v>52</v>
      </c>
      <c r="H72" s="45">
        <v>0</v>
      </c>
      <c r="I72" s="45">
        <v>725.98</v>
      </c>
      <c r="J72" s="46">
        <v>1</v>
      </c>
      <c r="K72" s="46">
        <v>1</v>
      </c>
      <c r="L72" s="46">
        <v>1</v>
      </c>
      <c r="M72" s="46">
        <v>1</v>
      </c>
      <c r="N72" s="54">
        <v>1</v>
      </c>
      <c r="O72" s="54">
        <v>0.85</v>
      </c>
      <c r="P72" s="54">
        <v>1</v>
      </c>
      <c r="Q72" s="45">
        <v>617.08000000000004</v>
      </c>
      <c r="R72" s="65">
        <v>8.4499999999999993</v>
      </c>
      <c r="S72" s="65">
        <v>93.83</v>
      </c>
      <c r="T72" s="65">
        <v>719.36</v>
      </c>
      <c r="U72" s="13">
        <v>0</v>
      </c>
      <c r="V72" s="65">
        <v>0</v>
      </c>
      <c r="W72" s="13">
        <v>0</v>
      </c>
      <c r="X72" s="65">
        <v>0</v>
      </c>
      <c r="Y72" s="65">
        <v>0</v>
      </c>
      <c r="Z72" s="65">
        <v>719.36</v>
      </c>
      <c r="AA72" s="65">
        <v>0</v>
      </c>
      <c r="AB72" s="65">
        <v>0</v>
      </c>
      <c r="AC72" s="65">
        <v>764.36</v>
      </c>
      <c r="AD72" s="65">
        <v>0</v>
      </c>
      <c r="AE72" s="65">
        <v>764.36</v>
      </c>
      <c r="AF72" s="65">
        <v>656.21086956521697</v>
      </c>
    </row>
    <row r="73" spans="2:38" x14ac:dyDescent="0.25">
      <c r="B73" s="53" t="s">
        <v>104</v>
      </c>
      <c r="C73" s="18" t="s">
        <v>160</v>
      </c>
      <c r="D73" s="74" t="s">
        <v>281</v>
      </c>
      <c r="E73" s="75" t="s">
        <v>282</v>
      </c>
      <c r="F73" s="74" t="s">
        <v>283</v>
      </c>
      <c r="G73" s="75" t="s">
        <v>284</v>
      </c>
      <c r="H73" s="75" t="s">
        <v>285</v>
      </c>
      <c r="I73" s="74" t="s">
        <v>286</v>
      </c>
      <c r="J73" s="75" t="s">
        <v>287</v>
      </c>
      <c r="K73" s="75" t="s">
        <v>287</v>
      </c>
      <c r="L73" s="75" t="s">
        <v>287</v>
      </c>
      <c r="M73" s="75" t="s">
        <v>287</v>
      </c>
      <c r="N73" s="75" t="s">
        <v>287</v>
      </c>
      <c r="O73" s="75" t="s">
        <v>288</v>
      </c>
      <c r="P73" s="75" t="s">
        <v>287</v>
      </c>
      <c r="Q73" s="74" t="s">
        <v>289</v>
      </c>
      <c r="R73" s="75" t="s">
        <v>290</v>
      </c>
      <c r="S73" s="74" t="s">
        <v>291</v>
      </c>
      <c r="T73" s="74" t="s">
        <v>292</v>
      </c>
      <c r="U73" s="75" t="s">
        <v>285</v>
      </c>
      <c r="V73" s="74" t="s">
        <v>293</v>
      </c>
      <c r="W73" s="75" t="s">
        <v>285</v>
      </c>
      <c r="X73" s="75" t="s">
        <v>285</v>
      </c>
      <c r="Y73" s="74" t="s">
        <v>294</v>
      </c>
      <c r="Z73" s="74" t="s">
        <v>295</v>
      </c>
      <c r="AA73" s="75" t="s">
        <v>285</v>
      </c>
      <c r="AB73" s="75" t="s">
        <v>285</v>
      </c>
      <c r="AC73" s="74" t="s">
        <v>296</v>
      </c>
      <c r="AD73" s="75" t="s">
        <v>285</v>
      </c>
      <c r="AE73" s="74" t="s">
        <v>297</v>
      </c>
      <c r="AF73" s="74" t="s">
        <v>298</v>
      </c>
    </row>
    <row r="74" spans="2:38" x14ac:dyDescent="0.25">
      <c r="B74" s="53" t="s">
        <v>125</v>
      </c>
      <c r="C74" s="18" t="s">
        <v>160</v>
      </c>
      <c r="D74" s="74" t="s">
        <v>281</v>
      </c>
      <c r="E74" s="75" t="s">
        <v>282</v>
      </c>
      <c r="F74" s="74" t="s">
        <v>283</v>
      </c>
      <c r="G74" s="75" t="s">
        <v>284</v>
      </c>
      <c r="H74" s="75" t="s">
        <v>285</v>
      </c>
      <c r="I74" s="74" t="s">
        <v>286</v>
      </c>
      <c r="J74" s="75" t="s">
        <v>287</v>
      </c>
      <c r="K74" s="75" t="s">
        <v>287</v>
      </c>
      <c r="L74" s="75" t="s">
        <v>287</v>
      </c>
      <c r="M74" s="75" t="s">
        <v>287</v>
      </c>
      <c r="N74" s="75" t="s">
        <v>287</v>
      </c>
      <c r="O74" s="75" t="s">
        <v>299</v>
      </c>
      <c r="P74" s="75" t="s">
        <v>287</v>
      </c>
      <c r="Q74" s="74" t="s">
        <v>300</v>
      </c>
      <c r="R74" s="75" t="s">
        <v>290</v>
      </c>
      <c r="S74" s="74" t="s">
        <v>301</v>
      </c>
      <c r="T74" s="74" t="s">
        <v>302</v>
      </c>
      <c r="U74" s="75" t="s">
        <v>303</v>
      </c>
      <c r="V74" s="74" t="s">
        <v>304</v>
      </c>
      <c r="W74" s="75" t="s">
        <v>285</v>
      </c>
      <c r="X74" s="75" t="s">
        <v>285</v>
      </c>
      <c r="Y74" s="74" t="s">
        <v>304</v>
      </c>
      <c r="Z74" s="74" t="s">
        <v>305</v>
      </c>
      <c r="AA74" s="75" t="s">
        <v>285</v>
      </c>
      <c r="AB74" s="75" t="s">
        <v>285</v>
      </c>
      <c r="AC74" s="74" t="s">
        <v>306</v>
      </c>
      <c r="AD74" s="75" t="s">
        <v>285</v>
      </c>
      <c r="AE74" s="74" t="s">
        <v>307</v>
      </c>
      <c r="AF74" s="74" t="s">
        <v>308</v>
      </c>
    </row>
    <row r="75" spans="2:38" x14ac:dyDescent="0.25">
      <c r="B75" s="53" t="s">
        <v>126</v>
      </c>
      <c r="C75" s="18" t="s">
        <v>160</v>
      </c>
      <c r="D75" s="74" t="s">
        <v>281</v>
      </c>
      <c r="E75" s="75" t="s">
        <v>282</v>
      </c>
      <c r="F75" s="74" t="s">
        <v>283</v>
      </c>
      <c r="G75" s="75" t="s">
        <v>284</v>
      </c>
      <c r="H75" s="75" t="s">
        <v>285</v>
      </c>
      <c r="I75" s="74" t="s">
        <v>286</v>
      </c>
      <c r="J75" s="75" t="s">
        <v>287</v>
      </c>
      <c r="K75" s="75" t="s">
        <v>287</v>
      </c>
      <c r="L75" s="75" t="s">
        <v>287</v>
      </c>
      <c r="M75" s="75" t="s">
        <v>287</v>
      </c>
      <c r="N75" s="75" t="s">
        <v>287</v>
      </c>
      <c r="O75" s="75" t="s">
        <v>309</v>
      </c>
      <c r="P75" s="75" t="s">
        <v>287</v>
      </c>
      <c r="Q75" s="74" t="s">
        <v>310</v>
      </c>
      <c r="R75" s="75" t="s">
        <v>290</v>
      </c>
      <c r="S75" s="74" t="s">
        <v>311</v>
      </c>
      <c r="T75" s="74" t="s">
        <v>312</v>
      </c>
      <c r="U75" s="75" t="s">
        <v>285</v>
      </c>
      <c r="V75" s="74" t="s">
        <v>313</v>
      </c>
      <c r="W75" s="75" t="s">
        <v>285</v>
      </c>
      <c r="X75" s="75" t="s">
        <v>285</v>
      </c>
      <c r="Y75" s="74" t="s">
        <v>313</v>
      </c>
      <c r="Z75" s="74" t="s">
        <v>314</v>
      </c>
      <c r="AA75" s="75" t="s">
        <v>285</v>
      </c>
      <c r="AB75" s="75" t="s">
        <v>285</v>
      </c>
      <c r="AC75" s="74" t="s">
        <v>315</v>
      </c>
      <c r="AD75" s="75" t="s">
        <v>285</v>
      </c>
      <c r="AE75" s="74" t="s">
        <v>316</v>
      </c>
      <c r="AF75" s="74" t="s">
        <v>317</v>
      </c>
    </row>
    <row r="76" spans="2:38" x14ac:dyDescent="0.25">
      <c r="B76" s="53" t="s">
        <v>127</v>
      </c>
      <c r="C76" s="18" t="s">
        <v>160</v>
      </c>
      <c r="D76" s="74" t="s">
        <v>318</v>
      </c>
      <c r="E76" s="75" t="s">
        <v>282</v>
      </c>
      <c r="F76" s="74" t="s">
        <v>319</v>
      </c>
      <c r="G76" s="75" t="s">
        <v>284</v>
      </c>
      <c r="H76" s="75" t="s">
        <v>285</v>
      </c>
      <c r="I76" s="74" t="s">
        <v>320</v>
      </c>
      <c r="J76" s="75" t="s">
        <v>287</v>
      </c>
      <c r="K76" s="75" t="s">
        <v>287</v>
      </c>
      <c r="L76" s="75" t="s">
        <v>287</v>
      </c>
      <c r="M76" s="75" t="s">
        <v>287</v>
      </c>
      <c r="N76" s="75" t="s">
        <v>287</v>
      </c>
      <c r="O76" s="75" t="s">
        <v>321</v>
      </c>
      <c r="P76" s="75" t="s">
        <v>287</v>
      </c>
      <c r="Q76" s="74" t="s">
        <v>322</v>
      </c>
      <c r="R76" s="75" t="s">
        <v>290</v>
      </c>
      <c r="S76" s="74" t="s">
        <v>323</v>
      </c>
      <c r="T76" s="74" t="s">
        <v>324</v>
      </c>
      <c r="U76" s="75" t="s">
        <v>285</v>
      </c>
      <c r="V76" s="75" t="s">
        <v>285</v>
      </c>
      <c r="W76" s="75" t="s">
        <v>285</v>
      </c>
      <c r="X76" s="75" t="s">
        <v>285</v>
      </c>
      <c r="Y76" s="75" t="s">
        <v>285</v>
      </c>
      <c r="Z76" s="74" t="s">
        <v>324</v>
      </c>
      <c r="AA76" s="75" t="s">
        <v>285</v>
      </c>
      <c r="AB76" s="75" t="s">
        <v>285</v>
      </c>
      <c r="AC76" s="74" t="s">
        <v>325</v>
      </c>
      <c r="AD76" s="75" t="s">
        <v>285</v>
      </c>
      <c r="AE76" s="74" t="s">
        <v>325</v>
      </c>
      <c r="AF76" s="74" t="s">
        <v>326</v>
      </c>
    </row>
    <row r="77" spans="2:38" x14ac:dyDescent="0.25">
      <c r="B77" s="53" t="s">
        <v>129</v>
      </c>
      <c r="C77" s="18" t="s">
        <v>160</v>
      </c>
      <c r="D77" s="74" t="s">
        <v>318</v>
      </c>
      <c r="E77" s="75" t="s">
        <v>282</v>
      </c>
      <c r="F77" s="74" t="s">
        <v>319</v>
      </c>
      <c r="G77" s="75" t="s">
        <v>284</v>
      </c>
      <c r="H77" s="75" t="s">
        <v>285</v>
      </c>
      <c r="I77" s="74" t="s">
        <v>320</v>
      </c>
      <c r="J77" s="75" t="s">
        <v>287</v>
      </c>
      <c r="K77" s="75" t="s">
        <v>287</v>
      </c>
      <c r="L77" s="75" t="s">
        <v>287</v>
      </c>
      <c r="M77" s="75" t="s">
        <v>287</v>
      </c>
      <c r="N77" s="75" t="s">
        <v>287</v>
      </c>
      <c r="O77" s="75" t="s">
        <v>288</v>
      </c>
      <c r="P77" s="75" t="s">
        <v>287</v>
      </c>
      <c r="Q77" s="74" t="s">
        <v>327</v>
      </c>
      <c r="R77" s="75" t="s">
        <v>290</v>
      </c>
      <c r="S77" s="74" t="s">
        <v>328</v>
      </c>
      <c r="T77" s="74" t="s">
        <v>329</v>
      </c>
      <c r="U77" s="75" t="s">
        <v>285</v>
      </c>
      <c r="V77" s="75" t="s">
        <v>285</v>
      </c>
      <c r="W77" s="75" t="s">
        <v>303</v>
      </c>
      <c r="X77" s="74" t="s">
        <v>330</v>
      </c>
      <c r="Y77" s="74" t="s">
        <v>330</v>
      </c>
      <c r="Z77" s="74" t="s">
        <v>331</v>
      </c>
      <c r="AA77" s="75" t="s">
        <v>285</v>
      </c>
      <c r="AB77" s="75" t="s">
        <v>285</v>
      </c>
      <c r="AC77" s="74" t="s">
        <v>332</v>
      </c>
      <c r="AD77" s="75" t="s">
        <v>285</v>
      </c>
      <c r="AE77" s="74" t="s">
        <v>333</v>
      </c>
      <c r="AF77" s="74" t="s">
        <v>334</v>
      </c>
    </row>
    <row r="78" spans="2:38" x14ac:dyDescent="0.25">
      <c r="B78" s="53" t="s">
        <v>130</v>
      </c>
      <c r="C78" s="18" t="s">
        <v>160</v>
      </c>
      <c r="D78" s="74" t="s">
        <v>318</v>
      </c>
      <c r="E78" s="75" t="s">
        <v>282</v>
      </c>
      <c r="F78" s="74" t="s">
        <v>319</v>
      </c>
      <c r="G78" s="75" t="s">
        <v>284</v>
      </c>
      <c r="H78" s="75" t="s">
        <v>285</v>
      </c>
      <c r="I78" s="74" t="s">
        <v>320</v>
      </c>
      <c r="J78" s="75" t="s">
        <v>287</v>
      </c>
      <c r="K78" s="75" t="s">
        <v>287</v>
      </c>
      <c r="L78" s="75" t="s">
        <v>287</v>
      </c>
      <c r="M78" s="75" t="s">
        <v>287</v>
      </c>
      <c r="N78" s="75" t="s">
        <v>287</v>
      </c>
      <c r="O78" s="75" t="s">
        <v>299</v>
      </c>
      <c r="P78" s="75" t="s">
        <v>287</v>
      </c>
      <c r="Q78" s="74" t="s">
        <v>335</v>
      </c>
      <c r="R78" s="75" t="s">
        <v>290</v>
      </c>
      <c r="S78" s="74" t="s">
        <v>336</v>
      </c>
      <c r="T78" s="74" t="s">
        <v>337</v>
      </c>
      <c r="U78" s="75" t="s">
        <v>303</v>
      </c>
      <c r="V78" s="74" t="s">
        <v>338</v>
      </c>
      <c r="W78" s="75" t="s">
        <v>285</v>
      </c>
      <c r="X78" s="75" t="s">
        <v>285</v>
      </c>
      <c r="Y78" s="74" t="s">
        <v>338</v>
      </c>
      <c r="Z78" s="74" t="s">
        <v>339</v>
      </c>
      <c r="AA78" s="75" t="s">
        <v>285</v>
      </c>
      <c r="AB78" s="75" t="s">
        <v>285</v>
      </c>
      <c r="AC78" s="74" t="s">
        <v>340</v>
      </c>
      <c r="AD78" s="75" t="s">
        <v>285</v>
      </c>
      <c r="AE78" s="74" t="s">
        <v>341</v>
      </c>
      <c r="AF78" s="74" t="s">
        <v>342</v>
      </c>
    </row>
    <row r="79" spans="2:38" x14ac:dyDescent="0.25">
      <c r="B79" s="53" t="s">
        <v>131</v>
      </c>
      <c r="C79" s="18" t="s">
        <v>160</v>
      </c>
      <c r="D79" s="74" t="s">
        <v>318</v>
      </c>
      <c r="E79" s="75" t="s">
        <v>282</v>
      </c>
      <c r="F79" s="74" t="s">
        <v>319</v>
      </c>
      <c r="G79" s="75" t="s">
        <v>284</v>
      </c>
      <c r="H79" s="75" t="s">
        <v>285</v>
      </c>
      <c r="I79" s="74" t="s">
        <v>320</v>
      </c>
      <c r="J79" s="75" t="s">
        <v>287</v>
      </c>
      <c r="K79" s="75" t="s">
        <v>287</v>
      </c>
      <c r="L79" s="75" t="s">
        <v>287</v>
      </c>
      <c r="M79" s="75" t="s">
        <v>287</v>
      </c>
      <c r="N79" s="75" t="s">
        <v>287</v>
      </c>
      <c r="O79" s="75" t="s">
        <v>309</v>
      </c>
      <c r="P79" s="75" t="s">
        <v>287</v>
      </c>
      <c r="Q79" s="74" t="s">
        <v>343</v>
      </c>
      <c r="R79" s="75" t="s">
        <v>290</v>
      </c>
      <c r="S79" s="74" t="s">
        <v>344</v>
      </c>
      <c r="T79" s="74" t="s">
        <v>345</v>
      </c>
      <c r="U79" s="75" t="s">
        <v>303</v>
      </c>
      <c r="V79" s="74" t="s">
        <v>346</v>
      </c>
      <c r="W79" s="75" t="s">
        <v>303</v>
      </c>
      <c r="X79" s="74" t="s">
        <v>347</v>
      </c>
      <c r="Y79" s="74" t="s">
        <v>348</v>
      </c>
      <c r="Z79" s="74" t="s">
        <v>349</v>
      </c>
      <c r="AA79" s="75" t="s">
        <v>285</v>
      </c>
      <c r="AB79" s="75" t="s">
        <v>285</v>
      </c>
      <c r="AC79" s="74" t="s">
        <v>350</v>
      </c>
      <c r="AD79" s="75" t="s">
        <v>285</v>
      </c>
      <c r="AE79" s="74" t="s">
        <v>351</v>
      </c>
      <c r="AF79" s="74" t="s">
        <v>352</v>
      </c>
    </row>
    <row r="80" spans="2:38" x14ac:dyDescent="0.25">
      <c r="B80" s="53" t="s">
        <v>132</v>
      </c>
      <c r="C80" s="18" t="s">
        <v>160</v>
      </c>
      <c r="D80" s="74" t="s">
        <v>318</v>
      </c>
      <c r="E80" s="75" t="s">
        <v>282</v>
      </c>
      <c r="F80" s="74" t="s">
        <v>319</v>
      </c>
      <c r="G80" s="75" t="s">
        <v>284</v>
      </c>
      <c r="H80" s="75" t="s">
        <v>285</v>
      </c>
      <c r="I80" s="74" t="s">
        <v>320</v>
      </c>
      <c r="J80" s="75" t="s">
        <v>287</v>
      </c>
      <c r="K80" s="75" t="s">
        <v>287</v>
      </c>
      <c r="L80" s="75" t="s">
        <v>287</v>
      </c>
      <c r="M80" s="75" t="s">
        <v>287</v>
      </c>
      <c r="N80" s="75" t="s">
        <v>287</v>
      </c>
      <c r="O80" s="75" t="s">
        <v>321</v>
      </c>
      <c r="P80" s="75" t="s">
        <v>287</v>
      </c>
      <c r="Q80" s="74" t="s">
        <v>322</v>
      </c>
      <c r="R80" s="75" t="s">
        <v>290</v>
      </c>
      <c r="S80" s="74" t="s">
        <v>323</v>
      </c>
      <c r="T80" s="74" t="s">
        <v>324</v>
      </c>
      <c r="U80" s="75" t="s">
        <v>303</v>
      </c>
      <c r="V80" s="74" t="s">
        <v>353</v>
      </c>
      <c r="W80" s="75" t="s">
        <v>303</v>
      </c>
      <c r="X80" s="74" t="s">
        <v>354</v>
      </c>
      <c r="Y80" s="74" t="s">
        <v>355</v>
      </c>
      <c r="Z80" s="74" t="s">
        <v>356</v>
      </c>
      <c r="AA80" s="75" t="s">
        <v>285</v>
      </c>
      <c r="AB80" s="75" t="s">
        <v>285</v>
      </c>
      <c r="AC80" s="74" t="s">
        <v>325</v>
      </c>
      <c r="AD80" s="75" t="s">
        <v>285</v>
      </c>
      <c r="AE80" s="74" t="s">
        <v>357</v>
      </c>
      <c r="AF80" s="74" t="s">
        <v>358</v>
      </c>
    </row>
    <row r="81" spans="2:32" x14ac:dyDescent="0.25">
      <c r="B81" s="53" t="s">
        <v>133</v>
      </c>
      <c r="C81" s="18" t="s">
        <v>160</v>
      </c>
      <c r="D81" s="74" t="s">
        <v>359</v>
      </c>
      <c r="E81" s="75" t="s">
        <v>282</v>
      </c>
      <c r="F81" s="74" t="s">
        <v>360</v>
      </c>
      <c r="G81" s="75" t="s">
        <v>284</v>
      </c>
      <c r="H81" s="75" t="s">
        <v>285</v>
      </c>
      <c r="I81" s="74" t="s">
        <v>361</v>
      </c>
      <c r="J81" s="75" t="s">
        <v>287</v>
      </c>
      <c r="K81" s="75" t="s">
        <v>287</v>
      </c>
      <c r="L81" s="75" t="s">
        <v>287</v>
      </c>
      <c r="M81" s="75" t="s">
        <v>287</v>
      </c>
      <c r="N81" s="75" t="s">
        <v>287</v>
      </c>
      <c r="O81" s="75" t="s">
        <v>288</v>
      </c>
      <c r="P81" s="75" t="s">
        <v>287</v>
      </c>
      <c r="Q81" s="74" t="s">
        <v>362</v>
      </c>
      <c r="R81" s="75" t="s">
        <v>290</v>
      </c>
      <c r="S81" s="74" t="s">
        <v>363</v>
      </c>
      <c r="T81" s="74" t="s">
        <v>364</v>
      </c>
      <c r="U81" s="75" t="s">
        <v>303</v>
      </c>
      <c r="V81" s="74" t="s">
        <v>365</v>
      </c>
      <c r="W81" s="75" t="s">
        <v>303</v>
      </c>
      <c r="X81" s="74" t="s">
        <v>366</v>
      </c>
      <c r="Y81" s="74" t="s">
        <v>367</v>
      </c>
      <c r="Z81" s="74" t="s">
        <v>368</v>
      </c>
      <c r="AA81" s="75" t="s">
        <v>285</v>
      </c>
      <c r="AB81" s="75" t="s">
        <v>285</v>
      </c>
      <c r="AC81" s="74" t="s">
        <v>369</v>
      </c>
      <c r="AD81" s="75" t="s">
        <v>285</v>
      </c>
      <c r="AE81" s="74" t="s">
        <v>370</v>
      </c>
      <c r="AF81" s="74" t="s">
        <v>371</v>
      </c>
    </row>
    <row r="82" spans="2:32" x14ac:dyDescent="0.25">
      <c r="B82" s="53" t="s">
        <v>191</v>
      </c>
      <c r="C82" s="18" t="s">
        <v>160</v>
      </c>
      <c r="D82" s="74" t="s">
        <v>359</v>
      </c>
      <c r="E82" s="75" t="s">
        <v>282</v>
      </c>
      <c r="F82" s="74" t="s">
        <v>360</v>
      </c>
      <c r="G82" s="75" t="s">
        <v>284</v>
      </c>
      <c r="H82" s="75" t="s">
        <v>285</v>
      </c>
      <c r="I82" s="74" t="s">
        <v>361</v>
      </c>
      <c r="J82" s="75" t="s">
        <v>287</v>
      </c>
      <c r="K82" s="75" t="s">
        <v>287</v>
      </c>
      <c r="L82" s="75" t="s">
        <v>287</v>
      </c>
      <c r="M82" s="75" t="s">
        <v>287</v>
      </c>
      <c r="N82" s="75" t="s">
        <v>287</v>
      </c>
      <c r="O82" s="75" t="s">
        <v>299</v>
      </c>
      <c r="P82" s="75" t="s">
        <v>287</v>
      </c>
      <c r="Q82" s="74" t="s">
        <v>372</v>
      </c>
      <c r="R82" s="75" t="s">
        <v>290</v>
      </c>
      <c r="S82" s="74" t="s">
        <v>373</v>
      </c>
      <c r="T82" s="74" t="s">
        <v>374</v>
      </c>
      <c r="U82" s="75" t="s">
        <v>285</v>
      </c>
      <c r="V82" s="74" t="s">
        <v>375</v>
      </c>
      <c r="W82" s="75" t="s">
        <v>285</v>
      </c>
      <c r="X82" s="75" t="s">
        <v>285</v>
      </c>
      <c r="Y82" s="74" t="s">
        <v>376</v>
      </c>
      <c r="Z82" s="74" t="s">
        <v>377</v>
      </c>
      <c r="AA82" s="75" t="s">
        <v>285</v>
      </c>
      <c r="AB82" s="75" t="s">
        <v>285</v>
      </c>
      <c r="AC82" s="74" t="s">
        <v>378</v>
      </c>
      <c r="AD82" s="75" t="s">
        <v>285</v>
      </c>
      <c r="AE82" s="74" t="s">
        <v>379</v>
      </c>
      <c r="AF82" s="74" t="s">
        <v>380</v>
      </c>
    </row>
    <row r="83" spans="2:32" x14ac:dyDescent="0.25">
      <c r="B83" s="53" t="s">
        <v>192</v>
      </c>
      <c r="C83" s="18" t="s">
        <v>160</v>
      </c>
      <c r="D83" s="74" t="s">
        <v>359</v>
      </c>
      <c r="E83" s="75" t="s">
        <v>282</v>
      </c>
      <c r="F83" s="74" t="s">
        <v>360</v>
      </c>
      <c r="G83" s="75" t="s">
        <v>284</v>
      </c>
      <c r="H83" s="75" t="s">
        <v>285</v>
      </c>
      <c r="I83" s="74" t="s">
        <v>361</v>
      </c>
      <c r="J83" s="75" t="s">
        <v>287</v>
      </c>
      <c r="K83" s="75" t="s">
        <v>287</v>
      </c>
      <c r="L83" s="75" t="s">
        <v>287</v>
      </c>
      <c r="M83" s="75" t="s">
        <v>287</v>
      </c>
      <c r="N83" s="75" t="s">
        <v>287</v>
      </c>
      <c r="O83" s="75" t="s">
        <v>309</v>
      </c>
      <c r="P83" s="75" t="s">
        <v>287</v>
      </c>
      <c r="Q83" s="74" t="s">
        <v>381</v>
      </c>
      <c r="R83" s="75" t="s">
        <v>290</v>
      </c>
      <c r="S83" s="74" t="s">
        <v>382</v>
      </c>
      <c r="T83" s="74" t="s">
        <v>383</v>
      </c>
      <c r="U83" s="75" t="s">
        <v>285</v>
      </c>
      <c r="V83" s="74" t="s">
        <v>384</v>
      </c>
      <c r="W83" s="75" t="s">
        <v>303</v>
      </c>
      <c r="X83" s="74" t="s">
        <v>384</v>
      </c>
      <c r="Y83" s="74" t="s">
        <v>385</v>
      </c>
      <c r="Z83" s="74" t="s">
        <v>386</v>
      </c>
      <c r="AA83" s="75" t="s">
        <v>285</v>
      </c>
      <c r="AB83" s="75" t="s">
        <v>285</v>
      </c>
      <c r="AC83" s="74" t="s">
        <v>387</v>
      </c>
      <c r="AD83" s="75" t="s">
        <v>285</v>
      </c>
      <c r="AE83" s="74" t="s">
        <v>388</v>
      </c>
      <c r="AF83" s="74" t="s">
        <v>389</v>
      </c>
    </row>
    <row r="84" spans="2:32" x14ac:dyDescent="0.25">
      <c r="B84" s="53" t="s">
        <v>193</v>
      </c>
      <c r="C84" s="18" t="s">
        <v>160</v>
      </c>
      <c r="D84" s="74" t="s">
        <v>359</v>
      </c>
      <c r="E84" s="75" t="s">
        <v>282</v>
      </c>
      <c r="F84" s="74" t="s">
        <v>360</v>
      </c>
      <c r="G84" s="75" t="s">
        <v>284</v>
      </c>
      <c r="H84" s="75" t="s">
        <v>285</v>
      </c>
      <c r="I84" s="74" t="s">
        <v>361</v>
      </c>
      <c r="J84" s="75" t="s">
        <v>287</v>
      </c>
      <c r="K84" s="75" t="s">
        <v>287</v>
      </c>
      <c r="L84" s="75" t="s">
        <v>287</v>
      </c>
      <c r="M84" s="75" t="s">
        <v>287</v>
      </c>
      <c r="N84" s="75" t="s">
        <v>287</v>
      </c>
      <c r="O84" s="75" t="s">
        <v>321</v>
      </c>
      <c r="P84" s="75" t="s">
        <v>287</v>
      </c>
      <c r="Q84" s="74" t="s">
        <v>390</v>
      </c>
      <c r="R84" s="75" t="s">
        <v>290</v>
      </c>
      <c r="S84" s="74" t="s">
        <v>391</v>
      </c>
      <c r="T84" s="74" t="s">
        <v>392</v>
      </c>
      <c r="U84" s="75" t="s">
        <v>285</v>
      </c>
      <c r="V84" s="74" t="s">
        <v>393</v>
      </c>
      <c r="W84" s="75" t="s">
        <v>303</v>
      </c>
      <c r="X84" s="74" t="s">
        <v>393</v>
      </c>
      <c r="Y84" s="74" t="s">
        <v>394</v>
      </c>
      <c r="Z84" s="74" t="s">
        <v>395</v>
      </c>
      <c r="AA84" s="75" t="s">
        <v>285</v>
      </c>
      <c r="AB84" s="75" t="s">
        <v>285</v>
      </c>
      <c r="AC84" s="74" t="s">
        <v>396</v>
      </c>
      <c r="AD84" s="75" t="s">
        <v>285</v>
      </c>
      <c r="AE84" s="74" t="s">
        <v>397</v>
      </c>
      <c r="AF84" s="74" t="s">
        <v>398</v>
      </c>
    </row>
    <row r="85" spans="2:32" x14ac:dyDescent="0.25">
      <c r="B85" s="53" t="s">
        <v>194</v>
      </c>
      <c r="C85" s="18" t="s">
        <v>160</v>
      </c>
      <c r="D85" s="74" t="s">
        <v>399</v>
      </c>
      <c r="E85" s="75" t="s">
        <v>282</v>
      </c>
      <c r="F85" s="74" t="s">
        <v>400</v>
      </c>
      <c r="G85" s="75" t="s">
        <v>284</v>
      </c>
      <c r="H85" s="75" t="s">
        <v>285</v>
      </c>
      <c r="I85" s="74" t="s">
        <v>401</v>
      </c>
      <c r="J85" s="75" t="s">
        <v>287</v>
      </c>
      <c r="K85" s="75" t="s">
        <v>287</v>
      </c>
      <c r="L85" s="75" t="s">
        <v>287</v>
      </c>
      <c r="M85" s="75" t="s">
        <v>287</v>
      </c>
      <c r="N85" s="75" t="s">
        <v>287</v>
      </c>
      <c r="O85" s="75" t="s">
        <v>288</v>
      </c>
      <c r="P85" s="75" t="s">
        <v>287</v>
      </c>
      <c r="Q85" s="74" t="s">
        <v>402</v>
      </c>
      <c r="R85" s="75" t="s">
        <v>290</v>
      </c>
      <c r="S85" s="74" t="s">
        <v>403</v>
      </c>
      <c r="T85" s="74" t="s">
        <v>404</v>
      </c>
      <c r="U85" s="75" t="s">
        <v>285</v>
      </c>
      <c r="V85" s="74" t="s">
        <v>405</v>
      </c>
      <c r="W85" s="75" t="s">
        <v>303</v>
      </c>
      <c r="X85" s="74" t="s">
        <v>405</v>
      </c>
      <c r="Y85" s="74" t="s">
        <v>406</v>
      </c>
      <c r="Z85" s="74" t="s">
        <v>407</v>
      </c>
      <c r="AA85" s="75" t="s">
        <v>285</v>
      </c>
      <c r="AB85" s="75" t="s">
        <v>285</v>
      </c>
      <c r="AC85" s="74" t="s">
        <v>408</v>
      </c>
      <c r="AD85" s="75" t="s">
        <v>285</v>
      </c>
      <c r="AE85" s="74" t="s">
        <v>409</v>
      </c>
      <c r="AF85" s="74" t="s">
        <v>410</v>
      </c>
    </row>
    <row r="86" spans="2:32" x14ac:dyDescent="0.25">
      <c r="B86" s="53" t="s">
        <v>195</v>
      </c>
      <c r="C86" s="18" t="s">
        <v>160</v>
      </c>
      <c r="D86" s="74" t="s">
        <v>399</v>
      </c>
      <c r="E86" s="75" t="s">
        <v>282</v>
      </c>
      <c r="F86" s="74" t="s">
        <v>400</v>
      </c>
      <c r="G86" s="75" t="s">
        <v>284</v>
      </c>
      <c r="H86" s="75" t="s">
        <v>285</v>
      </c>
      <c r="I86" s="74" t="s">
        <v>401</v>
      </c>
      <c r="J86" s="75" t="s">
        <v>287</v>
      </c>
      <c r="K86" s="75" t="s">
        <v>287</v>
      </c>
      <c r="L86" s="75" t="s">
        <v>287</v>
      </c>
      <c r="M86" s="75" t="s">
        <v>287</v>
      </c>
      <c r="N86" s="75" t="s">
        <v>287</v>
      </c>
      <c r="O86" s="75" t="s">
        <v>411</v>
      </c>
      <c r="P86" s="75" t="s">
        <v>287</v>
      </c>
      <c r="Q86" s="74" t="s">
        <v>412</v>
      </c>
      <c r="R86" s="75" t="s">
        <v>290</v>
      </c>
      <c r="S86" s="74" t="s">
        <v>413</v>
      </c>
      <c r="T86" s="74" t="s">
        <v>414</v>
      </c>
      <c r="U86" s="75" t="s">
        <v>285</v>
      </c>
      <c r="V86" s="75" t="s">
        <v>285</v>
      </c>
      <c r="W86" s="75" t="s">
        <v>285</v>
      </c>
      <c r="X86" s="75" t="s">
        <v>285</v>
      </c>
      <c r="Y86" s="75" t="s">
        <v>285</v>
      </c>
      <c r="Z86" s="74" t="s">
        <v>414</v>
      </c>
      <c r="AA86" s="75" t="s">
        <v>285</v>
      </c>
      <c r="AB86" s="75" t="s">
        <v>285</v>
      </c>
      <c r="AC86" s="74" t="s">
        <v>415</v>
      </c>
      <c r="AD86" s="75" t="s">
        <v>285</v>
      </c>
      <c r="AE86" s="74" t="s">
        <v>415</v>
      </c>
      <c r="AF86" s="74" t="s">
        <v>416</v>
      </c>
    </row>
    <row r="87" spans="2:32" x14ac:dyDescent="0.25">
      <c r="B87" s="53" t="s">
        <v>196</v>
      </c>
      <c r="C87" s="18" t="s">
        <v>160</v>
      </c>
      <c r="D87" s="74" t="s">
        <v>399</v>
      </c>
      <c r="E87" s="75" t="s">
        <v>282</v>
      </c>
      <c r="F87" s="74" t="s">
        <v>400</v>
      </c>
      <c r="G87" s="75" t="s">
        <v>284</v>
      </c>
      <c r="H87" s="75" t="s">
        <v>285</v>
      </c>
      <c r="I87" s="74" t="s">
        <v>401</v>
      </c>
      <c r="J87" s="75" t="s">
        <v>287</v>
      </c>
      <c r="K87" s="75" t="s">
        <v>287</v>
      </c>
      <c r="L87" s="75" t="s">
        <v>287</v>
      </c>
      <c r="M87" s="75" t="s">
        <v>287</v>
      </c>
      <c r="N87" s="75" t="s">
        <v>287</v>
      </c>
      <c r="O87" s="75" t="s">
        <v>287</v>
      </c>
      <c r="P87" s="75" t="s">
        <v>287</v>
      </c>
      <c r="Q87" s="74" t="s">
        <v>401</v>
      </c>
      <c r="R87" s="75" t="s">
        <v>290</v>
      </c>
      <c r="S87" s="74" t="s">
        <v>417</v>
      </c>
      <c r="T87" s="74" t="s">
        <v>418</v>
      </c>
      <c r="U87" s="75" t="s">
        <v>285</v>
      </c>
      <c r="V87" s="75" t="s">
        <v>285</v>
      </c>
      <c r="W87" s="75" t="s">
        <v>285</v>
      </c>
      <c r="X87" s="75" t="s">
        <v>285</v>
      </c>
      <c r="Y87" s="75" t="s">
        <v>285</v>
      </c>
      <c r="Z87" s="74" t="s">
        <v>418</v>
      </c>
      <c r="AA87" s="75" t="s">
        <v>285</v>
      </c>
      <c r="AB87" s="75" t="s">
        <v>285</v>
      </c>
      <c r="AC87" s="74" t="s">
        <v>419</v>
      </c>
      <c r="AD87" s="75" t="s">
        <v>285</v>
      </c>
      <c r="AE87" s="74" t="s">
        <v>419</v>
      </c>
      <c r="AF87" s="74" t="s">
        <v>420</v>
      </c>
    </row>
    <row r="88" spans="2:32" x14ac:dyDescent="0.25">
      <c r="B88" s="53" t="s">
        <v>197</v>
      </c>
      <c r="C88" s="18" t="s">
        <v>160</v>
      </c>
      <c r="D88" s="74" t="s">
        <v>399</v>
      </c>
      <c r="E88" s="75" t="s">
        <v>282</v>
      </c>
      <c r="F88" s="74" t="s">
        <v>400</v>
      </c>
      <c r="G88" s="75" t="s">
        <v>284</v>
      </c>
      <c r="H88" s="75" t="s">
        <v>285</v>
      </c>
      <c r="I88" s="74" t="s">
        <v>401</v>
      </c>
      <c r="J88" s="75" t="s">
        <v>287</v>
      </c>
      <c r="K88" s="75" t="s">
        <v>287</v>
      </c>
      <c r="L88" s="75" t="s">
        <v>287</v>
      </c>
      <c r="M88" s="75" t="s">
        <v>287</v>
      </c>
      <c r="N88" s="75" t="s">
        <v>287</v>
      </c>
      <c r="O88" s="75" t="s">
        <v>421</v>
      </c>
      <c r="P88" s="75" t="s">
        <v>287</v>
      </c>
      <c r="Q88" s="74" t="s">
        <v>422</v>
      </c>
      <c r="R88" s="75" t="s">
        <v>290</v>
      </c>
      <c r="S88" s="74" t="s">
        <v>423</v>
      </c>
      <c r="T88" s="74" t="s">
        <v>424</v>
      </c>
      <c r="U88" s="75" t="s">
        <v>285</v>
      </c>
      <c r="V88" s="75" t="s">
        <v>285</v>
      </c>
      <c r="W88" s="75" t="s">
        <v>285</v>
      </c>
      <c r="X88" s="75" t="s">
        <v>285</v>
      </c>
      <c r="Y88" s="75" t="s">
        <v>285</v>
      </c>
      <c r="Z88" s="74" t="s">
        <v>424</v>
      </c>
      <c r="AA88" s="75" t="s">
        <v>285</v>
      </c>
      <c r="AB88" s="75" t="s">
        <v>285</v>
      </c>
      <c r="AC88" s="74" t="s">
        <v>425</v>
      </c>
      <c r="AD88" s="75" t="s">
        <v>285</v>
      </c>
      <c r="AE88" s="74" t="s">
        <v>425</v>
      </c>
      <c r="AF88" s="74" t="s">
        <v>426</v>
      </c>
    </row>
    <row r="89" spans="2:32" x14ac:dyDescent="0.25">
      <c r="B89" s="53" t="s">
        <v>198</v>
      </c>
      <c r="C89" s="18" t="s">
        <v>160</v>
      </c>
      <c r="D89" s="74" t="s">
        <v>399</v>
      </c>
      <c r="E89" s="75" t="s">
        <v>282</v>
      </c>
      <c r="F89" s="74" t="s">
        <v>400</v>
      </c>
      <c r="G89" s="75" t="s">
        <v>284</v>
      </c>
      <c r="H89" s="75" t="s">
        <v>285</v>
      </c>
      <c r="I89" s="74" t="s">
        <v>401</v>
      </c>
      <c r="J89" s="75" t="s">
        <v>287</v>
      </c>
      <c r="K89" s="75" t="s">
        <v>287</v>
      </c>
      <c r="L89" s="75" t="s">
        <v>287</v>
      </c>
      <c r="M89" s="75" t="s">
        <v>287</v>
      </c>
      <c r="N89" s="75" t="s">
        <v>287</v>
      </c>
      <c r="O89" s="75" t="s">
        <v>299</v>
      </c>
      <c r="P89" s="75" t="s">
        <v>287</v>
      </c>
      <c r="Q89" s="74" t="s">
        <v>427</v>
      </c>
      <c r="R89" s="75" t="s">
        <v>290</v>
      </c>
      <c r="S89" s="74" t="s">
        <v>428</v>
      </c>
      <c r="T89" s="74" t="s">
        <v>429</v>
      </c>
      <c r="U89" s="75" t="s">
        <v>285</v>
      </c>
      <c r="V89" s="75" t="s">
        <v>285</v>
      </c>
      <c r="W89" s="75" t="s">
        <v>285</v>
      </c>
      <c r="X89" s="75" t="s">
        <v>285</v>
      </c>
      <c r="Y89" s="75" t="s">
        <v>285</v>
      </c>
      <c r="Z89" s="74" t="s">
        <v>429</v>
      </c>
      <c r="AA89" s="75" t="s">
        <v>285</v>
      </c>
      <c r="AB89" s="75" t="s">
        <v>285</v>
      </c>
      <c r="AC89" s="74" t="s">
        <v>430</v>
      </c>
      <c r="AD89" s="75" t="s">
        <v>285</v>
      </c>
      <c r="AE89" s="74" t="s">
        <v>430</v>
      </c>
      <c r="AF89" s="74" t="s">
        <v>431</v>
      </c>
    </row>
    <row r="90" spans="2:32" x14ac:dyDescent="0.25">
      <c r="B90" s="53" t="s">
        <v>199</v>
      </c>
      <c r="C90" s="18" t="s">
        <v>160</v>
      </c>
      <c r="D90" s="74" t="s">
        <v>432</v>
      </c>
      <c r="E90" s="75" t="s">
        <v>282</v>
      </c>
      <c r="F90" s="74" t="s">
        <v>433</v>
      </c>
      <c r="G90" s="75" t="s">
        <v>284</v>
      </c>
      <c r="H90" s="75" t="s">
        <v>285</v>
      </c>
      <c r="I90" s="74" t="s">
        <v>434</v>
      </c>
      <c r="J90" s="75" t="s">
        <v>287</v>
      </c>
      <c r="K90" s="75" t="s">
        <v>287</v>
      </c>
      <c r="L90" s="75" t="s">
        <v>287</v>
      </c>
      <c r="M90" s="75" t="s">
        <v>287</v>
      </c>
      <c r="N90" s="75" t="s">
        <v>287</v>
      </c>
      <c r="O90" s="75" t="s">
        <v>321</v>
      </c>
      <c r="P90" s="75" t="s">
        <v>287</v>
      </c>
      <c r="Q90" s="74" t="s">
        <v>435</v>
      </c>
      <c r="R90" s="75" t="s">
        <v>290</v>
      </c>
      <c r="S90" s="74" t="s">
        <v>436</v>
      </c>
      <c r="T90" s="74" t="s">
        <v>437</v>
      </c>
      <c r="U90" s="75" t="s">
        <v>285</v>
      </c>
      <c r="V90" s="75" t="s">
        <v>285</v>
      </c>
      <c r="W90" s="75" t="s">
        <v>285</v>
      </c>
      <c r="X90" s="75" t="s">
        <v>285</v>
      </c>
      <c r="Y90" s="75" t="s">
        <v>285</v>
      </c>
      <c r="Z90" s="74" t="s">
        <v>437</v>
      </c>
      <c r="AA90" s="75" t="s">
        <v>285</v>
      </c>
      <c r="AB90" s="75" t="s">
        <v>285</v>
      </c>
      <c r="AC90" s="74" t="s">
        <v>438</v>
      </c>
      <c r="AD90" s="75" t="s">
        <v>285</v>
      </c>
      <c r="AE90" s="74" t="s">
        <v>438</v>
      </c>
      <c r="AF90" s="74" t="s">
        <v>439</v>
      </c>
    </row>
    <row r="91" spans="2:32" x14ac:dyDescent="0.25">
      <c r="B91" s="53" t="s">
        <v>200</v>
      </c>
      <c r="C91" s="18" t="s">
        <v>160</v>
      </c>
      <c r="D91" s="74" t="s">
        <v>440</v>
      </c>
      <c r="E91" s="75" t="s">
        <v>282</v>
      </c>
      <c r="F91" s="74" t="s">
        <v>441</v>
      </c>
      <c r="G91" s="75" t="s">
        <v>284</v>
      </c>
      <c r="H91" s="75" t="s">
        <v>285</v>
      </c>
      <c r="I91" s="74" t="s">
        <v>442</v>
      </c>
      <c r="J91" s="75" t="s">
        <v>287</v>
      </c>
      <c r="K91" s="75" t="s">
        <v>287</v>
      </c>
      <c r="L91" s="75" t="s">
        <v>287</v>
      </c>
      <c r="M91" s="75" t="s">
        <v>287</v>
      </c>
      <c r="N91" s="75" t="s">
        <v>287</v>
      </c>
      <c r="O91" s="75" t="s">
        <v>321</v>
      </c>
      <c r="P91" s="75" t="s">
        <v>287</v>
      </c>
      <c r="Q91" s="74" t="s">
        <v>443</v>
      </c>
      <c r="R91" s="75" t="s">
        <v>290</v>
      </c>
      <c r="S91" s="74" t="s">
        <v>444</v>
      </c>
      <c r="T91" s="74" t="s">
        <v>445</v>
      </c>
      <c r="U91" s="75" t="s">
        <v>285</v>
      </c>
      <c r="V91" s="75" t="s">
        <v>285</v>
      </c>
      <c r="W91" s="75" t="s">
        <v>285</v>
      </c>
      <c r="X91" s="75" t="s">
        <v>285</v>
      </c>
      <c r="Y91" s="75" t="s">
        <v>285</v>
      </c>
      <c r="Z91" s="74" t="s">
        <v>445</v>
      </c>
      <c r="AA91" s="75" t="s">
        <v>285</v>
      </c>
      <c r="AB91" s="75" t="s">
        <v>285</v>
      </c>
      <c r="AC91" s="74" t="s">
        <v>446</v>
      </c>
      <c r="AD91" s="75" t="s">
        <v>285</v>
      </c>
      <c r="AE91" s="74" t="s">
        <v>446</v>
      </c>
      <c r="AF91" s="74" t="s">
        <v>447</v>
      </c>
    </row>
    <row r="92" spans="2:32" x14ac:dyDescent="0.25">
      <c r="B92" s="53" t="s">
        <v>201</v>
      </c>
      <c r="C92" s="18" t="s">
        <v>160</v>
      </c>
      <c r="D92" s="74" t="s">
        <v>448</v>
      </c>
      <c r="E92" s="75" t="s">
        <v>282</v>
      </c>
      <c r="F92" s="74" t="s">
        <v>449</v>
      </c>
      <c r="G92" s="75" t="s">
        <v>284</v>
      </c>
      <c r="H92" s="75" t="s">
        <v>285</v>
      </c>
      <c r="I92" s="74" t="s">
        <v>450</v>
      </c>
      <c r="J92" s="75" t="s">
        <v>287</v>
      </c>
      <c r="K92" s="75" t="s">
        <v>287</v>
      </c>
      <c r="L92" s="75" t="s">
        <v>287</v>
      </c>
      <c r="M92" s="75" t="s">
        <v>287</v>
      </c>
      <c r="N92" s="75" t="s">
        <v>287</v>
      </c>
      <c r="O92" s="75" t="s">
        <v>321</v>
      </c>
      <c r="P92" s="75" t="s">
        <v>287</v>
      </c>
      <c r="Q92" s="74" t="s">
        <v>451</v>
      </c>
      <c r="R92" s="75" t="s">
        <v>290</v>
      </c>
      <c r="S92" s="74" t="s">
        <v>452</v>
      </c>
      <c r="T92" s="74" t="s">
        <v>453</v>
      </c>
      <c r="U92" s="75" t="s">
        <v>285</v>
      </c>
      <c r="V92" s="75" t="s">
        <v>285</v>
      </c>
      <c r="W92" s="75" t="s">
        <v>285</v>
      </c>
      <c r="X92" s="75" t="s">
        <v>285</v>
      </c>
      <c r="Y92" s="75" t="s">
        <v>285</v>
      </c>
      <c r="Z92" s="74" t="s">
        <v>453</v>
      </c>
      <c r="AA92" s="75" t="s">
        <v>285</v>
      </c>
      <c r="AB92" s="75" t="s">
        <v>285</v>
      </c>
      <c r="AC92" s="74" t="s">
        <v>454</v>
      </c>
      <c r="AD92" s="75" t="s">
        <v>285</v>
      </c>
      <c r="AE92" s="74" t="s">
        <v>454</v>
      </c>
      <c r="AF92" s="74" t="s">
        <v>455</v>
      </c>
    </row>
    <row r="93" spans="2:32" x14ac:dyDescent="0.25">
      <c r="B93" s="53" t="s">
        <v>202</v>
      </c>
      <c r="C93" s="18" t="s">
        <v>160</v>
      </c>
      <c r="D93" s="74" t="s">
        <v>456</v>
      </c>
      <c r="E93" s="75" t="s">
        <v>282</v>
      </c>
      <c r="F93" s="74" t="s">
        <v>457</v>
      </c>
      <c r="G93" s="75" t="s">
        <v>284</v>
      </c>
      <c r="H93" s="75" t="s">
        <v>285</v>
      </c>
      <c r="I93" s="74" t="s">
        <v>458</v>
      </c>
      <c r="J93" s="75" t="s">
        <v>287</v>
      </c>
      <c r="K93" s="75" t="s">
        <v>287</v>
      </c>
      <c r="L93" s="75" t="s">
        <v>287</v>
      </c>
      <c r="M93" s="75" t="s">
        <v>287</v>
      </c>
      <c r="N93" s="75" t="s">
        <v>287</v>
      </c>
      <c r="O93" s="75" t="s">
        <v>321</v>
      </c>
      <c r="P93" s="75" t="s">
        <v>287</v>
      </c>
      <c r="Q93" s="74" t="s">
        <v>459</v>
      </c>
      <c r="R93" s="75" t="s">
        <v>290</v>
      </c>
      <c r="S93" s="74" t="s">
        <v>460</v>
      </c>
      <c r="T93" s="74" t="s">
        <v>461</v>
      </c>
      <c r="U93" s="75" t="s">
        <v>285</v>
      </c>
      <c r="V93" s="75" t="s">
        <v>285</v>
      </c>
      <c r="W93" s="75" t="s">
        <v>285</v>
      </c>
      <c r="X93" s="75" t="s">
        <v>285</v>
      </c>
      <c r="Y93" s="75" t="s">
        <v>285</v>
      </c>
      <c r="Z93" s="74" t="s">
        <v>461</v>
      </c>
      <c r="AA93" s="75" t="s">
        <v>285</v>
      </c>
      <c r="AB93" s="75" t="s">
        <v>285</v>
      </c>
      <c r="AC93" s="74" t="s">
        <v>462</v>
      </c>
      <c r="AD93" s="75" t="s">
        <v>285</v>
      </c>
      <c r="AE93" s="74" t="s">
        <v>462</v>
      </c>
      <c r="AF93" s="74" t="s">
        <v>463</v>
      </c>
    </row>
    <row r="94" spans="2:32" x14ac:dyDescent="0.25">
      <c r="B94" s="53" t="s">
        <v>203</v>
      </c>
      <c r="C94" s="18" t="s">
        <v>160</v>
      </c>
      <c r="D94" s="74" t="s">
        <v>432</v>
      </c>
      <c r="E94" s="75" t="s">
        <v>282</v>
      </c>
      <c r="F94" s="74" t="s">
        <v>433</v>
      </c>
      <c r="G94" s="75" t="s">
        <v>284</v>
      </c>
      <c r="H94" s="75" t="s">
        <v>285</v>
      </c>
      <c r="I94" s="74" t="s">
        <v>434</v>
      </c>
      <c r="J94" s="75" t="s">
        <v>287</v>
      </c>
      <c r="K94" s="75" t="s">
        <v>287</v>
      </c>
      <c r="L94" s="75" t="s">
        <v>287</v>
      </c>
      <c r="M94" s="75" t="s">
        <v>287</v>
      </c>
      <c r="N94" s="75" t="s">
        <v>287</v>
      </c>
      <c r="O94" s="75" t="s">
        <v>321</v>
      </c>
      <c r="P94" s="75" t="s">
        <v>287</v>
      </c>
      <c r="Q94" s="74" t="s">
        <v>435</v>
      </c>
      <c r="R94" s="75" t="s">
        <v>290</v>
      </c>
      <c r="S94" s="74" t="s">
        <v>436</v>
      </c>
      <c r="T94" s="74" t="s">
        <v>437</v>
      </c>
      <c r="U94" s="75" t="s">
        <v>285</v>
      </c>
      <c r="V94" s="75" t="s">
        <v>285</v>
      </c>
      <c r="W94" s="75" t="s">
        <v>285</v>
      </c>
      <c r="X94" s="75" t="s">
        <v>285</v>
      </c>
      <c r="Y94" s="75" t="s">
        <v>285</v>
      </c>
      <c r="Z94" s="74" t="s">
        <v>437</v>
      </c>
      <c r="AA94" s="75" t="s">
        <v>285</v>
      </c>
      <c r="AB94" s="75" t="s">
        <v>285</v>
      </c>
      <c r="AC94" s="74" t="s">
        <v>438</v>
      </c>
      <c r="AD94" s="75" t="s">
        <v>285</v>
      </c>
      <c r="AE94" s="74" t="s">
        <v>438</v>
      </c>
      <c r="AF94" s="74" t="s">
        <v>439</v>
      </c>
    </row>
    <row r="95" spans="2:32" x14ac:dyDescent="0.25">
      <c r="B95" s="53" t="s">
        <v>204</v>
      </c>
      <c r="C95" s="18" t="s">
        <v>160</v>
      </c>
      <c r="D95" s="74" t="s">
        <v>464</v>
      </c>
      <c r="E95" s="75" t="s">
        <v>465</v>
      </c>
      <c r="F95" s="74" t="s">
        <v>466</v>
      </c>
      <c r="G95" s="75" t="s">
        <v>467</v>
      </c>
      <c r="H95" s="75" t="s">
        <v>285</v>
      </c>
      <c r="I95" s="74" t="s">
        <v>468</v>
      </c>
      <c r="J95" s="75" t="s">
        <v>287</v>
      </c>
      <c r="K95" s="75" t="s">
        <v>287</v>
      </c>
      <c r="L95" s="75" t="s">
        <v>287</v>
      </c>
      <c r="M95" s="75" t="s">
        <v>287</v>
      </c>
      <c r="N95" s="75" t="s">
        <v>469</v>
      </c>
      <c r="O95" s="75" t="s">
        <v>321</v>
      </c>
      <c r="P95" s="75" t="s">
        <v>470</v>
      </c>
      <c r="Q95" s="74" t="s">
        <v>471</v>
      </c>
      <c r="R95" s="75" t="s">
        <v>290</v>
      </c>
      <c r="S95" s="74" t="s">
        <v>472</v>
      </c>
      <c r="T95" s="74" t="s">
        <v>473</v>
      </c>
      <c r="U95" s="75" t="s">
        <v>285</v>
      </c>
      <c r="V95" s="75" t="s">
        <v>285</v>
      </c>
      <c r="W95" s="75" t="s">
        <v>303</v>
      </c>
      <c r="X95" s="74" t="s">
        <v>474</v>
      </c>
      <c r="Y95" s="74" t="s">
        <v>474</v>
      </c>
      <c r="Z95" s="74" t="s">
        <v>475</v>
      </c>
      <c r="AA95" s="75" t="s">
        <v>285</v>
      </c>
      <c r="AB95" s="75" t="s">
        <v>285</v>
      </c>
      <c r="AC95" s="74" t="s">
        <v>473</v>
      </c>
      <c r="AD95" s="75" t="s">
        <v>285</v>
      </c>
      <c r="AE95" s="74" t="s">
        <v>475</v>
      </c>
      <c r="AF95" s="74" t="s">
        <v>476</v>
      </c>
    </row>
    <row r="96" spans="2:32" x14ac:dyDescent="0.25">
      <c r="B96" s="53" t="s">
        <v>205</v>
      </c>
      <c r="C96" s="18" t="s">
        <v>160</v>
      </c>
      <c r="D96" s="74" t="s">
        <v>477</v>
      </c>
      <c r="E96" s="75" t="s">
        <v>478</v>
      </c>
      <c r="F96" s="74" t="s">
        <v>479</v>
      </c>
      <c r="G96" s="75" t="s">
        <v>467</v>
      </c>
      <c r="H96" s="75" t="s">
        <v>285</v>
      </c>
      <c r="I96" s="74" t="s">
        <v>480</v>
      </c>
      <c r="J96" s="75" t="s">
        <v>287</v>
      </c>
      <c r="K96" s="75" t="s">
        <v>287</v>
      </c>
      <c r="L96" s="75" t="s">
        <v>287</v>
      </c>
      <c r="M96" s="75" t="s">
        <v>287</v>
      </c>
      <c r="N96" s="75" t="s">
        <v>481</v>
      </c>
      <c r="O96" s="75" t="s">
        <v>321</v>
      </c>
      <c r="P96" s="75" t="s">
        <v>470</v>
      </c>
      <c r="Q96" s="74" t="s">
        <v>482</v>
      </c>
      <c r="R96" s="75" t="s">
        <v>290</v>
      </c>
      <c r="S96" s="74" t="s">
        <v>483</v>
      </c>
      <c r="T96" s="74" t="s">
        <v>484</v>
      </c>
      <c r="U96" s="75" t="s">
        <v>285</v>
      </c>
      <c r="V96" s="75" t="s">
        <v>285</v>
      </c>
      <c r="W96" s="75" t="s">
        <v>303</v>
      </c>
      <c r="X96" s="74" t="s">
        <v>485</v>
      </c>
      <c r="Y96" s="74" t="s">
        <v>485</v>
      </c>
      <c r="Z96" s="74" t="s">
        <v>486</v>
      </c>
      <c r="AA96" s="75" t="s">
        <v>487</v>
      </c>
      <c r="AB96" s="75" t="s">
        <v>489</v>
      </c>
      <c r="AC96" s="74" t="s">
        <v>490</v>
      </c>
      <c r="AD96" s="74" t="s">
        <v>490</v>
      </c>
      <c r="AE96" s="74" t="s">
        <v>491</v>
      </c>
      <c r="AF96" s="74" t="s">
        <v>492</v>
      </c>
    </row>
    <row r="97" spans="2:32" x14ac:dyDescent="0.25">
      <c r="B97" s="53" t="s">
        <v>206</v>
      </c>
      <c r="C97" s="18" t="s">
        <v>160</v>
      </c>
      <c r="D97" s="74" t="s">
        <v>477</v>
      </c>
      <c r="E97" s="75" t="s">
        <v>493</v>
      </c>
      <c r="F97" s="74" t="s">
        <v>494</v>
      </c>
      <c r="G97" s="75" t="s">
        <v>467</v>
      </c>
      <c r="H97" s="75" t="s">
        <v>285</v>
      </c>
      <c r="I97" s="74" t="s">
        <v>495</v>
      </c>
      <c r="J97" s="75" t="s">
        <v>287</v>
      </c>
      <c r="K97" s="75" t="s">
        <v>287</v>
      </c>
      <c r="L97" s="75" t="s">
        <v>287</v>
      </c>
      <c r="M97" s="75" t="s">
        <v>287</v>
      </c>
      <c r="N97" s="75" t="s">
        <v>496</v>
      </c>
      <c r="O97" s="75" t="s">
        <v>321</v>
      </c>
      <c r="P97" s="75" t="s">
        <v>470</v>
      </c>
      <c r="Q97" s="74" t="s">
        <v>497</v>
      </c>
      <c r="R97" s="75" t="s">
        <v>290</v>
      </c>
      <c r="S97" s="74" t="s">
        <v>498</v>
      </c>
      <c r="T97" s="74" t="s">
        <v>499</v>
      </c>
      <c r="U97" s="75" t="s">
        <v>285</v>
      </c>
      <c r="V97" s="75" t="s">
        <v>285</v>
      </c>
      <c r="W97" s="75" t="s">
        <v>303</v>
      </c>
      <c r="X97" s="74" t="s">
        <v>500</v>
      </c>
      <c r="Y97" s="74" t="s">
        <v>500</v>
      </c>
      <c r="Z97" s="74" t="s">
        <v>501</v>
      </c>
      <c r="AA97" s="75" t="s">
        <v>502</v>
      </c>
      <c r="AB97" s="75" t="s">
        <v>503</v>
      </c>
      <c r="AC97" s="74" t="s">
        <v>504</v>
      </c>
      <c r="AD97" s="74" t="s">
        <v>504</v>
      </c>
      <c r="AE97" s="74" t="s">
        <v>505</v>
      </c>
      <c r="AF97" s="74" t="s">
        <v>506</v>
      </c>
    </row>
    <row r="98" spans="2:32" x14ac:dyDescent="0.25">
      <c r="B98" s="53" t="s">
        <v>207</v>
      </c>
      <c r="C98" s="18" t="s">
        <v>160</v>
      </c>
      <c r="D98" s="74" t="s">
        <v>507</v>
      </c>
      <c r="E98" s="75" t="s">
        <v>508</v>
      </c>
      <c r="F98" s="74" t="s">
        <v>509</v>
      </c>
      <c r="G98" s="75" t="s">
        <v>467</v>
      </c>
      <c r="H98" s="75" t="s">
        <v>285</v>
      </c>
      <c r="I98" s="74" t="s">
        <v>510</v>
      </c>
      <c r="J98" s="75" t="s">
        <v>287</v>
      </c>
      <c r="K98" s="75" t="s">
        <v>287</v>
      </c>
      <c r="L98" s="75" t="s">
        <v>287</v>
      </c>
      <c r="M98" s="75" t="s">
        <v>287</v>
      </c>
      <c r="N98" s="75" t="s">
        <v>511</v>
      </c>
      <c r="O98" s="75" t="s">
        <v>321</v>
      </c>
      <c r="P98" s="75" t="s">
        <v>470</v>
      </c>
      <c r="Q98" s="74" t="s">
        <v>512</v>
      </c>
      <c r="R98" s="75" t="s">
        <v>290</v>
      </c>
      <c r="S98" s="74" t="s">
        <v>513</v>
      </c>
      <c r="T98" s="74" t="s">
        <v>514</v>
      </c>
      <c r="U98" s="75" t="s">
        <v>285</v>
      </c>
      <c r="V98" s="75" t="s">
        <v>285</v>
      </c>
      <c r="W98" s="75" t="s">
        <v>303</v>
      </c>
      <c r="X98" s="74" t="s">
        <v>515</v>
      </c>
      <c r="Y98" s="74" t="s">
        <v>515</v>
      </c>
      <c r="Z98" s="74" t="s">
        <v>516</v>
      </c>
      <c r="AA98" s="75" t="s">
        <v>517</v>
      </c>
      <c r="AB98" s="75" t="s">
        <v>285</v>
      </c>
      <c r="AC98" s="74" t="s">
        <v>514</v>
      </c>
      <c r="AD98" s="74" t="s">
        <v>519</v>
      </c>
      <c r="AE98" s="74" t="s">
        <v>520</v>
      </c>
      <c r="AF98" s="74" t="s">
        <v>521</v>
      </c>
    </row>
    <row r="99" spans="2:32" x14ac:dyDescent="0.25">
      <c r="B99" s="53" t="s">
        <v>208</v>
      </c>
      <c r="C99" s="18" t="s">
        <v>160</v>
      </c>
      <c r="D99" s="74" t="s">
        <v>522</v>
      </c>
      <c r="E99" s="75" t="s">
        <v>523</v>
      </c>
      <c r="F99" s="74" t="s">
        <v>524</v>
      </c>
      <c r="G99" s="75" t="s">
        <v>525</v>
      </c>
      <c r="H99" s="75" t="s">
        <v>285</v>
      </c>
      <c r="I99" s="74" t="s">
        <v>526</v>
      </c>
      <c r="J99" s="75" t="s">
        <v>287</v>
      </c>
      <c r="K99" s="75" t="s">
        <v>287</v>
      </c>
      <c r="L99" s="75" t="s">
        <v>287</v>
      </c>
      <c r="M99" s="75" t="s">
        <v>287</v>
      </c>
      <c r="N99" s="75" t="s">
        <v>287</v>
      </c>
      <c r="O99" s="75" t="s">
        <v>321</v>
      </c>
      <c r="P99" s="75" t="s">
        <v>470</v>
      </c>
      <c r="Q99" s="74" t="s">
        <v>527</v>
      </c>
      <c r="R99" s="75" t="s">
        <v>290</v>
      </c>
      <c r="S99" s="74" t="s">
        <v>528</v>
      </c>
      <c r="T99" s="74" t="s">
        <v>529</v>
      </c>
      <c r="U99" s="75" t="s">
        <v>285</v>
      </c>
      <c r="V99" s="75" t="s">
        <v>285</v>
      </c>
      <c r="W99" s="75" t="s">
        <v>530</v>
      </c>
      <c r="X99" s="74" t="s">
        <v>531</v>
      </c>
      <c r="Y99" s="74" t="s">
        <v>531</v>
      </c>
      <c r="Z99" s="74" t="s">
        <v>532</v>
      </c>
      <c r="AA99" s="75" t="s">
        <v>533</v>
      </c>
      <c r="AB99" s="75" t="s">
        <v>285</v>
      </c>
      <c r="AC99" s="74" t="s">
        <v>529</v>
      </c>
      <c r="AD99" s="74" t="s">
        <v>534</v>
      </c>
      <c r="AE99" s="74" t="s">
        <v>535</v>
      </c>
      <c r="AF99" s="74" t="s">
        <v>536</v>
      </c>
    </row>
    <row r="100" spans="2:32" x14ac:dyDescent="0.25">
      <c r="B100" s="53" t="s">
        <v>209</v>
      </c>
      <c r="C100" s="18" t="s">
        <v>160</v>
      </c>
      <c r="D100" s="74" t="s">
        <v>537</v>
      </c>
      <c r="E100" s="75" t="s">
        <v>538</v>
      </c>
      <c r="F100" s="74" t="s">
        <v>539</v>
      </c>
      <c r="G100" s="75" t="s">
        <v>525</v>
      </c>
      <c r="H100" s="75" t="s">
        <v>285</v>
      </c>
      <c r="I100" s="74" t="s">
        <v>540</v>
      </c>
      <c r="J100" s="75" t="s">
        <v>287</v>
      </c>
      <c r="K100" s="75" t="s">
        <v>287</v>
      </c>
      <c r="L100" s="75" t="s">
        <v>287</v>
      </c>
      <c r="M100" s="75" t="s">
        <v>287</v>
      </c>
      <c r="N100" s="75" t="s">
        <v>287</v>
      </c>
      <c r="O100" s="75" t="s">
        <v>321</v>
      </c>
      <c r="P100" s="75" t="s">
        <v>470</v>
      </c>
      <c r="Q100" s="74" t="s">
        <v>541</v>
      </c>
      <c r="R100" s="75" t="s">
        <v>290</v>
      </c>
      <c r="S100" s="74" t="s">
        <v>542</v>
      </c>
      <c r="T100" s="74" t="s">
        <v>543</v>
      </c>
      <c r="U100" s="75" t="s">
        <v>285</v>
      </c>
      <c r="V100" s="75" t="s">
        <v>285</v>
      </c>
      <c r="W100" s="75" t="s">
        <v>530</v>
      </c>
      <c r="X100" s="74" t="s">
        <v>544</v>
      </c>
      <c r="Y100" s="74" t="s">
        <v>544</v>
      </c>
      <c r="Z100" s="74" t="s">
        <v>545</v>
      </c>
      <c r="AA100" s="75" t="s">
        <v>546</v>
      </c>
      <c r="AB100" s="75" t="s">
        <v>285</v>
      </c>
      <c r="AC100" s="74" t="s">
        <v>543</v>
      </c>
      <c r="AD100" s="74" t="s">
        <v>547</v>
      </c>
      <c r="AE100" s="74" t="s">
        <v>548</v>
      </c>
      <c r="AF100" s="74" t="s">
        <v>549</v>
      </c>
    </row>
    <row r="101" spans="2:32" x14ac:dyDescent="0.25">
      <c r="B101" s="53" t="s">
        <v>210</v>
      </c>
      <c r="C101" s="18" t="s">
        <v>160</v>
      </c>
      <c r="D101" s="74" t="s">
        <v>550</v>
      </c>
      <c r="E101" s="75" t="s">
        <v>551</v>
      </c>
      <c r="F101" s="74" t="s">
        <v>552</v>
      </c>
      <c r="G101" s="75" t="s">
        <v>525</v>
      </c>
      <c r="H101" s="75" t="s">
        <v>285</v>
      </c>
      <c r="I101" s="74" t="s">
        <v>553</v>
      </c>
      <c r="J101" s="75" t="s">
        <v>554</v>
      </c>
      <c r="K101" s="75" t="s">
        <v>287</v>
      </c>
      <c r="L101" s="75" t="s">
        <v>287</v>
      </c>
      <c r="M101" s="75" t="s">
        <v>287</v>
      </c>
      <c r="N101" s="75" t="s">
        <v>287</v>
      </c>
      <c r="O101" s="75" t="s">
        <v>321</v>
      </c>
      <c r="P101" s="75" t="s">
        <v>470</v>
      </c>
      <c r="Q101" s="74" t="s">
        <v>555</v>
      </c>
      <c r="R101" s="75" t="s">
        <v>290</v>
      </c>
      <c r="S101" s="74" t="s">
        <v>556</v>
      </c>
      <c r="T101" s="74" t="s">
        <v>557</v>
      </c>
      <c r="U101" s="75" t="s">
        <v>285</v>
      </c>
      <c r="V101" s="75" t="s">
        <v>285</v>
      </c>
      <c r="W101" s="75" t="s">
        <v>530</v>
      </c>
      <c r="X101" s="74" t="s">
        <v>558</v>
      </c>
      <c r="Y101" s="74" t="s">
        <v>558</v>
      </c>
      <c r="Z101" s="74" t="s">
        <v>559</v>
      </c>
      <c r="AA101" s="75" t="s">
        <v>546</v>
      </c>
      <c r="AB101" s="75" t="s">
        <v>285</v>
      </c>
      <c r="AC101" s="74" t="s">
        <v>557</v>
      </c>
      <c r="AD101" s="74" t="s">
        <v>560</v>
      </c>
      <c r="AE101" s="74" t="s">
        <v>561</v>
      </c>
      <c r="AF101" s="74" t="s">
        <v>562</v>
      </c>
    </row>
    <row r="102" spans="2:32" x14ac:dyDescent="0.25">
      <c r="B102" s="53" t="s">
        <v>211</v>
      </c>
      <c r="C102" s="18" t="s">
        <v>160</v>
      </c>
      <c r="D102" s="74" t="s">
        <v>563</v>
      </c>
      <c r="E102" s="75" t="s">
        <v>564</v>
      </c>
      <c r="F102" s="74" t="s">
        <v>565</v>
      </c>
      <c r="G102" s="75" t="s">
        <v>525</v>
      </c>
      <c r="H102" s="75" t="s">
        <v>285</v>
      </c>
      <c r="I102" s="74" t="s">
        <v>566</v>
      </c>
      <c r="J102" s="75" t="s">
        <v>567</v>
      </c>
      <c r="K102" s="75" t="s">
        <v>287</v>
      </c>
      <c r="L102" s="75" t="s">
        <v>287</v>
      </c>
      <c r="M102" s="75" t="s">
        <v>287</v>
      </c>
      <c r="N102" s="75" t="s">
        <v>287</v>
      </c>
      <c r="O102" s="75" t="s">
        <v>321</v>
      </c>
      <c r="P102" s="75" t="s">
        <v>470</v>
      </c>
      <c r="Q102" s="74" t="s">
        <v>568</v>
      </c>
      <c r="R102" s="75" t="s">
        <v>290</v>
      </c>
      <c r="S102" s="74" t="s">
        <v>569</v>
      </c>
      <c r="T102" s="74" t="s">
        <v>570</v>
      </c>
      <c r="U102" s="75" t="s">
        <v>285</v>
      </c>
      <c r="V102" s="75" t="s">
        <v>285</v>
      </c>
      <c r="W102" s="75" t="s">
        <v>530</v>
      </c>
      <c r="X102" s="74" t="s">
        <v>571</v>
      </c>
      <c r="Y102" s="74" t="s">
        <v>571</v>
      </c>
      <c r="Z102" s="74" t="s">
        <v>572</v>
      </c>
      <c r="AA102" s="75" t="s">
        <v>573</v>
      </c>
      <c r="AB102" s="75" t="s">
        <v>285</v>
      </c>
      <c r="AC102" s="74" t="s">
        <v>570</v>
      </c>
      <c r="AD102" s="74" t="s">
        <v>574</v>
      </c>
      <c r="AE102" s="74" t="s">
        <v>575</v>
      </c>
      <c r="AF102" s="74" t="s">
        <v>576</v>
      </c>
    </row>
    <row r="103" spans="2:32" x14ac:dyDescent="0.25">
      <c r="B103" s="53" t="s">
        <v>212</v>
      </c>
      <c r="C103" s="18" t="s">
        <v>160</v>
      </c>
      <c r="D103" s="74" t="s">
        <v>577</v>
      </c>
      <c r="E103" s="75" t="s">
        <v>578</v>
      </c>
      <c r="F103" s="74" t="s">
        <v>579</v>
      </c>
      <c r="G103" s="75" t="s">
        <v>525</v>
      </c>
      <c r="H103" s="75" t="s">
        <v>285</v>
      </c>
      <c r="I103" s="74" t="s">
        <v>580</v>
      </c>
      <c r="J103" s="75" t="s">
        <v>581</v>
      </c>
      <c r="K103" s="75" t="s">
        <v>287</v>
      </c>
      <c r="L103" s="75" t="s">
        <v>287</v>
      </c>
      <c r="M103" s="75" t="s">
        <v>287</v>
      </c>
      <c r="N103" s="75" t="s">
        <v>287</v>
      </c>
      <c r="O103" s="75" t="s">
        <v>321</v>
      </c>
      <c r="P103" s="75" t="s">
        <v>470</v>
      </c>
      <c r="Q103" s="74" t="s">
        <v>582</v>
      </c>
      <c r="R103" s="75" t="s">
        <v>290</v>
      </c>
      <c r="S103" s="74" t="s">
        <v>583</v>
      </c>
      <c r="T103" s="74" t="s">
        <v>584</v>
      </c>
      <c r="U103" s="75" t="s">
        <v>285</v>
      </c>
      <c r="V103" s="75" t="s">
        <v>285</v>
      </c>
      <c r="W103" s="75" t="s">
        <v>530</v>
      </c>
      <c r="X103" s="74" t="s">
        <v>585</v>
      </c>
      <c r="Y103" s="74" t="s">
        <v>585</v>
      </c>
      <c r="Z103" s="74" t="s">
        <v>586</v>
      </c>
      <c r="AA103" s="75" t="s">
        <v>573</v>
      </c>
      <c r="AB103" s="75" t="s">
        <v>285</v>
      </c>
      <c r="AC103" s="74" t="s">
        <v>584</v>
      </c>
      <c r="AD103" s="74" t="s">
        <v>587</v>
      </c>
      <c r="AE103" s="74" t="s">
        <v>588</v>
      </c>
      <c r="AF103" s="74" t="s">
        <v>589</v>
      </c>
    </row>
    <row r="104" spans="2:32" x14ac:dyDescent="0.25">
      <c r="B104" s="53" t="s">
        <v>213</v>
      </c>
      <c r="C104" s="18" t="s">
        <v>160</v>
      </c>
      <c r="D104" s="74" t="s">
        <v>590</v>
      </c>
      <c r="E104" s="75" t="s">
        <v>591</v>
      </c>
      <c r="F104" s="74" t="s">
        <v>592</v>
      </c>
      <c r="G104" s="75" t="s">
        <v>525</v>
      </c>
      <c r="H104" s="75" t="s">
        <v>285</v>
      </c>
      <c r="I104" s="74" t="s">
        <v>593</v>
      </c>
      <c r="J104" s="75" t="s">
        <v>594</v>
      </c>
      <c r="K104" s="75" t="s">
        <v>287</v>
      </c>
      <c r="L104" s="75" t="s">
        <v>287</v>
      </c>
      <c r="M104" s="75" t="s">
        <v>287</v>
      </c>
      <c r="N104" s="75" t="s">
        <v>287</v>
      </c>
      <c r="O104" s="75" t="s">
        <v>321</v>
      </c>
      <c r="P104" s="75" t="s">
        <v>470</v>
      </c>
      <c r="Q104" s="74" t="s">
        <v>595</v>
      </c>
      <c r="R104" s="75" t="s">
        <v>290</v>
      </c>
      <c r="S104" s="74" t="s">
        <v>596</v>
      </c>
      <c r="T104" s="74" t="s">
        <v>597</v>
      </c>
      <c r="U104" s="75" t="s">
        <v>285</v>
      </c>
      <c r="V104" s="75" t="s">
        <v>285</v>
      </c>
      <c r="W104" s="75" t="s">
        <v>530</v>
      </c>
      <c r="X104" s="74" t="s">
        <v>598</v>
      </c>
      <c r="Y104" s="74" t="s">
        <v>598</v>
      </c>
      <c r="Z104" s="74" t="s">
        <v>599</v>
      </c>
      <c r="AA104" s="75" t="s">
        <v>600</v>
      </c>
      <c r="AB104" s="75" t="s">
        <v>285</v>
      </c>
      <c r="AC104" s="74" t="s">
        <v>597</v>
      </c>
      <c r="AD104" s="74" t="s">
        <v>601</v>
      </c>
      <c r="AE104" s="74" t="s">
        <v>602</v>
      </c>
      <c r="AF104" s="74" t="s">
        <v>603</v>
      </c>
    </row>
    <row r="105" spans="2:32" x14ac:dyDescent="0.25">
      <c r="B105" s="53" t="s">
        <v>214</v>
      </c>
      <c r="C105" s="18" t="s">
        <v>160</v>
      </c>
      <c r="D105" s="74" t="s">
        <v>604</v>
      </c>
      <c r="E105" s="75" t="s">
        <v>605</v>
      </c>
      <c r="F105" s="74" t="s">
        <v>606</v>
      </c>
      <c r="G105" s="75" t="s">
        <v>525</v>
      </c>
      <c r="H105" s="75" t="s">
        <v>285</v>
      </c>
      <c r="I105" s="74" t="s">
        <v>607</v>
      </c>
      <c r="J105" s="75" t="s">
        <v>608</v>
      </c>
      <c r="K105" s="75" t="s">
        <v>287</v>
      </c>
      <c r="L105" s="75" t="s">
        <v>287</v>
      </c>
      <c r="M105" s="75" t="s">
        <v>287</v>
      </c>
      <c r="N105" s="75" t="s">
        <v>287</v>
      </c>
      <c r="O105" s="75" t="s">
        <v>321</v>
      </c>
      <c r="P105" s="75" t="s">
        <v>470</v>
      </c>
      <c r="Q105" s="74" t="s">
        <v>609</v>
      </c>
      <c r="R105" s="75" t="s">
        <v>290</v>
      </c>
      <c r="S105" s="74" t="s">
        <v>610</v>
      </c>
      <c r="T105" s="74" t="s">
        <v>611</v>
      </c>
      <c r="U105" s="75" t="s">
        <v>285</v>
      </c>
      <c r="V105" s="75" t="s">
        <v>285</v>
      </c>
      <c r="W105" s="75" t="s">
        <v>530</v>
      </c>
      <c r="X105" s="74" t="s">
        <v>612</v>
      </c>
      <c r="Y105" s="74" t="s">
        <v>612</v>
      </c>
      <c r="Z105" s="74" t="s">
        <v>613</v>
      </c>
      <c r="AA105" s="75" t="s">
        <v>600</v>
      </c>
      <c r="AB105" s="75" t="s">
        <v>285</v>
      </c>
      <c r="AC105" s="74" t="s">
        <v>611</v>
      </c>
      <c r="AD105" s="74" t="s">
        <v>614</v>
      </c>
      <c r="AE105" s="74" t="s">
        <v>615</v>
      </c>
      <c r="AF105" s="74" t="s">
        <v>616</v>
      </c>
    </row>
    <row r="106" spans="2:32" x14ac:dyDescent="0.25">
      <c r="B106" s="53" t="s">
        <v>215</v>
      </c>
      <c r="C106" s="18" t="s">
        <v>160</v>
      </c>
      <c r="D106" s="74" t="s">
        <v>617</v>
      </c>
      <c r="E106" s="75" t="s">
        <v>605</v>
      </c>
      <c r="F106" s="74" t="s">
        <v>618</v>
      </c>
      <c r="G106" s="75" t="s">
        <v>525</v>
      </c>
      <c r="H106" s="75" t="s">
        <v>285</v>
      </c>
      <c r="I106" s="74" t="s">
        <v>619</v>
      </c>
      <c r="J106" s="75" t="s">
        <v>620</v>
      </c>
      <c r="K106" s="75" t="s">
        <v>287</v>
      </c>
      <c r="L106" s="75" t="s">
        <v>287</v>
      </c>
      <c r="M106" s="75" t="s">
        <v>287</v>
      </c>
      <c r="N106" s="75" t="s">
        <v>287</v>
      </c>
      <c r="O106" s="75" t="s">
        <v>321</v>
      </c>
      <c r="P106" s="75" t="s">
        <v>470</v>
      </c>
      <c r="Q106" s="74" t="s">
        <v>621</v>
      </c>
      <c r="R106" s="75" t="s">
        <v>290</v>
      </c>
      <c r="S106" s="74" t="s">
        <v>622</v>
      </c>
      <c r="T106" s="74" t="s">
        <v>623</v>
      </c>
      <c r="U106" s="75" t="s">
        <v>285</v>
      </c>
      <c r="V106" s="75" t="s">
        <v>285</v>
      </c>
      <c r="W106" s="75" t="s">
        <v>530</v>
      </c>
      <c r="X106" s="74" t="s">
        <v>624</v>
      </c>
      <c r="Y106" s="74" t="s">
        <v>624</v>
      </c>
      <c r="Z106" s="74" t="s">
        <v>625</v>
      </c>
      <c r="AA106" s="75" t="s">
        <v>626</v>
      </c>
      <c r="AB106" s="75" t="s">
        <v>285</v>
      </c>
      <c r="AC106" s="74" t="s">
        <v>623</v>
      </c>
      <c r="AD106" s="74" t="s">
        <v>627</v>
      </c>
      <c r="AE106" s="74" t="s">
        <v>628</v>
      </c>
      <c r="AF106" s="74" t="s">
        <v>629</v>
      </c>
    </row>
    <row r="107" spans="2:32" x14ac:dyDescent="0.25">
      <c r="B107" s="53" t="s">
        <v>216</v>
      </c>
      <c r="C107" s="18" t="s">
        <v>160</v>
      </c>
      <c r="D107" s="74" t="s">
        <v>630</v>
      </c>
      <c r="E107" s="75" t="s">
        <v>605</v>
      </c>
      <c r="F107" s="74" t="s">
        <v>631</v>
      </c>
      <c r="G107" s="75" t="s">
        <v>525</v>
      </c>
      <c r="H107" s="75" t="s">
        <v>285</v>
      </c>
      <c r="I107" s="74" t="s">
        <v>632</v>
      </c>
      <c r="J107" s="75" t="s">
        <v>633</v>
      </c>
      <c r="K107" s="75" t="s">
        <v>287</v>
      </c>
      <c r="L107" s="75" t="s">
        <v>287</v>
      </c>
      <c r="M107" s="75" t="s">
        <v>287</v>
      </c>
      <c r="N107" s="75" t="s">
        <v>287</v>
      </c>
      <c r="O107" s="75" t="s">
        <v>321</v>
      </c>
      <c r="P107" s="75" t="s">
        <v>470</v>
      </c>
      <c r="Q107" s="74" t="s">
        <v>634</v>
      </c>
      <c r="R107" s="75" t="s">
        <v>290</v>
      </c>
      <c r="S107" s="74" t="s">
        <v>635</v>
      </c>
      <c r="T107" s="74" t="s">
        <v>636</v>
      </c>
      <c r="U107" s="75" t="s">
        <v>285</v>
      </c>
      <c r="V107" s="75" t="s">
        <v>285</v>
      </c>
      <c r="W107" s="75" t="s">
        <v>530</v>
      </c>
      <c r="X107" s="74" t="s">
        <v>637</v>
      </c>
      <c r="Y107" s="74" t="s">
        <v>637</v>
      </c>
      <c r="Z107" s="74" t="s">
        <v>638</v>
      </c>
      <c r="AA107" s="75" t="s">
        <v>639</v>
      </c>
      <c r="AB107" s="75" t="s">
        <v>285</v>
      </c>
      <c r="AC107" s="74" t="s">
        <v>636</v>
      </c>
      <c r="AD107" s="74" t="s">
        <v>640</v>
      </c>
      <c r="AE107" s="74" t="s">
        <v>641</v>
      </c>
      <c r="AF107" s="74" t="s">
        <v>642</v>
      </c>
    </row>
    <row r="108" spans="2:32" x14ac:dyDescent="0.25">
      <c r="B108" s="53" t="s">
        <v>217</v>
      </c>
      <c r="C108" s="18" t="s">
        <v>160</v>
      </c>
      <c r="D108" s="74" t="s">
        <v>643</v>
      </c>
      <c r="E108" s="75" t="s">
        <v>644</v>
      </c>
      <c r="F108" s="75"/>
      <c r="G108" s="75" t="s">
        <v>285</v>
      </c>
      <c r="H108" s="75" t="s">
        <v>285</v>
      </c>
      <c r="I108" s="74" t="s">
        <v>645</v>
      </c>
      <c r="J108" s="75" t="s">
        <v>287</v>
      </c>
      <c r="K108" s="75" t="s">
        <v>287</v>
      </c>
      <c r="L108" s="75" t="s">
        <v>287</v>
      </c>
      <c r="M108" s="75" t="s">
        <v>287</v>
      </c>
      <c r="N108" s="75" t="s">
        <v>287</v>
      </c>
      <c r="O108" s="75" t="s">
        <v>321</v>
      </c>
      <c r="P108" s="75" t="s">
        <v>470</v>
      </c>
      <c r="Q108" s="74" t="s">
        <v>646</v>
      </c>
      <c r="R108" s="75" t="s">
        <v>290</v>
      </c>
      <c r="S108" s="74" t="s">
        <v>647</v>
      </c>
      <c r="T108" s="74" t="s">
        <v>648</v>
      </c>
      <c r="U108" s="75" t="s">
        <v>285</v>
      </c>
      <c r="V108" s="75" t="s">
        <v>285</v>
      </c>
      <c r="W108" s="75" t="s">
        <v>530</v>
      </c>
      <c r="X108" s="74" t="s">
        <v>649</v>
      </c>
      <c r="Y108" s="74" t="s">
        <v>649</v>
      </c>
      <c r="Z108" s="74" t="s">
        <v>650</v>
      </c>
      <c r="AA108" s="75" t="s">
        <v>651</v>
      </c>
      <c r="AB108" s="75" t="s">
        <v>285</v>
      </c>
      <c r="AC108" s="74" t="s">
        <v>648</v>
      </c>
      <c r="AD108" s="74" t="s">
        <v>652</v>
      </c>
      <c r="AE108" s="74" t="s">
        <v>653</v>
      </c>
      <c r="AF108" s="74" t="s">
        <v>654</v>
      </c>
    </row>
    <row r="109" spans="2:32" x14ac:dyDescent="0.25">
      <c r="B109" s="53" t="s">
        <v>218</v>
      </c>
      <c r="C109" s="18" t="s">
        <v>160</v>
      </c>
      <c r="D109" s="74" t="s">
        <v>643</v>
      </c>
      <c r="E109" s="75" t="s">
        <v>644</v>
      </c>
      <c r="F109" s="75"/>
      <c r="G109" s="75" t="s">
        <v>285</v>
      </c>
      <c r="H109" s="75" t="s">
        <v>285</v>
      </c>
      <c r="I109" s="74" t="s">
        <v>645</v>
      </c>
      <c r="J109" s="75" t="s">
        <v>287</v>
      </c>
      <c r="K109" s="75" t="s">
        <v>287</v>
      </c>
      <c r="L109" s="75" t="s">
        <v>287</v>
      </c>
      <c r="M109" s="75" t="s">
        <v>287</v>
      </c>
      <c r="N109" s="75" t="s">
        <v>655</v>
      </c>
      <c r="O109" s="75" t="s">
        <v>321</v>
      </c>
      <c r="P109" s="75" t="s">
        <v>470</v>
      </c>
      <c r="Q109" s="74" t="s">
        <v>656</v>
      </c>
      <c r="R109" s="75" t="s">
        <v>290</v>
      </c>
      <c r="S109" s="74" t="s">
        <v>657</v>
      </c>
      <c r="T109" s="74" t="s">
        <v>658</v>
      </c>
      <c r="U109" s="75" t="s">
        <v>285</v>
      </c>
      <c r="V109" s="75" t="s">
        <v>285</v>
      </c>
      <c r="W109" s="75" t="s">
        <v>530</v>
      </c>
      <c r="X109" s="74" t="s">
        <v>659</v>
      </c>
      <c r="Y109" s="74" t="s">
        <v>659</v>
      </c>
      <c r="Z109" s="74" t="s">
        <v>660</v>
      </c>
      <c r="AA109" s="75" t="s">
        <v>651</v>
      </c>
      <c r="AB109" s="75" t="s">
        <v>285</v>
      </c>
      <c r="AC109" s="74" t="s">
        <v>658</v>
      </c>
      <c r="AD109" s="74" t="s">
        <v>661</v>
      </c>
      <c r="AE109" s="74" t="s">
        <v>662</v>
      </c>
      <c r="AF109" s="74" t="s">
        <v>663</v>
      </c>
    </row>
    <row r="110" spans="2:32" x14ac:dyDescent="0.25">
      <c r="B110" s="53" t="s">
        <v>219</v>
      </c>
      <c r="C110" s="18" t="s">
        <v>160</v>
      </c>
      <c r="D110" s="74" t="s">
        <v>643</v>
      </c>
      <c r="E110" s="75" t="s">
        <v>644</v>
      </c>
      <c r="F110" s="75"/>
      <c r="G110" s="75" t="s">
        <v>285</v>
      </c>
      <c r="H110" s="75" t="s">
        <v>285</v>
      </c>
      <c r="I110" s="74" t="s">
        <v>645</v>
      </c>
      <c r="J110" s="75" t="s">
        <v>287</v>
      </c>
      <c r="K110" s="75" t="s">
        <v>287</v>
      </c>
      <c r="L110" s="75" t="s">
        <v>287</v>
      </c>
      <c r="M110" s="75" t="s">
        <v>287</v>
      </c>
      <c r="N110" s="75" t="s">
        <v>664</v>
      </c>
      <c r="O110" s="75" t="s">
        <v>321</v>
      </c>
      <c r="P110" s="75" t="s">
        <v>470</v>
      </c>
      <c r="Q110" s="74" t="s">
        <v>665</v>
      </c>
      <c r="R110" s="75" t="s">
        <v>290</v>
      </c>
      <c r="S110" s="74" t="s">
        <v>666</v>
      </c>
      <c r="T110" s="74" t="s">
        <v>667</v>
      </c>
      <c r="U110" s="75" t="s">
        <v>285</v>
      </c>
      <c r="V110" s="75" t="s">
        <v>285</v>
      </c>
      <c r="W110" s="75" t="s">
        <v>530</v>
      </c>
      <c r="X110" s="74" t="s">
        <v>668</v>
      </c>
      <c r="Y110" s="74" t="s">
        <v>668</v>
      </c>
      <c r="Z110" s="74" t="s">
        <v>669</v>
      </c>
      <c r="AA110" s="75" t="s">
        <v>651</v>
      </c>
      <c r="AB110" s="75" t="s">
        <v>285</v>
      </c>
      <c r="AC110" s="74" t="s">
        <v>667</v>
      </c>
      <c r="AD110" s="74" t="s">
        <v>670</v>
      </c>
      <c r="AE110" s="74" t="s">
        <v>671</v>
      </c>
      <c r="AF110" s="74" t="s">
        <v>672</v>
      </c>
    </row>
    <row r="111" spans="2:32" x14ac:dyDescent="0.25">
      <c r="B111" s="53" t="s">
        <v>220</v>
      </c>
      <c r="C111" s="18" t="s">
        <v>160</v>
      </c>
      <c r="D111" s="74" t="s">
        <v>643</v>
      </c>
      <c r="E111" s="75" t="s">
        <v>644</v>
      </c>
      <c r="F111" s="75"/>
      <c r="G111" s="75" t="s">
        <v>285</v>
      </c>
      <c r="H111" s="75" t="s">
        <v>285</v>
      </c>
      <c r="I111" s="74" t="s">
        <v>645</v>
      </c>
      <c r="J111" s="75" t="s">
        <v>287</v>
      </c>
      <c r="K111" s="75" t="s">
        <v>287</v>
      </c>
      <c r="L111" s="75" t="s">
        <v>287</v>
      </c>
      <c r="M111" s="75" t="s">
        <v>287</v>
      </c>
      <c r="N111" s="75" t="s">
        <v>673</v>
      </c>
      <c r="O111" s="75" t="s">
        <v>321</v>
      </c>
      <c r="P111" s="75" t="s">
        <v>470</v>
      </c>
      <c r="Q111" s="74" t="s">
        <v>674</v>
      </c>
      <c r="R111" s="75" t="s">
        <v>290</v>
      </c>
      <c r="S111" s="74" t="s">
        <v>675</v>
      </c>
      <c r="T111" s="74" t="s">
        <v>676</v>
      </c>
      <c r="U111" s="75" t="s">
        <v>285</v>
      </c>
      <c r="V111" s="75" t="s">
        <v>285</v>
      </c>
      <c r="W111" s="75" t="s">
        <v>530</v>
      </c>
      <c r="X111" s="74" t="s">
        <v>677</v>
      </c>
      <c r="Y111" s="74" t="s">
        <v>677</v>
      </c>
      <c r="Z111" s="74" t="s">
        <v>678</v>
      </c>
      <c r="AA111" s="75" t="s">
        <v>651</v>
      </c>
      <c r="AB111" s="75" t="s">
        <v>285</v>
      </c>
      <c r="AC111" s="74" t="s">
        <v>676</v>
      </c>
      <c r="AD111" s="74" t="s">
        <v>679</v>
      </c>
      <c r="AE111" s="74" t="s">
        <v>680</v>
      </c>
      <c r="AF111" s="74" t="s">
        <v>681</v>
      </c>
    </row>
    <row r="112" spans="2:32" x14ac:dyDescent="0.25">
      <c r="B112" s="53" t="s">
        <v>221</v>
      </c>
      <c r="C112" s="18" t="s">
        <v>160</v>
      </c>
      <c r="D112" s="74" t="s">
        <v>643</v>
      </c>
      <c r="E112" s="75" t="s">
        <v>644</v>
      </c>
      <c r="F112" s="75"/>
      <c r="G112" s="75" t="s">
        <v>285</v>
      </c>
      <c r="H112" s="75" t="s">
        <v>285</v>
      </c>
      <c r="I112" s="74" t="s">
        <v>645</v>
      </c>
      <c r="J112" s="75" t="s">
        <v>287</v>
      </c>
      <c r="K112" s="75" t="s">
        <v>287</v>
      </c>
      <c r="L112" s="75" t="s">
        <v>287</v>
      </c>
      <c r="M112" s="75" t="s">
        <v>287</v>
      </c>
      <c r="N112" s="75" t="s">
        <v>682</v>
      </c>
      <c r="O112" s="75" t="s">
        <v>321</v>
      </c>
      <c r="P112" s="75" t="s">
        <v>470</v>
      </c>
      <c r="Q112" s="74" t="s">
        <v>683</v>
      </c>
      <c r="R112" s="75" t="s">
        <v>290</v>
      </c>
      <c r="S112" s="74" t="s">
        <v>684</v>
      </c>
      <c r="T112" s="74" t="s">
        <v>685</v>
      </c>
      <c r="U112" s="75" t="s">
        <v>285</v>
      </c>
      <c r="V112" s="75" t="s">
        <v>285</v>
      </c>
      <c r="W112" s="75" t="s">
        <v>530</v>
      </c>
      <c r="X112" s="74" t="s">
        <v>686</v>
      </c>
      <c r="Y112" s="74" t="s">
        <v>686</v>
      </c>
      <c r="Z112" s="74" t="s">
        <v>687</v>
      </c>
      <c r="AA112" s="75" t="s">
        <v>651</v>
      </c>
      <c r="AB112" s="75" t="s">
        <v>285</v>
      </c>
      <c r="AC112" s="74" t="s">
        <v>685</v>
      </c>
      <c r="AD112" s="74" t="s">
        <v>688</v>
      </c>
      <c r="AE112" s="74" t="s">
        <v>689</v>
      </c>
      <c r="AF112" s="74" t="s">
        <v>690</v>
      </c>
    </row>
    <row r="113" spans="2:32" x14ac:dyDescent="0.25">
      <c r="B113" s="53" t="s">
        <v>222</v>
      </c>
      <c r="C113" s="18" t="s">
        <v>160</v>
      </c>
      <c r="D113" s="74" t="s">
        <v>643</v>
      </c>
      <c r="E113" s="75" t="s">
        <v>644</v>
      </c>
      <c r="F113" s="75"/>
      <c r="G113" s="75" t="s">
        <v>285</v>
      </c>
      <c r="H113" s="75" t="s">
        <v>285</v>
      </c>
      <c r="I113" s="74" t="s">
        <v>645</v>
      </c>
      <c r="J113" s="75" t="s">
        <v>287</v>
      </c>
      <c r="K113" s="75" t="s">
        <v>287</v>
      </c>
      <c r="L113" s="75" t="s">
        <v>287</v>
      </c>
      <c r="M113" s="75" t="s">
        <v>287</v>
      </c>
      <c r="N113" s="75" t="s">
        <v>691</v>
      </c>
      <c r="O113" s="75" t="s">
        <v>321</v>
      </c>
      <c r="P113" s="75" t="s">
        <v>470</v>
      </c>
      <c r="Q113" s="74" t="s">
        <v>692</v>
      </c>
      <c r="R113" s="75" t="s">
        <v>290</v>
      </c>
      <c r="S113" s="74" t="s">
        <v>693</v>
      </c>
      <c r="T113" s="74" t="s">
        <v>694</v>
      </c>
      <c r="U113" s="75" t="s">
        <v>285</v>
      </c>
      <c r="V113" s="75" t="s">
        <v>285</v>
      </c>
      <c r="W113" s="75" t="s">
        <v>530</v>
      </c>
      <c r="X113" s="74" t="s">
        <v>695</v>
      </c>
      <c r="Y113" s="74" t="s">
        <v>695</v>
      </c>
      <c r="Z113" s="74" t="s">
        <v>696</v>
      </c>
      <c r="AA113" s="75" t="s">
        <v>651</v>
      </c>
      <c r="AB113" s="75" t="s">
        <v>285</v>
      </c>
      <c r="AC113" s="74" t="s">
        <v>694</v>
      </c>
      <c r="AD113" s="74" t="s">
        <v>697</v>
      </c>
      <c r="AE113" s="74" t="s">
        <v>698</v>
      </c>
      <c r="AF113" s="74" t="s">
        <v>699</v>
      </c>
    </row>
    <row r="114" spans="2:32" x14ac:dyDescent="0.25">
      <c r="B114" s="53" t="s">
        <v>223</v>
      </c>
      <c r="C114" s="18" t="s">
        <v>160</v>
      </c>
      <c r="D114" s="74" t="s">
        <v>700</v>
      </c>
      <c r="E114" s="75" t="s">
        <v>701</v>
      </c>
      <c r="F114" s="74" t="s">
        <v>702</v>
      </c>
      <c r="G114" s="75" t="s">
        <v>703</v>
      </c>
      <c r="H114" s="75" t="s">
        <v>285</v>
      </c>
      <c r="I114" s="74" t="s">
        <v>704</v>
      </c>
      <c r="J114" s="75" t="s">
        <v>287</v>
      </c>
      <c r="K114" s="75" t="s">
        <v>287</v>
      </c>
      <c r="L114" s="75" t="s">
        <v>287</v>
      </c>
      <c r="M114" s="75" t="s">
        <v>287</v>
      </c>
      <c r="N114" s="75" t="s">
        <v>705</v>
      </c>
      <c r="O114" s="75" t="s">
        <v>321</v>
      </c>
      <c r="P114" s="75" t="s">
        <v>287</v>
      </c>
      <c r="Q114" s="74" t="s">
        <v>706</v>
      </c>
      <c r="R114" s="75" t="s">
        <v>290</v>
      </c>
      <c r="S114" s="74" t="s">
        <v>707</v>
      </c>
      <c r="T114" s="74" t="s">
        <v>708</v>
      </c>
      <c r="U114" s="75" t="s">
        <v>285</v>
      </c>
      <c r="V114" s="75" t="s">
        <v>285</v>
      </c>
      <c r="W114" s="75" t="s">
        <v>530</v>
      </c>
      <c r="X114" s="74" t="s">
        <v>709</v>
      </c>
      <c r="Y114" s="74" t="s">
        <v>709</v>
      </c>
      <c r="Z114" s="74" t="s">
        <v>710</v>
      </c>
      <c r="AA114" s="75" t="s">
        <v>711</v>
      </c>
      <c r="AB114" s="75" t="s">
        <v>285</v>
      </c>
      <c r="AC114" s="74" t="s">
        <v>708</v>
      </c>
      <c r="AD114" s="74" t="s">
        <v>712</v>
      </c>
      <c r="AE114" s="74" t="s">
        <v>713</v>
      </c>
      <c r="AF114" s="74" t="s">
        <v>714</v>
      </c>
    </row>
    <row r="115" spans="2:32" x14ac:dyDescent="0.25">
      <c r="B115" s="53" t="s">
        <v>224</v>
      </c>
      <c r="C115" s="18" t="s">
        <v>160</v>
      </c>
      <c r="D115" s="74" t="s">
        <v>700</v>
      </c>
      <c r="E115" s="75" t="s">
        <v>715</v>
      </c>
      <c r="F115" s="74" t="s">
        <v>716</v>
      </c>
      <c r="G115" s="75" t="s">
        <v>703</v>
      </c>
      <c r="H115" s="75" t="s">
        <v>285</v>
      </c>
      <c r="I115" s="74" t="s">
        <v>717</v>
      </c>
      <c r="J115" s="75" t="s">
        <v>287</v>
      </c>
      <c r="K115" s="75" t="s">
        <v>287</v>
      </c>
      <c r="L115" s="75" t="s">
        <v>287</v>
      </c>
      <c r="M115" s="75" t="s">
        <v>287</v>
      </c>
      <c r="N115" s="75" t="s">
        <v>718</v>
      </c>
      <c r="O115" s="75" t="s">
        <v>321</v>
      </c>
      <c r="P115" s="75" t="s">
        <v>287</v>
      </c>
      <c r="Q115" s="74" t="s">
        <v>719</v>
      </c>
      <c r="R115" s="75" t="s">
        <v>290</v>
      </c>
      <c r="S115" s="74" t="s">
        <v>720</v>
      </c>
      <c r="T115" s="74" t="s">
        <v>721</v>
      </c>
      <c r="U115" s="75" t="s">
        <v>285</v>
      </c>
      <c r="V115" s="75" t="s">
        <v>285</v>
      </c>
      <c r="W115" s="75" t="s">
        <v>530</v>
      </c>
      <c r="X115" s="74" t="s">
        <v>722</v>
      </c>
      <c r="Y115" s="74" t="s">
        <v>722</v>
      </c>
      <c r="Z115" s="74" t="s">
        <v>723</v>
      </c>
      <c r="AA115" s="75" t="s">
        <v>724</v>
      </c>
      <c r="AB115" s="75" t="s">
        <v>725</v>
      </c>
      <c r="AC115" s="74" t="s">
        <v>726</v>
      </c>
      <c r="AD115" s="74" t="s">
        <v>726</v>
      </c>
      <c r="AE115" s="74" t="s">
        <v>727</v>
      </c>
      <c r="AF115" s="74" t="s">
        <v>728</v>
      </c>
    </row>
    <row r="116" spans="2:32" x14ac:dyDescent="0.25">
      <c r="B116" s="53" t="s">
        <v>225</v>
      </c>
      <c r="C116" s="18" t="s">
        <v>160</v>
      </c>
      <c r="D116" s="74" t="s">
        <v>700</v>
      </c>
      <c r="E116" s="75" t="s">
        <v>729</v>
      </c>
      <c r="F116" s="74" t="s">
        <v>730</v>
      </c>
      <c r="G116" s="75" t="s">
        <v>703</v>
      </c>
      <c r="H116" s="75" t="s">
        <v>285</v>
      </c>
      <c r="I116" s="74" t="s">
        <v>731</v>
      </c>
      <c r="J116" s="75" t="s">
        <v>287</v>
      </c>
      <c r="K116" s="75" t="s">
        <v>287</v>
      </c>
      <c r="L116" s="75" t="s">
        <v>287</v>
      </c>
      <c r="M116" s="75" t="s">
        <v>287</v>
      </c>
      <c r="N116" s="75" t="s">
        <v>732</v>
      </c>
      <c r="O116" s="75" t="s">
        <v>321</v>
      </c>
      <c r="P116" s="75" t="s">
        <v>287</v>
      </c>
      <c r="Q116" s="74" t="s">
        <v>733</v>
      </c>
      <c r="R116" s="75" t="s">
        <v>290</v>
      </c>
      <c r="S116" s="74" t="s">
        <v>734</v>
      </c>
      <c r="T116" s="74" t="s">
        <v>735</v>
      </c>
      <c r="U116" s="75" t="s">
        <v>285</v>
      </c>
      <c r="V116" s="75" t="s">
        <v>285</v>
      </c>
      <c r="W116" s="75" t="s">
        <v>530</v>
      </c>
      <c r="X116" s="74" t="s">
        <v>736</v>
      </c>
      <c r="Y116" s="74" t="s">
        <v>736</v>
      </c>
      <c r="Z116" s="74" t="s">
        <v>737</v>
      </c>
      <c r="AA116" s="75" t="s">
        <v>738</v>
      </c>
      <c r="AB116" s="75" t="s">
        <v>739</v>
      </c>
      <c r="AC116" s="74" t="s">
        <v>740</v>
      </c>
      <c r="AD116" s="74" t="s">
        <v>740</v>
      </c>
      <c r="AE116" s="74" t="s">
        <v>741</v>
      </c>
      <c r="AF116" s="74" t="s">
        <v>742</v>
      </c>
    </row>
    <row r="117" spans="2:32" x14ac:dyDescent="0.25">
      <c r="B117" s="53" t="s">
        <v>226</v>
      </c>
      <c r="C117" s="18" t="s">
        <v>160</v>
      </c>
      <c r="D117" s="74" t="s">
        <v>743</v>
      </c>
      <c r="E117" s="75" t="s">
        <v>744</v>
      </c>
      <c r="F117" s="74" t="s">
        <v>745</v>
      </c>
      <c r="G117" s="75" t="s">
        <v>703</v>
      </c>
      <c r="H117" s="75" t="s">
        <v>285</v>
      </c>
      <c r="I117" s="74" t="s">
        <v>746</v>
      </c>
      <c r="J117" s="75" t="s">
        <v>287</v>
      </c>
      <c r="K117" s="75" t="s">
        <v>287</v>
      </c>
      <c r="L117" s="75" t="s">
        <v>287</v>
      </c>
      <c r="M117" s="75" t="s">
        <v>287</v>
      </c>
      <c r="N117" s="75" t="s">
        <v>747</v>
      </c>
      <c r="O117" s="75" t="s">
        <v>321</v>
      </c>
      <c r="P117" s="75" t="s">
        <v>287</v>
      </c>
      <c r="Q117" s="74" t="s">
        <v>748</v>
      </c>
      <c r="R117" s="75" t="s">
        <v>290</v>
      </c>
      <c r="S117" s="74" t="s">
        <v>749</v>
      </c>
      <c r="T117" s="74" t="s">
        <v>750</v>
      </c>
      <c r="U117" s="75" t="s">
        <v>285</v>
      </c>
      <c r="V117" s="75" t="s">
        <v>285</v>
      </c>
      <c r="W117" s="75" t="s">
        <v>530</v>
      </c>
      <c r="X117" s="74" t="s">
        <v>751</v>
      </c>
      <c r="Y117" s="74" t="s">
        <v>751</v>
      </c>
      <c r="Z117" s="74" t="s">
        <v>752</v>
      </c>
      <c r="AA117" s="75" t="s">
        <v>753</v>
      </c>
      <c r="AB117" s="75" t="s">
        <v>285</v>
      </c>
      <c r="AC117" s="74" t="s">
        <v>750</v>
      </c>
      <c r="AD117" s="74" t="s">
        <v>754</v>
      </c>
      <c r="AE117" s="74" t="s">
        <v>755</v>
      </c>
      <c r="AF117" s="74" t="s">
        <v>756</v>
      </c>
    </row>
    <row r="118" spans="2:32" x14ac:dyDescent="0.25">
      <c r="B118" s="53" t="s">
        <v>227</v>
      </c>
      <c r="C118" s="18" t="s">
        <v>160</v>
      </c>
      <c r="D118" s="74" t="s">
        <v>757</v>
      </c>
      <c r="E118" s="75" t="s">
        <v>701</v>
      </c>
      <c r="F118" s="74" t="s">
        <v>758</v>
      </c>
      <c r="G118" s="75" t="s">
        <v>703</v>
      </c>
      <c r="H118" s="75" t="s">
        <v>285</v>
      </c>
      <c r="I118" s="74" t="s">
        <v>759</v>
      </c>
      <c r="J118" s="75" t="s">
        <v>760</v>
      </c>
      <c r="K118" s="75" t="s">
        <v>287</v>
      </c>
      <c r="L118" s="75" t="s">
        <v>287</v>
      </c>
      <c r="M118" s="75" t="s">
        <v>287</v>
      </c>
      <c r="N118" s="75" t="s">
        <v>761</v>
      </c>
      <c r="O118" s="75" t="s">
        <v>321</v>
      </c>
      <c r="P118" s="75" t="s">
        <v>287</v>
      </c>
      <c r="Q118" s="74" t="s">
        <v>762</v>
      </c>
      <c r="R118" s="75" t="s">
        <v>290</v>
      </c>
      <c r="S118" s="74" t="s">
        <v>763</v>
      </c>
      <c r="T118" s="74" t="s">
        <v>764</v>
      </c>
      <c r="U118" s="75" t="s">
        <v>285</v>
      </c>
      <c r="V118" s="75" t="s">
        <v>285</v>
      </c>
      <c r="W118" s="75" t="s">
        <v>530</v>
      </c>
      <c r="X118" s="74" t="s">
        <v>765</v>
      </c>
      <c r="Y118" s="74" t="s">
        <v>765</v>
      </c>
      <c r="Z118" s="74" t="s">
        <v>766</v>
      </c>
      <c r="AA118" s="75" t="s">
        <v>767</v>
      </c>
      <c r="AB118" s="75" t="s">
        <v>285</v>
      </c>
      <c r="AC118" s="74" t="s">
        <v>764</v>
      </c>
      <c r="AD118" s="74" t="s">
        <v>768</v>
      </c>
      <c r="AE118" s="74" t="s">
        <v>769</v>
      </c>
      <c r="AF118" s="74" t="s">
        <v>770</v>
      </c>
    </row>
    <row r="119" spans="2:32" x14ac:dyDescent="0.25">
      <c r="B119" s="53" t="s">
        <v>228</v>
      </c>
      <c r="C119" s="18" t="s">
        <v>160</v>
      </c>
      <c r="D119" s="74" t="s">
        <v>757</v>
      </c>
      <c r="E119" s="75" t="s">
        <v>701</v>
      </c>
      <c r="F119" s="74" t="s">
        <v>758</v>
      </c>
      <c r="G119" s="75" t="s">
        <v>703</v>
      </c>
      <c r="H119" s="75" t="s">
        <v>285</v>
      </c>
      <c r="I119" s="74" t="s">
        <v>759</v>
      </c>
      <c r="J119" s="75" t="s">
        <v>760</v>
      </c>
      <c r="K119" s="75" t="s">
        <v>287</v>
      </c>
      <c r="L119" s="75" t="s">
        <v>287</v>
      </c>
      <c r="M119" s="75" t="s">
        <v>287</v>
      </c>
      <c r="N119" s="75" t="s">
        <v>771</v>
      </c>
      <c r="O119" s="75" t="s">
        <v>321</v>
      </c>
      <c r="P119" s="75" t="s">
        <v>287</v>
      </c>
      <c r="Q119" s="74" t="s">
        <v>772</v>
      </c>
      <c r="R119" s="75" t="s">
        <v>290</v>
      </c>
      <c r="S119" s="74" t="s">
        <v>773</v>
      </c>
      <c r="T119" s="74" t="s">
        <v>774</v>
      </c>
      <c r="U119" s="75" t="s">
        <v>285</v>
      </c>
      <c r="V119" s="75" t="s">
        <v>285</v>
      </c>
      <c r="W119" s="75" t="s">
        <v>530</v>
      </c>
      <c r="X119" s="74" t="s">
        <v>775</v>
      </c>
      <c r="Y119" s="74" t="s">
        <v>775</v>
      </c>
      <c r="Z119" s="74" t="s">
        <v>776</v>
      </c>
      <c r="AA119" s="75" t="s">
        <v>767</v>
      </c>
      <c r="AB119" s="75" t="s">
        <v>777</v>
      </c>
      <c r="AC119" s="74" t="s">
        <v>778</v>
      </c>
      <c r="AD119" s="74" t="s">
        <v>778</v>
      </c>
      <c r="AE119" s="74" t="s">
        <v>779</v>
      </c>
      <c r="AF119" s="74" t="s">
        <v>780</v>
      </c>
    </row>
    <row r="120" spans="2:32" x14ac:dyDescent="0.25">
      <c r="B120" s="53" t="s">
        <v>229</v>
      </c>
      <c r="C120" s="18" t="s">
        <v>160</v>
      </c>
      <c r="D120" s="74" t="s">
        <v>757</v>
      </c>
      <c r="E120" s="75" t="s">
        <v>701</v>
      </c>
      <c r="F120" s="74" t="s">
        <v>758</v>
      </c>
      <c r="G120" s="75" t="s">
        <v>703</v>
      </c>
      <c r="H120" s="75" t="s">
        <v>285</v>
      </c>
      <c r="I120" s="74" t="s">
        <v>759</v>
      </c>
      <c r="J120" s="75" t="s">
        <v>760</v>
      </c>
      <c r="K120" s="75" t="s">
        <v>287</v>
      </c>
      <c r="L120" s="75" t="s">
        <v>287</v>
      </c>
      <c r="M120" s="75" t="s">
        <v>287</v>
      </c>
      <c r="N120" s="75" t="s">
        <v>781</v>
      </c>
      <c r="O120" s="75" t="s">
        <v>321</v>
      </c>
      <c r="P120" s="75" t="s">
        <v>287</v>
      </c>
      <c r="Q120" s="74" t="s">
        <v>782</v>
      </c>
      <c r="R120" s="75" t="s">
        <v>290</v>
      </c>
      <c r="S120" s="74" t="s">
        <v>783</v>
      </c>
      <c r="T120" s="74" t="s">
        <v>784</v>
      </c>
      <c r="U120" s="75" t="s">
        <v>285</v>
      </c>
      <c r="V120" s="75" t="s">
        <v>285</v>
      </c>
      <c r="W120" s="75" t="s">
        <v>530</v>
      </c>
      <c r="X120" s="74" t="s">
        <v>785</v>
      </c>
      <c r="Y120" s="74" t="s">
        <v>785</v>
      </c>
      <c r="Z120" s="74" t="s">
        <v>786</v>
      </c>
      <c r="AA120" s="75" t="s">
        <v>787</v>
      </c>
      <c r="AB120" s="75" t="s">
        <v>788</v>
      </c>
      <c r="AC120" s="74" t="s">
        <v>789</v>
      </c>
      <c r="AD120" s="74" t="s">
        <v>789</v>
      </c>
      <c r="AE120" s="74" t="s">
        <v>790</v>
      </c>
      <c r="AF120" s="74" t="s">
        <v>791</v>
      </c>
    </row>
    <row r="121" spans="2:32" x14ac:dyDescent="0.25">
      <c r="B121" s="53" t="s">
        <v>230</v>
      </c>
      <c r="C121" s="18" t="s">
        <v>160</v>
      </c>
      <c r="D121" s="74" t="s">
        <v>757</v>
      </c>
      <c r="E121" s="75" t="s">
        <v>701</v>
      </c>
      <c r="F121" s="74" t="s">
        <v>758</v>
      </c>
      <c r="G121" s="75" t="s">
        <v>703</v>
      </c>
      <c r="H121" s="75" t="s">
        <v>285</v>
      </c>
      <c r="I121" s="74" t="s">
        <v>759</v>
      </c>
      <c r="J121" s="75" t="s">
        <v>760</v>
      </c>
      <c r="K121" s="75" t="s">
        <v>287</v>
      </c>
      <c r="L121" s="75" t="s">
        <v>287</v>
      </c>
      <c r="M121" s="75" t="s">
        <v>287</v>
      </c>
      <c r="N121" s="75" t="s">
        <v>792</v>
      </c>
      <c r="O121" s="75" t="s">
        <v>321</v>
      </c>
      <c r="P121" s="75" t="s">
        <v>287</v>
      </c>
      <c r="Q121" s="74" t="s">
        <v>793</v>
      </c>
      <c r="R121" s="75" t="s">
        <v>290</v>
      </c>
      <c r="S121" s="74" t="s">
        <v>794</v>
      </c>
      <c r="T121" s="74" t="s">
        <v>795</v>
      </c>
      <c r="U121" s="75" t="s">
        <v>285</v>
      </c>
      <c r="V121" s="75" t="s">
        <v>285</v>
      </c>
      <c r="W121" s="75" t="s">
        <v>530</v>
      </c>
      <c r="X121" s="74" t="s">
        <v>796</v>
      </c>
      <c r="Y121" s="74" t="s">
        <v>796</v>
      </c>
      <c r="Z121" s="74" t="s">
        <v>797</v>
      </c>
      <c r="AA121" s="75" t="s">
        <v>798</v>
      </c>
      <c r="AB121" s="75" t="s">
        <v>799</v>
      </c>
      <c r="AC121" s="74" t="s">
        <v>800</v>
      </c>
      <c r="AD121" s="74" t="s">
        <v>800</v>
      </c>
      <c r="AE121" s="74" t="s">
        <v>801</v>
      </c>
      <c r="AF121" s="74" t="s">
        <v>802</v>
      </c>
    </row>
    <row r="122" spans="2:32" x14ac:dyDescent="0.25">
      <c r="B122" s="53" t="s">
        <v>231</v>
      </c>
      <c r="C122" s="18" t="s">
        <v>160</v>
      </c>
      <c r="D122" s="74" t="s">
        <v>803</v>
      </c>
      <c r="E122" s="75" t="s">
        <v>804</v>
      </c>
      <c r="F122" s="74" t="s">
        <v>805</v>
      </c>
      <c r="G122" s="75" t="s">
        <v>703</v>
      </c>
      <c r="H122" s="75" t="s">
        <v>285</v>
      </c>
      <c r="I122" s="74" t="s">
        <v>806</v>
      </c>
      <c r="J122" s="75" t="s">
        <v>807</v>
      </c>
      <c r="K122" s="75" t="s">
        <v>287</v>
      </c>
      <c r="L122" s="75" t="s">
        <v>287</v>
      </c>
      <c r="M122" s="75" t="s">
        <v>287</v>
      </c>
      <c r="N122" s="75" t="s">
        <v>808</v>
      </c>
      <c r="O122" s="75" t="s">
        <v>321</v>
      </c>
      <c r="P122" s="75" t="s">
        <v>287</v>
      </c>
      <c r="Q122" s="74" t="s">
        <v>809</v>
      </c>
      <c r="R122" s="75" t="s">
        <v>290</v>
      </c>
      <c r="S122" s="74" t="s">
        <v>810</v>
      </c>
      <c r="T122" s="74" t="s">
        <v>811</v>
      </c>
      <c r="U122" s="75" t="s">
        <v>285</v>
      </c>
      <c r="V122" s="75" t="s">
        <v>285</v>
      </c>
      <c r="W122" s="75" t="s">
        <v>530</v>
      </c>
      <c r="X122" s="74" t="s">
        <v>812</v>
      </c>
      <c r="Y122" s="74" t="s">
        <v>812</v>
      </c>
      <c r="Z122" s="74" t="s">
        <v>813</v>
      </c>
      <c r="AA122" s="75" t="s">
        <v>814</v>
      </c>
      <c r="AB122" s="75" t="s">
        <v>285</v>
      </c>
      <c r="AC122" s="74" t="s">
        <v>811</v>
      </c>
      <c r="AD122" s="74" t="s">
        <v>815</v>
      </c>
      <c r="AE122" s="74" t="s">
        <v>816</v>
      </c>
      <c r="AF122" s="74" t="s">
        <v>817</v>
      </c>
    </row>
    <row r="123" spans="2:32" x14ac:dyDescent="0.25">
      <c r="B123" s="53" t="s">
        <v>232</v>
      </c>
      <c r="C123" s="18" t="s">
        <v>160</v>
      </c>
      <c r="D123" s="74" t="s">
        <v>818</v>
      </c>
      <c r="E123" s="75" t="s">
        <v>819</v>
      </c>
      <c r="F123" s="74" t="s">
        <v>820</v>
      </c>
      <c r="G123" s="75" t="s">
        <v>703</v>
      </c>
      <c r="H123" s="75" t="s">
        <v>285</v>
      </c>
      <c r="I123" s="74" t="s">
        <v>821</v>
      </c>
      <c r="J123" s="75" t="s">
        <v>822</v>
      </c>
      <c r="K123" s="75" t="s">
        <v>287</v>
      </c>
      <c r="L123" s="75" t="s">
        <v>287</v>
      </c>
      <c r="M123" s="75" t="s">
        <v>287</v>
      </c>
      <c r="N123" s="75" t="s">
        <v>823</v>
      </c>
      <c r="O123" s="75" t="s">
        <v>321</v>
      </c>
      <c r="P123" s="75" t="s">
        <v>287</v>
      </c>
      <c r="Q123" s="74" t="s">
        <v>824</v>
      </c>
      <c r="R123" s="75" t="s">
        <v>290</v>
      </c>
      <c r="S123" s="74" t="s">
        <v>825</v>
      </c>
      <c r="T123" s="74" t="s">
        <v>826</v>
      </c>
      <c r="U123" s="75" t="s">
        <v>285</v>
      </c>
      <c r="V123" s="75" t="s">
        <v>285</v>
      </c>
      <c r="W123" s="75" t="s">
        <v>530</v>
      </c>
      <c r="X123" s="74" t="s">
        <v>827</v>
      </c>
      <c r="Y123" s="74" t="s">
        <v>827</v>
      </c>
      <c r="Z123" s="74" t="s">
        <v>828</v>
      </c>
      <c r="AA123" s="75" t="s">
        <v>829</v>
      </c>
      <c r="AB123" s="75" t="s">
        <v>285</v>
      </c>
      <c r="AC123" s="74" t="s">
        <v>826</v>
      </c>
      <c r="AD123" s="74" t="s">
        <v>830</v>
      </c>
      <c r="AE123" s="74" t="s">
        <v>831</v>
      </c>
      <c r="AF123" s="74" t="s">
        <v>832</v>
      </c>
    </row>
    <row r="124" spans="2:32" x14ac:dyDescent="0.25">
      <c r="B124" s="53" t="s">
        <v>233</v>
      </c>
      <c r="C124" s="18" t="s">
        <v>160</v>
      </c>
      <c r="D124" s="74" t="s">
        <v>833</v>
      </c>
      <c r="E124" s="75" t="s">
        <v>701</v>
      </c>
      <c r="F124" s="74" t="s">
        <v>834</v>
      </c>
      <c r="G124" s="75" t="s">
        <v>703</v>
      </c>
      <c r="H124" s="75" t="s">
        <v>285</v>
      </c>
      <c r="I124" s="74" t="s">
        <v>835</v>
      </c>
      <c r="J124" s="75" t="s">
        <v>836</v>
      </c>
      <c r="K124" s="75" t="s">
        <v>287</v>
      </c>
      <c r="L124" s="75" t="s">
        <v>287</v>
      </c>
      <c r="M124" s="75" t="s">
        <v>287</v>
      </c>
      <c r="N124" s="75" t="s">
        <v>792</v>
      </c>
      <c r="O124" s="75" t="s">
        <v>321</v>
      </c>
      <c r="P124" s="75" t="s">
        <v>287</v>
      </c>
      <c r="Q124" s="74" t="s">
        <v>837</v>
      </c>
      <c r="R124" s="75" t="s">
        <v>290</v>
      </c>
      <c r="S124" s="74" t="s">
        <v>838</v>
      </c>
      <c r="T124" s="74" t="s">
        <v>839</v>
      </c>
      <c r="U124" s="75" t="s">
        <v>285</v>
      </c>
      <c r="V124" s="75" t="s">
        <v>285</v>
      </c>
      <c r="W124" s="75" t="s">
        <v>530</v>
      </c>
      <c r="X124" s="74" t="s">
        <v>840</v>
      </c>
      <c r="Y124" s="74" t="s">
        <v>840</v>
      </c>
      <c r="Z124" s="74" t="s">
        <v>841</v>
      </c>
      <c r="AA124" s="75" t="s">
        <v>842</v>
      </c>
      <c r="AB124" s="75" t="s">
        <v>285</v>
      </c>
      <c r="AC124" s="74" t="s">
        <v>839</v>
      </c>
      <c r="AD124" s="74" t="s">
        <v>843</v>
      </c>
      <c r="AE124" s="74" t="s">
        <v>844</v>
      </c>
      <c r="AF124" s="74" t="s">
        <v>845</v>
      </c>
    </row>
    <row r="125" spans="2:32" x14ac:dyDescent="0.25">
      <c r="B125" s="53" t="s">
        <v>234</v>
      </c>
      <c r="C125" s="18" t="s">
        <v>160</v>
      </c>
      <c r="D125" s="74" t="s">
        <v>846</v>
      </c>
      <c r="E125" s="75" t="s">
        <v>701</v>
      </c>
      <c r="F125" s="74" t="s">
        <v>847</v>
      </c>
      <c r="G125" s="75" t="s">
        <v>703</v>
      </c>
      <c r="H125" s="75" t="s">
        <v>285</v>
      </c>
      <c r="I125" s="74" t="s">
        <v>848</v>
      </c>
      <c r="J125" s="75" t="s">
        <v>849</v>
      </c>
      <c r="K125" s="75" t="s">
        <v>287</v>
      </c>
      <c r="L125" s="75" t="s">
        <v>287</v>
      </c>
      <c r="M125" s="75" t="s">
        <v>287</v>
      </c>
      <c r="N125" s="75" t="s">
        <v>792</v>
      </c>
      <c r="O125" s="75" t="s">
        <v>321</v>
      </c>
      <c r="P125" s="75" t="s">
        <v>287</v>
      </c>
      <c r="Q125" s="74" t="s">
        <v>850</v>
      </c>
      <c r="R125" s="75" t="s">
        <v>290</v>
      </c>
      <c r="S125" s="74" t="s">
        <v>851</v>
      </c>
      <c r="T125" s="74" t="s">
        <v>852</v>
      </c>
      <c r="U125" s="75" t="s">
        <v>285</v>
      </c>
      <c r="V125" s="75" t="s">
        <v>285</v>
      </c>
      <c r="W125" s="75" t="s">
        <v>530</v>
      </c>
      <c r="X125" s="74" t="s">
        <v>853</v>
      </c>
      <c r="Y125" s="74" t="s">
        <v>853</v>
      </c>
      <c r="Z125" s="74" t="s">
        <v>854</v>
      </c>
      <c r="AA125" s="75" t="s">
        <v>855</v>
      </c>
      <c r="AB125" s="75" t="s">
        <v>285</v>
      </c>
      <c r="AC125" s="74" t="s">
        <v>852</v>
      </c>
      <c r="AD125" s="74" t="s">
        <v>856</v>
      </c>
      <c r="AE125" s="74" t="s">
        <v>857</v>
      </c>
      <c r="AF125" s="74" t="s">
        <v>858</v>
      </c>
    </row>
    <row r="126" spans="2:32" x14ac:dyDescent="0.25">
      <c r="B126" s="53" t="s">
        <v>235</v>
      </c>
      <c r="C126" s="18" t="s">
        <v>160</v>
      </c>
      <c r="D126" s="74" t="s">
        <v>700</v>
      </c>
      <c r="E126" s="75" t="s">
        <v>701</v>
      </c>
      <c r="F126" s="74" t="s">
        <v>702</v>
      </c>
      <c r="G126" s="75" t="s">
        <v>703</v>
      </c>
      <c r="H126" s="75" t="s">
        <v>285</v>
      </c>
      <c r="I126" s="74" t="s">
        <v>704</v>
      </c>
      <c r="J126" s="75" t="s">
        <v>287</v>
      </c>
      <c r="K126" s="75" t="s">
        <v>287</v>
      </c>
      <c r="L126" s="75" t="s">
        <v>287</v>
      </c>
      <c r="M126" s="75" t="s">
        <v>287</v>
      </c>
      <c r="N126" s="75" t="s">
        <v>705</v>
      </c>
      <c r="O126" s="75" t="s">
        <v>321</v>
      </c>
      <c r="P126" s="75" t="s">
        <v>287</v>
      </c>
      <c r="Q126" s="74" t="s">
        <v>706</v>
      </c>
      <c r="R126" s="75" t="s">
        <v>290</v>
      </c>
      <c r="S126" s="74" t="s">
        <v>707</v>
      </c>
      <c r="T126" s="74" t="s">
        <v>708</v>
      </c>
      <c r="U126" s="75" t="s">
        <v>285</v>
      </c>
      <c r="V126" s="75" t="s">
        <v>285</v>
      </c>
      <c r="W126" s="75" t="s">
        <v>530</v>
      </c>
      <c r="X126" s="74" t="s">
        <v>709</v>
      </c>
      <c r="Y126" s="74" t="s">
        <v>709</v>
      </c>
      <c r="Z126" s="74" t="s">
        <v>710</v>
      </c>
      <c r="AA126" s="75" t="s">
        <v>285</v>
      </c>
      <c r="AB126" s="75" t="s">
        <v>285</v>
      </c>
      <c r="AC126" s="74" t="s">
        <v>708</v>
      </c>
      <c r="AD126" s="75" t="s">
        <v>285</v>
      </c>
      <c r="AE126" s="74" t="s">
        <v>710</v>
      </c>
      <c r="AF126" s="74" t="s">
        <v>859</v>
      </c>
    </row>
    <row r="127" spans="2:32" x14ac:dyDescent="0.25">
      <c r="B127" s="53" t="s">
        <v>236</v>
      </c>
      <c r="C127" s="18" t="s">
        <v>160</v>
      </c>
      <c r="D127" s="74" t="s">
        <v>700</v>
      </c>
      <c r="E127" s="75" t="s">
        <v>715</v>
      </c>
      <c r="F127" s="74" t="s">
        <v>716</v>
      </c>
      <c r="G127" s="75" t="s">
        <v>703</v>
      </c>
      <c r="H127" s="75" t="s">
        <v>285</v>
      </c>
      <c r="I127" s="74" t="s">
        <v>717</v>
      </c>
      <c r="J127" s="75" t="s">
        <v>287</v>
      </c>
      <c r="K127" s="75" t="s">
        <v>287</v>
      </c>
      <c r="L127" s="75" t="s">
        <v>287</v>
      </c>
      <c r="M127" s="75" t="s">
        <v>287</v>
      </c>
      <c r="N127" s="75" t="s">
        <v>718</v>
      </c>
      <c r="O127" s="75" t="s">
        <v>321</v>
      </c>
      <c r="P127" s="75" t="s">
        <v>287</v>
      </c>
      <c r="Q127" s="74" t="s">
        <v>719</v>
      </c>
      <c r="R127" s="75" t="s">
        <v>290</v>
      </c>
      <c r="S127" s="74" t="s">
        <v>720</v>
      </c>
      <c r="T127" s="74" t="s">
        <v>721</v>
      </c>
      <c r="U127" s="75" t="s">
        <v>285</v>
      </c>
      <c r="V127" s="75" t="s">
        <v>285</v>
      </c>
      <c r="W127" s="75" t="s">
        <v>530</v>
      </c>
      <c r="X127" s="74" t="s">
        <v>722</v>
      </c>
      <c r="Y127" s="74" t="s">
        <v>722</v>
      </c>
      <c r="Z127" s="74" t="s">
        <v>723</v>
      </c>
      <c r="AA127" s="75" t="s">
        <v>860</v>
      </c>
      <c r="AB127" s="75" t="s">
        <v>725</v>
      </c>
      <c r="AC127" s="74" t="s">
        <v>726</v>
      </c>
      <c r="AD127" s="74" t="s">
        <v>726</v>
      </c>
      <c r="AE127" s="74" t="s">
        <v>861</v>
      </c>
      <c r="AF127" s="74" t="s">
        <v>862</v>
      </c>
    </row>
    <row r="128" spans="2:32" x14ac:dyDescent="0.25">
      <c r="B128" s="53" t="s">
        <v>237</v>
      </c>
      <c r="C128" s="18" t="s">
        <v>160</v>
      </c>
      <c r="D128" s="74" t="s">
        <v>700</v>
      </c>
      <c r="E128" s="75" t="s">
        <v>729</v>
      </c>
      <c r="F128" s="74" t="s">
        <v>730</v>
      </c>
      <c r="G128" s="75" t="s">
        <v>703</v>
      </c>
      <c r="H128" s="75" t="s">
        <v>285</v>
      </c>
      <c r="I128" s="74" t="s">
        <v>731</v>
      </c>
      <c r="J128" s="75" t="s">
        <v>287</v>
      </c>
      <c r="K128" s="75" t="s">
        <v>287</v>
      </c>
      <c r="L128" s="75" t="s">
        <v>287</v>
      </c>
      <c r="M128" s="75" t="s">
        <v>287</v>
      </c>
      <c r="N128" s="75" t="s">
        <v>732</v>
      </c>
      <c r="O128" s="75" t="s">
        <v>321</v>
      </c>
      <c r="P128" s="75" t="s">
        <v>287</v>
      </c>
      <c r="Q128" s="74" t="s">
        <v>733</v>
      </c>
      <c r="R128" s="75" t="s">
        <v>290</v>
      </c>
      <c r="S128" s="74" t="s">
        <v>734</v>
      </c>
      <c r="T128" s="74" t="s">
        <v>735</v>
      </c>
      <c r="U128" s="75" t="s">
        <v>285</v>
      </c>
      <c r="V128" s="75" t="s">
        <v>285</v>
      </c>
      <c r="W128" s="75" t="s">
        <v>530</v>
      </c>
      <c r="X128" s="74" t="s">
        <v>736</v>
      </c>
      <c r="Y128" s="74" t="s">
        <v>736</v>
      </c>
      <c r="Z128" s="74" t="s">
        <v>737</v>
      </c>
      <c r="AA128" s="75" t="s">
        <v>863</v>
      </c>
      <c r="AB128" s="75" t="s">
        <v>739</v>
      </c>
      <c r="AC128" s="74" t="s">
        <v>740</v>
      </c>
      <c r="AD128" s="74" t="s">
        <v>740</v>
      </c>
      <c r="AE128" s="74" t="s">
        <v>864</v>
      </c>
      <c r="AF128" s="74" t="s">
        <v>865</v>
      </c>
    </row>
    <row r="129" spans="2:32" x14ac:dyDescent="0.25">
      <c r="B129" s="53" t="s">
        <v>238</v>
      </c>
      <c r="C129" s="18" t="s">
        <v>160</v>
      </c>
      <c r="D129" s="74" t="s">
        <v>700</v>
      </c>
      <c r="E129" s="75" t="s">
        <v>744</v>
      </c>
      <c r="F129" s="74" t="s">
        <v>866</v>
      </c>
      <c r="G129" s="75" t="s">
        <v>703</v>
      </c>
      <c r="H129" s="75" t="s">
        <v>285</v>
      </c>
      <c r="I129" s="74" t="s">
        <v>867</v>
      </c>
      <c r="J129" s="75" t="s">
        <v>287</v>
      </c>
      <c r="K129" s="75" t="s">
        <v>287</v>
      </c>
      <c r="L129" s="75" t="s">
        <v>287</v>
      </c>
      <c r="M129" s="75" t="s">
        <v>287</v>
      </c>
      <c r="N129" s="75" t="s">
        <v>747</v>
      </c>
      <c r="O129" s="75" t="s">
        <v>321</v>
      </c>
      <c r="P129" s="75" t="s">
        <v>287</v>
      </c>
      <c r="Q129" s="74" t="s">
        <v>868</v>
      </c>
      <c r="R129" s="75" t="s">
        <v>290</v>
      </c>
      <c r="S129" s="74" t="s">
        <v>869</v>
      </c>
      <c r="T129" s="74" t="s">
        <v>870</v>
      </c>
      <c r="U129" s="75" t="s">
        <v>285</v>
      </c>
      <c r="V129" s="75" t="s">
        <v>285</v>
      </c>
      <c r="W129" s="75" t="s">
        <v>530</v>
      </c>
      <c r="X129" s="74" t="s">
        <v>871</v>
      </c>
      <c r="Y129" s="74" t="s">
        <v>871</v>
      </c>
      <c r="Z129" s="74" t="s">
        <v>872</v>
      </c>
      <c r="AA129" s="75" t="s">
        <v>873</v>
      </c>
      <c r="AB129" s="75" t="s">
        <v>285</v>
      </c>
      <c r="AC129" s="74" t="s">
        <v>870</v>
      </c>
      <c r="AD129" s="74" t="s">
        <v>874</v>
      </c>
      <c r="AE129" s="74" t="s">
        <v>875</v>
      </c>
      <c r="AF129" s="74" t="s">
        <v>876</v>
      </c>
    </row>
    <row r="130" spans="2:32" x14ac:dyDescent="0.25">
      <c r="B130" s="53" t="s">
        <v>239</v>
      </c>
      <c r="C130" s="18" t="s">
        <v>160</v>
      </c>
      <c r="D130" s="74" t="s">
        <v>700</v>
      </c>
      <c r="E130" s="75" t="s">
        <v>701</v>
      </c>
      <c r="F130" s="74" t="s">
        <v>702</v>
      </c>
      <c r="G130" s="75" t="s">
        <v>703</v>
      </c>
      <c r="H130" s="75" t="s">
        <v>285</v>
      </c>
      <c r="I130" s="74" t="s">
        <v>704</v>
      </c>
      <c r="J130" s="75" t="s">
        <v>287</v>
      </c>
      <c r="K130" s="75" t="s">
        <v>287</v>
      </c>
      <c r="L130" s="75" t="s">
        <v>287</v>
      </c>
      <c r="M130" s="75" t="s">
        <v>287</v>
      </c>
      <c r="N130" s="75" t="s">
        <v>761</v>
      </c>
      <c r="O130" s="75" t="s">
        <v>321</v>
      </c>
      <c r="P130" s="75" t="s">
        <v>287</v>
      </c>
      <c r="Q130" s="74" t="s">
        <v>877</v>
      </c>
      <c r="R130" s="75" t="s">
        <v>290</v>
      </c>
      <c r="S130" s="74" t="s">
        <v>878</v>
      </c>
      <c r="T130" s="74" t="s">
        <v>879</v>
      </c>
      <c r="U130" s="75" t="s">
        <v>285</v>
      </c>
      <c r="V130" s="75" t="s">
        <v>285</v>
      </c>
      <c r="W130" s="75" t="s">
        <v>530</v>
      </c>
      <c r="X130" s="74" t="s">
        <v>880</v>
      </c>
      <c r="Y130" s="74" t="s">
        <v>880</v>
      </c>
      <c r="Z130" s="74" t="s">
        <v>881</v>
      </c>
      <c r="AA130" s="75" t="s">
        <v>882</v>
      </c>
      <c r="AB130" s="75" t="s">
        <v>285</v>
      </c>
      <c r="AC130" s="74" t="s">
        <v>879</v>
      </c>
      <c r="AD130" s="74" t="s">
        <v>488</v>
      </c>
      <c r="AE130" s="74" t="s">
        <v>883</v>
      </c>
      <c r="AF130" s="74" t="s">
        <v>884</v>
      </c>
    </row>
    <row r="131" spans="2:32" x14ac:dyDescent="0.25">
      <c r="B131" s="53" t="s">
        <v>240</v>
      </c>
      <c r="C131" s="18" t="s">
        <v>160</v>
      </c>
      <c r="D131" s="74" t="s">
        <v>700</v>
      </c>
      <c r="E131" s="75" t="s">
        <v>701</v>
      </c>
      <c r="F131" s="74" t="s">
        <v>702</v>
      </c>
      <c r="G131" s="75" t="s">
        <v>703</v>
      </c>
      <c r="H131" s="75" t="s">
        <v>285</v>
      </c>
      <c r="I131" s="74" t="s">
        <v>704</v>
      </c>
      <c r="J131" s="75" t="s">
        <v>287</v>
      </c>
      <c r="K131" s="75" t="s">
        <v>287</v>
      </c>
      <c r="L131" s="75" t="s">
        <v>287</v>
      </c>
      <c r="M131" s="75" t="s">
        <v>287</v>
      </c>
      <c r="N131" s="75" t="s">
        <v>771</v>
      </c>
      <c r="O131" s="75" t="s">
        <v>321</v>
      </c>
      <c r="P131" s="75" t="s">
        <v>287</v>
      </c>
      <c r="Q131" s="74" t="s">
        <v>885</v>
      </c>
      <c r="R131" s="75" t="s">
        <v>290</v>
      </c>
      <c r="S131" s="74" t="s">
        <v>886</v>
      </c>
      <c r="T131" s="74" t="s">
        <v>887</v>
      </c>
      <c r="U131" s="75" t="s">
        <v>285</v>
      </c>
      <c r="V131" s="75" t="s">
        <v>285</v>
      </c>
      <c r="W131" s="75" t="s">
        <v>530</v>
      </c>
      <c r="X131" s="74" t="s">
        <v>888</v>
      </c>
      <c r="Y131" s="74" t="s">
        <v>888</v>
      </c>
      <c r="Z131" s="74" t="s">
        <v>889</v>
      </c>
      <c r="AA131" s="75" t="s">
        <v>890</v>
      </c>
      <c r="AB131" s="75" t="s">
        <v>891</v>
      </c>
      <c r="AC131" s="74" t="s">
        <v>892</v>
      </c>
      <c r="AD131" s="74" t="s">
        <v>892</v>
      </c>
      <c r="AE131" s="74" t="s">
        <v>893</v>
      </c>
      <c r="AF131" s="74" t="s">
        <v>894</v>
      </c>
    </row>
    <row r="132" spans="2:32" x14ac:dyDescent="0.25">
      <c r="B132" s="53" t="s">
        <v>241</v>
      </c>
      <c r="C132" s="18" t="s">
        <v>160</v>
      </c>
      <c r="D132" s="74" t="s">
        <v>700</v>
      </c>
      <c r="E132" s="75" t="s">
        <v>701</v>
      </c>
      <c r="F132" s="74" t="s">
        <v>702</v>
      </c>
      <c r="G132" s="75" t="s">
        <v>703</v>
      </c>
      <c r="H132" s="75" t="s">
        <v>285</v>
      </c>
      <c r="I132" s="74" t="s">
        <v>704</v>
      </c>
      <c r="J132" s="75" t="s">
        <v>287</v>
      </c>
      <c r="K132" s="75" t="s">
        <v>287</v>
      </c>
      <c r="L132" s="75" t="s">
        <v>287</v>
      </c>
      <c r="M132" s="75" t="s">
        <v>287</v>
      </c>
      <c r="N132" s="75" t="s">
        <v>781</v>
      </c>
      <c r="O132" s="75" t="s">
        <v>321</v>
      </c>
      <c r="P132" s="75" t="s">
        <v>287</v>
      </c>
      <c r="Q132" s="74" t="s">
        <v>895</v>
      </c>
      <c r="R132" s="75" t="s">
        <v>290</v>
      </c>
      <c r="S132" s="74" t="s">
        <v>896</v>
      </c>
      <c r="T132" s="74" t="s">
        <v>897</v>
      </c>
      <c r="U132" s="75" t="s">
        <v>285</v>
      </c>
      <c r="V132" s="75" t="s">
        <v>285</v>
      </c>
      <c r="W132" s="75" t="s">
        <v>530</v>
      </c>
      <c r="X132" s="74" t="s">
        <v>898</v>
      </c>
      <c r="Y132" s="74" t="s">
        <v>898</v>
      </c>
      <c r="Z132" s="74" t="s">
        <v>899</v>
      </c>
      <c r="AA132" s="75" t="s">
        <v>900</v>
      </c>
      <c r="AB132" s="75" t="s">
        <v>901</v>
      </c>
      <c r="AC132" s="74" t="s">
        <v>902</v>
      </c>
      <c r="AD132" s="74" t="s">
        <v>902</v>
      </c>
      <c r="AE132" s="74" t="s">
        <v>903</v>
      </c>
      <c r="AF132" s="74" t="s">
        <v>904</v>
      </c>
    </row>
    <row r="133" spans="2:32" x14ac:dyDescent="0.25">
      <c r="B133" s="53" t="s">
        <v>242</v>
      </c>
      <c r="C133" s="18" t="s">
        <v>160</v>
      </c>
      <c r="D133" s="74" t="s">
        <v>700</v>
      </c>
      <c r="E133" s="75" t="s">
        <v>701</v>
      </c>
      <c r="F133" s="74" t="s">
        <v>702</v>
      </c>
      <c r="G133" s="75" t="s">
        <v>703</v>
      </c>
      <c r="H133" s="75" t="s">
        <v>285</v>
      </c>
      <c r="I133" s="74" t="s">
        <v>704</v>
      </c>
      <c r="J133" s="75" t="s">
        <v>287</v>
      </c>
      <c r="K133" s="75" t="s">
        <v>287</v>
      </c>
      <c r="L133" s="75" t="s">
        <v>287</v>
      </c>
      <c r="M133" s="75" t="s">
        <v>287</v>
      </c>
      <c r="N133" s="75" t="s">
        <v>705</v>
      </c>
      <c r="O133" s="75" t="s">
        <v>321</v>
      </c>
      <c r="P133" s="75" t="s">
        <v>287</v>
      </c>
      <c r="Q133" s="74" t="s">
        <v>706</v>
      </c>
      <c r="R133" s="75" t="s">
        <v>290</v>
      </c>
      <c r="S133" s="74" t="s">
        <v>707</v>
      </c>
      <c r="T133" s="74" t="s">
        <v>708</v>
      </c>
      <c r="U133" s="75" t="s">
        <v>285</v>
      </c>
      <c r="V133" s="75" t="s">
        <v>285</v>
      </c>
      <c r="W133" s="75" t="s">
        <v>530</v>
      </c>
      <c r="X133" s="74" t="s">
        <v>709</v>
      </c>
      <c r="Y133" s="74" t="s">
        <v>709</v>
      </c>
      <c r="Z133" s="74" t="s">
        <v>710</v>
      </c>
      <c r="AA133" s="75" t="s">
        <v>905</v>
      </c>
      <c r="AB133" s="75" t="s">
        <v>906</v>
      </c>
      <c r="AC133" s="74" t="s">
        <v>907</v>
      </c>
      <c r="AD133" s="74" t="s">
        <v>907</v>
      </c>
      <c r="AE133" s="74" t="s">
        <v>908</v>
      </c>
      <c r="AF133" s="74" t="s">
        <v>909</v>
      </c>
    </row>
    <row r="134" spans="2:32" x14ac:dyDescent="0.25">
      <c r="B134" s="53" t="s">
        <v>243</v>
      </c>
      <c r="C134" s="18" t="s">
        <v>160</v>
      </c>
      <c r="D134" s="74" t="s">
        <v>700</v>
      </c>
      <c r="E134" s="75" t="s">
        <v>804</v>
      </c>
      <c r="F134" s="74" t="s">
        <v>910</v>
      </c>
      <c r="G134" s="75" t="s">
        <v>703</v>
      </c>
      <c r="H134" s="75" t="s">
        <v>285</v>
      </c>
      <c r="I134" s="74" t="s">
        <v>911</v>
      </c>
      <c r="J134" s="75" t="s">
        <v>287</v>
      </c>
      <c r="K134" s="75" t="s">
        <v>287</v>
      </c>
      <c r="L134" s="75" t="s">
        <v>287</v>
      </c>
      <c r="M134" s="75" t="s">
        <v>287</v>
      </c>
      <c r="N134" s="75" t="s">
        <v>912</v>
      </c>
      <c r="O134" s="75" t="s">
        <v>321</v>
      </c>
      <c r="P134" s="75" t="s">
        <v>287</v>
      </c>
      <c r="Q134" s="74" t="s">
        <v>913</v>
      </c>
      <c r="R134" s="75" t="s">
        <v>290</v>
      </c>
      <c r="S134" s="74" t="s">
        <v>914</v>
      </c>
      <c r="T134" s="74" t="s">
        <v>915</v>
      </c>
      <c r="U134" s="75" t="s">
        <v>285</v>
      </c>
      <c r="V134" s="75" t="s">
        <v>285</v>
      </c>
      <c r="W134" s="75" t="s">
        <v>530</v>
      </c>
      <c r="X134" s="74" t="s">
        <v>916</v>
      </c>
      <c r="Y134" s="74" t="s">
        <v>916</v>
      </c>
      <c r="Z134" s="74" t="s">
        <v>917</v>
      </c>
      <c r="AA134" s="75" t="s">
        <v>918</v>
      </c>
      <c r="AB134" s="75" t="s">
        <v>285</v>
      </c>
      <c r="AC134" s="74" t="s">
        <v>915</v>
      </c>
      <c r="AD134" s="74" t="s">
        <v>919</v>
      </c>
      <c r="AE134" s="74" t="s">
        <v>920</v>
      </c>
      <c r="AF134" s="74" t="s">
        <v>921</v>
      </c>
    </row>
    <row r="135" spans="2:32" x14ac:dyDescent="0.25">
      <c r="B135" s="53" t="s">
        <v>244</v>
      </c>
      <c r="C135" s="18" t="s">
        <v>160</v>
      </c>
      <c r="D135" s="74" t="s">
        <v>700</v>
      </c>
      <c r="E135" s="75" t="s">
        <v>701</v>
      </c>
      <c r="F135" s="74" t="s">
        <v>702</v>
      </c>
      <c r="G135" s="75" t="s">
        <v>703</v>
      </c>
      <c r="H135" s="75" t="s">
        <v>285</v>
      </c>
      <c r="I135" s="74" t="s">
        <v>704</v>
      </c>
      <c r="J135" s="75" t="s">
        <v>287</v>
      </c>
      <c r="K135" s="75" t="s">
        <v>287</v>
      </c>
      <c r="L135" s="75" t="s">
        <v>287</v>
      </c>
      <c r="M135" s="75" t="s">
        <v>287</v>
      </c>
      <c r="N135" s="75" t="s">
        <v>705</v>
      </c>
      <c r="O135" s="75" t="s">
        <v>321</v>
      </c>
      <c r="P135" s="75" t="s">
        <v>287</v>
      </c>
      <c r="Q135" s="74" t="s">
        <v>706</v>
      </c>
      <c r="R135" s="75" t="s">
        <v>290</v>
      </c>
      <c r="S135" s="74" t="s">
        <v>707</v>
      </c>
      <c r="T135" s="74" t="s">
        <v>708</v>
      </c>
      <c r="U135" s="75" t="s">
        <v>285</v>
      </c>
      <c r="V135" s="75" t="s">
        <v>285</v>
      </c>
      <c r="W135" s="75" t="s">
        <v>530</v>
      </c>
      <c r="X135" s="74" t="s">
        <v>709</v>
      </c>
      <c r="Y135" s="74" t="s">
        <v>709</v>
      </c>
      <c r="Z135" s="74" t="s">
        <v>710</v>
      </c>
      <c r="AA135" s="75" t="s">
        <v>922</v>
      </c>
      <c r="AB135" s="75" t="s">
        <v>285</v>
      </c>
      <c r="AC135" s="74" t="s">
        <v>708</v>
      </c>
      <c r="AD135" s="74" t="s">
        <v>285</v>
      </c>
      <c r="AE135" s="74" t="s">
        <v>922</v>
      </c>
      <c r="AF135" s="74" t="s">
        <v>923</v>
      </c>
    </row>
    <row r="136" spans="2:32" x14ac:dyDescent="0.25">
      <c r="B136" s="53" t="s">
        <v>245</v>
      </c>
      <c r="C136" s="18" t="s">
        <v>160</v>
      </c>
      <c r="D136" s="74" t="s">
        <v>700</v>
      </c>
      <c r="E136" s="75" t="s">
        <v>701</v>
      </c>
      <c r="F136" s="74" t="s">
        <v>702</v>
      </c>
      <c r="G136" s="75" t="s">
        <v>703</v>
      </c>
      <c r="H136" s="75" t="s">
        <v>285</v>
      </c>
      <c r="I136" s="74" t="s">
        <v>704</v>
      </c>
      <c r="J136" s="75" t="s">
        <v>287</v>
      </c>
      <c r="K136" s="75" t="s">
        <v>287</v>
      </c>
      <c r="L136" s="75" t="s">
        <v>287</v>
      </c>
      <c r="M136" s="75" t="s">
        <v>287</v>
      </c>
      <c r="N136" s="75" t="s">
        <v>705</v>
      </c>
      <c r="O136" s="75" t="s">
        <v>321</v>
      </c>
      <c r="P136" s="75" t="s">
        <v>287</v>
      </c>
      <c r="Q136" s="74" t="s">
        <v>706</v>
      </c>
      <c r="R136" s="75" t="s">
        <v>290</v>
      </c>
      <c r="S136" s="74" t="s">
        <v>707</v>
      </c>
      <c r="T136" s="74" t="s">
        <v>708</v>
      </c>
      <c r="U136" s="75" t="s">
        <v>285</v>
      </c>
      <c r="V136" s="75" t="s">
        <v>285</v>
      </c>
      <c r="W136" s="75" t="s">
        <v>530</v>
      </c>
      <c r="X136" s="74" t="s">
        <v>709</v>
      </c>
      <c r="Y136" s="74" t="s">
        <v>709</v>
      </c>
      <c r="Z136" s="74" t="s">
        <v>710</v>
      </c>
      <c r="AA136" s="75" t="s">
        <v>924</v>
      </c>
      <c r="AB136" s="75" t="s">
        <v>285</v>
      </c>
      <c r="AC136" s="74" t="s">
        <v>708</v>
      </c>
      <c r="AD136" s="74" t="s">
        <v>925</v>
      </c>
      <c r="AE136" s="74" t="s">
        <v>926</v>
      </c>
      <c r="AF136" s="74" t="s">
        <v>927</v>
      </c>
    </row>
    <row r="137" spans="2:32" x14ac:dyDescent="0.25">
      <c r="B137" s="53" t="s">
        <v>246</v>
      </c>
      <c r="C137" s="18" t="s">
        <v>160</v>
      </c>
      <c r="D137" s="74" t="s">
        <v>700</v>
      </c>
      <c r="E137" s="75" t="s">
        <v>701</v>
      </c>
      <c r="F137" s="74" t="s">
        <v>702</v>
      </c>
      <c r="G137" s="75" t="s">
        <v>703</v>
      </c>
      <c r="H137" s="75" t="s">
        <v>285</v>
      </c>
      <c r="I137" s="74" t="s">
        <v>704</v>
      </c>
      <c r="J137" s="75" t="s">
        <v>287</v>
      </c>
      <c r="K137" s="75" t="s">
        <v>287</v>
      </c>
      <c r="L137" s="75" t="s">
        <v>287</v>
      </c>
      <c r="M137" s="75" t="s">
        <v>287</v>
      </c>
      <c r="N137" s="75" t="s">
        <v>705</v>
      </c>
      <c r="O137" s="75" t="s">
        <v>321</v>
      </c>
      <c r="P137" s="75" t="s">
        <v>287</v>
      </c>
      <c r="Q137" s="74" t="s">
        <v>706</v>
      </c>
      <c r="R137" s="75" t="s">
        <v>290</v>
      </c>
      <c r="S137" s="74" t="s">
        <v>707</v>
      </c>
      <c r="T137" s="74" t="s">
        <v>708</v>
      </c>
      <c r="U137" s="75" t="s">
        <v>285</v>
      </c>
      <c r="V137" s="75" t="s">
        <v>285</v>
      </c>
      <c r="W137" s="75" t="s">
        <v>530</v>
      </c>
      <c r="X137" s="74" t="s">
        <v>709</v>
      </c>
      <c r="Y137" s="74" t="s">
        <v>709</v>
      </c>
      <c r="Z137" s="74" t="s">
        <v>710</v>
      </c>
      <c r="AA137" s="75" t="s">
        <v>860</v>
      </c>
      <c r="AB137" s="75" t="s">
        <v>285</v>
      </c>
      <c r="AC137" s="74" t="s">
        <v>708</v>
      </c>
      <c r="AD137" s="74" t="s">
        <v>928</v>
      </c>
      <c r="AE137" s="74" t="s">
        <v>929</v>
      </c>
      <c r="AF137" s="74" t="s">
        <v>930</v>
      </c>
    </row>
    <row r="138" spans="2:32" x14ac:dyDescent="0.25">
      <c r="B138" s="72" t="s">
        <v>950</v>
      </c>
      <c r="C138" s="18" t="s">
        <v>160</v>
      </c>
    </row>
    <row r="139" spans="2:32" x14ac:dyDescent="0.25">
      <c r="B139" s="72" t="s">
        <v>951</v>
      </c>
      <c r="C139" s="18" t="s">
        <v>160</v>
      </c>
    </row>
    <row r="140" spans="2:32" x14ac:dyDescent="0.25">
      <c r="B140" s="72" t="s">
        <v>952</v>
      </c>
      <c r="C140" s="18" t="s">
        <v>160</v>
      </c>
    </row>
    <row r="141" spans="2:32" x14ac:dyDescent="0.25">
      <c r="B141" s="72" t="s">
        <v>953</v>
      </c>
      <c r="C141" s="18" t="s">
        <v>160</v>
      </c>
    </row>
    <row r="142" spans="2:32" x14ac:dyDescent="0.25">
      <c r="B142" s="72" t="s">
        <v>954</v>
      </c>
      <c r="C142" s="18" t="s">
        <v>160</v>
      </c>
    </row>
    <row r="143" spans="2:32" x14ac:dyDescent="0.25">
      <c r="B143" s="72" t="s">
        <v>955</v>
      </c>
      <c r="C143" s="18" t="s">
        <v>160</v>
      </c>
    </row>
    <row r="144" spans="2:32" x14ac:dyDescent="0.25">
      <c r="B144" s="72" t="s">
        <v>956</v>
      </c>
      <c r="C144" s="18" t="s">
        <v>160</v>
      </c>
    </row>
    <row r="145" spans="2:4" x14ac:dyDescent="0.25">
      <c r="B145" s="72" t="s">
        <v>957</v>
      </c>
      <c r="C145" s="18" t="s">
        <v>160</v>
      </c>
    </row>
    <row r="151" spans="2:4" x14ac:dyDescent="0.25">
      <c r="B151" s="444" t="s">
        <v>1014</v>
      </c>
      <c r="C151" s="444"/>
      <c r="D151" s="444"/>
    </row>
    <row r="152" spans="2:4" x14ac:dyDescent="0.25">
      <c r="B152" s="5" t="s">
        <v>3</v>
      </c>
      <c r="C152" s="5" t="s">
        <v>6</v>
      </c>
      <c r="D152" s="5">
        <v>4</v>
      </c>
    </row>
    <row r="153" spans="2:4" x14ac:dyDescent="0.25">
      <c r="B153" s="79" t="s">
        <v>10</v>
      </c>
      <c r="C153" s="63" t="s">
        <v>1098</v>
      </c>
      <c r="D153" s="79" t="s">
        <v>11</v>
      </c>
    </row>
    <row r="154" spans="2:4" x14ac:dyDescent="0.25">
      <c r="B154" s="80" t="s">
        <v>1015</v>
      </c>
      <c r="C154" s="6" t="s">
        <v>1099</v>
      </c>
      <c r="D154" s="81" t="s">
        <v>17</v>
      </c>
    </row>
    <row r="155" spans="2:4" x14ac:dyDescent="0.25">
      <c r="B155" s="84">
        <v>43466</v>
      </c>
      <c r="C155" s="18" t="s">
        <v>160</v>
      </c>
      <c r="D155" s="82">
        <v>1</v>
      </c>
    </row>
    <row r="156" spans="2:4" x14ac:dyDescent="0.25">
      <c r="B156" s="84">
        <v>43831</v>
      </c>
      <c r="C156" s="18" t="s">
        <v>160</v>
      </c>
      <c r="D156" s="82">
        <v>1.0185487748166799</v>
      </c>
    </row>
    <row r="157" spans="2:4" x14ac:dyDescent="0.25">
      <c r="B157" s="84">
        <v>44197</v>
      </c>
      <c r="C157" s="18" t="s">
        <v>160</v>
      </c>
      <c r="D157" s="82">
        <v>1.0542973452879101</v>
      </c>
    </row>
    <row r="158" spans="2:4" x14ac:dyDescent="0.25">
      <c r="B158" s="84">
        <v>44562</v>
      </c>
      <c r="C158" s="18" t="s">
        <v>160</v>
      </c>
      <c r="D158" s="82">
        <v>1.0911977523729799</v>
      </c>
    </row>
    <row r="159" spans="2:4" x14ac:dyDescent="0.25">
      <c r="B159" s="84">
        <v>44927</v>
      </c>
      <c r="C159" s="18" t="s">
        <v>160</v>
      </c>
      <c r="D159" s="82">
        <v>1.12938967370604</v>
      </c>
    </row>
    <row r="160" spans="2:4" x14ac:dyDescent="0.25">
      <c r="B160" s="85">
        <v>46189</v>
      </c>
      <c r="C160" s="19" t="s">
        <v>160</v>
      </c>
      <c r="D160" s="83">
        <v>1.2720394594958599</v>
      </c>
    </row>
    <row r="163" spans="2:5" x14ac:dyDescent="0.25">
      <c r="B163" s="444" t="s">
        <v>1016</v>
      </c>
      <c r="C163" s="444"/>
      <c r="D163" s="444"/>
    </row>
    <row r="164" spans="2:5" x14ac:dyDescent="0.25">
      <c r="B164" s="5" t="s">
        <v>3</v>
      </c>
      <c r="C164" s="5" t="s">
        <v>6</v>
      </c>
      <c r="D164" s="5">
        <v>4</v>
      </c>
    </row>
    <row r="165" spans="2:5" x14ac:dyDescent="0.25">
      <c r="B165" s="79" t="s">
        <v>153</v>
      </c>
      <c r="C165" s="79" t="s">
        <v>100</v>
      </c>
      <c r="D165" s="63" t="s">
        <v>1098</v>
      </c>
      <c r="E165" s="79" t="s">
        <v>11</v>
      </c>
    </row>
    <row r="166" spans="2:5" x14ac:dyDescent="0.25">
      <c r="B166" s="80" t="s">
        <v>268</v>
      </c>
      <c r="C166" s="80" t="s">
        <v>1017</v>
      </c>
      <c r="D166" s="6" t="s">
        <v>1099</v>
      </c>
      <c r="E166" s="81" t="s">
        <v>17</v>
      </c>
    </row>
    <row r="167" spans="2:5" x14ac:dyDescent="0.25">
      <c r="B167" s="69" t="s">
        <v>160</v>
      </c>
      <c r="C167" s="86">
        <v>1</v>
      </c>
      <c r="D167" s="18" t="s">
        <v>160</v>
      </c>
      <c r="E167" s="82">
        <v>1</v>
      </c>
    </row>
    <row r="168" spans="2:5" x14ac:dyDescent="0.25">
      <c r="B168" s="69" t="s">
        <v>160</v>
      </c>
      <c r="C168" s="86">
        <v>2</v>
      </c>
      <c r="D168" s="18" t="s">
        <v>160</v>
      </c>
      <c r="E168" s="82">
        <v>0.9</v>
      </c>
    </row>
    <row r="169" spans="2:5" x14ac:dyDescent="0.25">
      <c r="B169" s="69" t="s">
        <v>160</v>
      </c>
      <c r="C169" s="86">
        <v>3</v>
      </c>
      <c r="D169" s="18" t="s">
        <v>160</v>
      </c>
      <c r="E169" s="82">
        <v>0.8</v>
      </c>
    </row>
    <row r="170" spans="2:5" x14ac:dyDescent="0.25">
      <c r="B170" s="87" t="s">
        <v>160</v>
      </c>
      <c r="C170" s="87">
        <v>4</v>
      </c>
      <c r="D170" s="19" t="s">
        <v>160</v>
      </c>
      <c r="E170" s="83">
        <v>0.8</v>
      </c>
    </row>
    <row r="171" spans="2:5" x14ac:dyDescent="0.25">
      <c r="D171" s="18"/>
    </row>
    <row r="173" spans="2:5" x14ac:dyDescent="0.25">
      <c r="B173" s="444" t="s">
        <v>1018</v>
      </c>
      <c r="C173" s="444"/>
      <c r="D173" s="444"/>
    </row>
    <row r="174" spans="2:5" x14ac:dyDescent="0.25">
      <c r="B174" s="5" t="s">
        <v>3</v>
      </c>
      <c r="C174" s="5" t="s">
        <v>6</v>
      </c>
      <c r="D174" s="5">
        <v>4</v>
      </c>
    </row>
    <row r="175" spans="2:5" x14ac:dyDescent="0.25">
      <c r="B175" s="79" t="s">
        <v>99</v>
      </c>
      <c r="C175" s="63" t="s">
        <v>1098</v>
      </c>
      <c r="D175" s="79" t="s">
        <v>11</v>
      </c>
    </row>
    <row r="176" spans="2:5" x14ac:dyDescent="0.25">
      <c r="B176" s="80" t="s">
        <v>1019</v>
      </c>
      <c r="C176" s="6" t="s">
        <v>1099</v>
      </c>
      <c r="D176" s="81" t="s">
        <v>17</v>
      </c>
    </row>
    <row r="177" spans="2:6" x14ac:dyDescent="0.25">
      <c r="B177" s="82" t="s">
        <v>98</v>
      </c>
      <c r="C177" s="18" t="s">
        <v>160</v>
      </c>
      <c r="D177" s="88">
        <v>0.1</v>
      </c>
    </row>
    <row r="178" spans="2:6" x14ac:dyDescent="0.25">
      <c r="B178" s="82" t="s">
        <v>1020</v>
      </c>
      <c r="C178" s="18" t="s">
        <v>160</v>
      </c>
      <c r="D178" s="88">
        <v>0.05</v>
      </c>
    </row>
    <row r="179" spans="2:6" x14ac:dyDescent="0.25">
      <c r="B179" s="87"/>
      <c r="C179" s="19" t="s">
        <v>160</v>
      </c>
      <c r="D179" s="89">
        <v>0</v>
      </c>
    </row>
    <row r="182" spans="2:6" x14ac:dyDescent="0.25">
      <c r="B182" s="444" t="s">
        <v>1021</v>
      </c>
      <c r="C182" s="444"/>
      <c r="D182" s="444"/>
    </row>
    <row r="183" spans="2:6" x14ac:dyDescent="0.25">
      <c r="B183" s="5" t="s">
        <v>3</v>
      </c>
      <c r="C183" s="5" t="s">
        <v>6</v>
      </c>
      <c r="D183" s="5">
        <v>4</v>
      </c>
    </row>
    <row r="184" spans="2:6" x14ac:dyDescent="0.25">
      <c r="B184" s="79" t="s">
        <v>99</v>
      </c>
      <c r="C184" s="63" t="s">
        <v>1098</v>
      </c>
      <c r="D184" s="79" t="s">
        <v>11</v>
      </c>
    </row>
    <row r="185" spans="2:6" x14ac:dyDescent="0.25">
      <c r="B185" s="80" t="s">
        <v>1019</v>
      </c>
      <c r="C185" s="6" t="s">
        <v>1099</v>
      </c>
      <c r="D185" s="81" t="s">
        <v>17</v>
      </c>
    </row>
    <row r="186" spans="2:6" x14ac:dyDescent="0.25">
      <c r="B186" s="82" t="s">
        <v>161</v>
      </c>
      <c r="C186" s="18" t="s">
        <v>160</v>
      </c>
      <c r="D186" s="90">
        <v>25</v>
      </c>
    </row>
    <row r="187" spans="2:6" x14ac:dyDescent="0.25">
      <c r="B187" s="91"/>
      <c r="C187" s="19" t="s">
        <v>160</v>
      </c>
      <c r="D187" s="92">
        <v>0</v>
      </c>
    </row>
    <row r="190" spans="2:6" x14ac:dyDescent="0.25">
      <c r="B190" s="444" t="s">
        <v>1419</v>
      </c>
      <c r="C190" s="444"/>
      <c r="D190" s="444"/>
      <c r="E190" s="444"/>
      <c r="F190" s="455"/>
      <c r="G190" s="451"/>
    </row>
    <row r="191" spans="2:6" x14ac:dyDescent="0.25">
      <c r="B191" s="159" t="s">
        <v>3</v>
      </c>
      <c r="C191" s="159" t="s">
        <v>6</v>
      </c>
      <c r="D191" s="179"/>
      <c r="E191" s="179" t="n">
        <v>4.0</v>
      </c>
      <c r="F191" s="179"/>
      <c r="G191" s="159"/>
    </row>
    <row r="192" spans="2:6" x14ac:dyDescent="0.25">
      <c r="B192" s="79" t="s">
        <v>8</v>
      </c>
      <c r="C192" s="79" t="s">
        <v>153</v>
      </c>
      <c r="D192" s="63" t="s">
        <v>101</v>
      </c>
      <c r="E192" s="63" t="s">
        <v>1098</v>
      </c>
      <c r="F192" s="63" t="s">
        <v>1245</v>
      </c>
      <c r="G192" s="79" t="s">
        <v>11</v>
      </c>
    </row>
    <row r="193" spans="2:6" x14ac:dyDescent="0.25">
      <c r="B193" s="80" t="s">
        <v>14</v>
      </c>
      <c r="C193" s="80" t="s">
        <v>1165</v>
      </c>
      <c r="D193" s="160" t="s">
        <v>1023</v>
      </c>
      <c r="E193" s="160" t="s">
        <v>1099</v>
      </c>
      <c r="F193" s="160" t="s">
        <v>1249</v>
      </c>
      <c r="G193" s="81" t="s">
        <v>17</v>
      </c>
    </row>
    <row r="194" spans="2:6" x14ac:dyDescent="0.25">
      <c r="B194" s="93" t="s">
        <v>18</v>
      </c>
      <c r="C194" s="288" t="s">
        <v>160</v>
      </c>
      <c r="D194" s="289" t="s">
        <v>151</v>
      </c>
      <c r="E194" s="289" t="s">
        <v>160</v>
      </c>
      <c r="F194" s="291" t="n">
        <v>43101.0</v>
      </c>
      <c r="G194" s="288" t="n">
        <v>1.4702</v>
      </c>
    </row>
    <row r="195" spans="2:6" x14ac:dyDescent="0.25">
      <c r="B195" s="93" t="s">
        <v>29</v>
      </c>
      <c r="C195" s="288" t="s">
        <v>1003</v>
      </c>
      <c r="D195" s="288" t="s">
        <v>151</v>
      </c>
      <c r="E195" s="288" t="s">
        <v>1003</v>
      </c>
      <c r="F195" s="291" t="n">
        <v>43101.0</v>
      </c>
      <c r="G195" s="288" t="n">
        <v>0.6112</v>
      </c>
    </row>
    <row r="196" spans="2:6" x14ac:dyDescent="0.25">
      <c r="B196" s="94" t="s">
        <v>19</v>
      </c>
      <c r="C196" s="290" t="s">
        <v>1038</v>
      </c>
      <c r="D196" s="290" t="s">
        <v>151</v>
      </c>
      <c r="E196" s="290" t="s">
        <v>1038</v>
      </c>
      <c r="F196" s="292" t="n">
        <v>43101.0</v>
      </c>
      <c r="G196" s="290" t="n">
        <v>125.0</v>
      </c>
    </row>
    <row r="199" spans="2:6" x14ac:dyDescent="0.25">
      <c r="B199" s="444" t="s">
        <v>1100</v>
      </c>
      <c r="C199" s="444"/>
      <c r="D199" s="444"/>
    </row>
    <row r="200" spans="2:6" x14ac:dyDescent="0.25">
      <c r="B200" s="5" t="s">
        <v>3</v>
      </c>
      <c r="C200" s="5" t="s">
        <v>6</v>
      </c>
      <c r="D200" s="5">
        <v>4</v>
      </c>
    </row>
    <row r="201" spans="2:6" x14ac:dyDescent="0.25">
      <c r="B201" s="79" t="s">
        <v>101</v>
      </c>
      <c r="C201" s="79" t="s">
        <v>8</v>
      </c>
      <c r="D201" s="63" t="s">
        <v>1098</v>
      </c>
      <c r="E201" s="79" t="s">
        <v>11</v>
      </c>
    </row>
    <row r="202" spans="2:6" x14ac:dyDescent="0.25">
      <c r="B202" s="95" t="s">
        <v>1023</v>
      </c>
      <c r="C202" s="80" t="s">
        <v>14</v>
      </c>
      <c r="D202" s="6" t="s">
        <v>1099</v>
      </c>
      <c r="E202" s="81" t="s">
        <v>17</v>
      </c>
    </row>
    <row r="203" spans="2:6" x14ac:dyDescent="0.25">
      <c r="B203" s="96" t="s">
        <v>151</v>
      </c>
      <c r="C203" s="97" t="s">
        <v>18</v>
      </c>
      <c r="D203" s="18" t="s">
        <v>160</v>
      </c>
      <c r="E203" s="82">
        <v>1</v>
      </c>
    </row>
    <row r="204" spans="2:6" x14ac:dyDescent="0.25">
      <c r="B204" s="98"/>
      <c r="C204" s="98"/>
      <c r="D204" s="18" t="s">
        <v>160</v>
      </c>
      <c r="E204" s="82">
        <v>1</v>
      </c>
    </row>
    <row r="205" spans="2:6" x14ac:dyDescent="0.25">
      <c r="B205" s="98"/>
      <c r="C205" s="93" t="s">
        <v>29</v>
      </c>
      <c r="D205" s="18" t="s">
        <v>160</v>
      </c>
      <c r="E205" s="82">
        <v>1</v>
      </c>
    </row>
    <row r="206" spans="2:6" x14ac:dyDescent="0.25">
      <c r="B206" s="98" t="s">
        <v>1001</v>
      </c>
      <c r="C206" s="93" t="s">
        <v>19</v>
      </c>
      <c r="D206" s="18" t="s">
        <v>160</v>
      </c>
      <c r="E206" s="82">
        <v>1</v>
      </c>
    </row>
    <row r="207" spans="2:6" x14ac:dyDescent="0.25">
      <c r="B207" s="98" t="s">
        <v>247</v>
      </c>
      <c r="C207" s="98"/>
      <c r="D207" s="18" t="s">
        <v>160</v>
      </c>
      <c r="E207" s="82">
        <v>1</v>
      </c>
    </row>
    <row r="208" spans="2:6" x14ac:dyDescent="0.25">
      <c r="B208" s="99" t="s">
        <v>1002</v>
      </c>
      <c r="C208" s="99"/>
      <c r="D208" s="19" t="s">
        <v>160</v>
      </c>
      <c r="E208" s="83">
        <v>1</v>
      </c>
    </row>
    <row r="211" spans="2:5" x14ac:dyDescent="0.25">
      <c r="B211" s="444" t="s">
        <v>1024</v>
      </c>
      <c r="C211" s="444"/>
      <c r="D211" s="444"/>
      <c r="E211" s="444"/>
    </row>
    <row r="212" spans="2:5" x14ac:dyDescent="0.25">
      <c r="B212" s="5" t="s">
        <v>3</v>
      </c>
      <c r="C212" s="5" t="s">
        <v>6</v>
      </c>
      <c r="D212" s="5">
        <v>4</v>
      </c>
    </row>
    <row r="213" spans="2:5" x14ac:dyDescent="0.25">
      <c r="B213" s="79" t="s">
        <v>1025</v>
      </c>
      <c r="C213" s="79" t="s">
        <v>101</v>
      </c>
      <c r="D213" s="63" t="s">
        <v>1098</v>
      </c>
      <c r="E213" s="79" t="s">
        <v>11</v>
      </c>
    </row>
    <row r="214" spans="2:5" x14ac:dyDescent="0.25">
      <c r="B214" s="95" t="s">
        <v>1026</v>
      </c>
      <c r="C214" s="95" t="s">
        <v>1023</v>
      </c>
      <c r="D214" s="6" t="s">
        <v>1099</v>
      </c>
      <c r="E214" s="81" t="s">
        <v>17</v>
      </c>
    </row>
    <row r="215" spans="2:5" x14ac:dyDescent="0.25">
      <c r="B215" s="96" t="s">
        <v>147</v>
      </c>
      <c r="C215" s="100" t="s">
        <v>151</v>
      </c>
      <c r="D215" s="18" t="s">
        <v>160</v>
      </c>
      <c r="E215" s="293" t="s">
        <v>287</v>
      </c>
    </row>
    <row r="216" spans="2:5" x14ac:dyDescent="0.25">
      <c r="B216" s="96" t="s">
        <v>147</v>
      </c>
      <c r="C216" s="100" t="s">
        <v>1001</v>
      </c>
      <c r="D216" s="18" t="s">
        <v>160</v>
      </c>
      <c r="E216" s="293" t="s">
        <v>287</v>
      </c>
    </row>
    <row r="217" spans="2:5" x14ac:dyDescent="0.25">
      <c r="B217" s="96" t="s">
        <v>147</v>
      </c>
      <c r="C217" s="101"/>
      <c r="D217" s="18" t="s">
        <v>160</v>
      </c>
      <c r="E217" s="293" t="s">
        <v>287</v>
      </c>
    </row>
    <row r="218" spans="2:5" x14ac:dyDescent="0.25">
      <c r="B218" s="96" t="s">
        <v>147</v>
      </c>
      <c r="C218" s="101"/>
      <c r="D218" s="18" t="s">
        <v>160</v>
      </c>
      <c r="E218" s="293" t="s">
        <v>287</v>
      </c>
    </row>
    <row r="219" spans="2:5" x14ac:dyDescent="0.25">
      <c r="B219" s="98"/>
      <c r="C219" s="98"/>
      <c r="D219" s="18" t="s">
        <v>160</v>
      </c>
      <c r="E219" s="293" t="s">
        <v>287</v>
      </c>
    </row>
    <row r="220" spans="2:5" x14ac:dyDescent="0.25">
      <c r="B220" s="102" t="s">
        <v>1027</v>
      </c>
      <c r="C220" s="98"/>
      <c r="D220" s="18" t="s">
        <v>160</v>
      </c>
      <c r="E220" s="293" t="s">
        <v>1380</v>
      </c>
    </row>
    <row r="221" spans="2:5" x14ac:dyDescent="0.25">
      <c r="B221" s="102" t="s">
        <v>1028</v>
      </c>
      <c r="C221" s="98"/>
      <c r="D221" s="18" t="s">
        <v>160</v>
      </c>
      <c r="E221" s="293" t="s">
        <v>1380</v>
      </c>
    </row>
    <row r="222" spans="2:5" x14ac:dyDescent="0.25">
      <c r="B222" s="102" t="s">
        <v>250</v>
      </c>
      <c r="C222" s="98"/>
      <c r="D222" s="18" t="s">
        <v>160</v>
      </c>
      <c r="E222" s="293" t="s">
        <v>1380</v>
      </c>
    </row>
    <row r="223" spans="2:5" x14ac:dyDescent="0.25">
      <c r="B223" s="102" t="s">
        <v>1029</v>
      </c>
      <c r="C223" s="98"/>
      <c r="D223" s="18" t="s">
        <v>160</v>
      </c>
      <c r="E223" s="293" t="s">
        <v>1380</v>
      </c>
    </row>
    <row r="224" spans="2:5" x14ac:dyDescent="0.25">
      <c r="B224" s="102" t="s">
        <v>1030</v>
      </c>
      <c r="C224" s="98"/>
      <c r="D224" s="18" t="s">
        <v>160</v>
      </c>
      <c r="E224" s="293" t="s">
        <v>1380</v>
      </c>
    </row>
    <row r="225" spans="2:5" x14ac:dyDescent="0.25">
      <c r="B225" s="102" t="s">
        <v>1028</v>
      </c>
      <c r="C225" s="100" t="s">
        <v>151</v>
      </c>
      <c r="D225" s="18" t="s">
        <v>160</v>
      </c>
      <c r="E225" s="293" t="s">
        <v>1380</v>
      </c>
    </row>
    <row r="226" spans="2:5" x14ac:dyDescent="0.25">
      <c r="B226" s="102" t="s">
        <v>250</v>
      </c>
      <c r="C226" s="100" t="s">
        <v>1001</v>
      </c>
      <c r="D226" s="18" t="s">
        <v>160</v>
      </c>
      <c r="E226" s="293" t="s">
        <v>1380</v>
      </c>
    </row>
    <row r="227" spans="2:5" x14ac:dyDescent="0.25">
      <c r="B227" s="98"/>
      <c r="C227" s="98" t="s">
        <v>247</v>
      </c>
      <c r="D227" s="18" t="s">
        <v>160</v>
      </c>
      <c r="E227" s="293" t="s">
        <v>287</v>
      </c>
    </row>
    <row r="228" spans="2:5" x14ac:dyDescent="0.25">
      <c r="B228" s="98"/>
      <c r="C228" s="98" t="s">
        <v>1002</v>
      </c>
      <c r="D228" s="18" t="s">
        <v>160</v>
      </c>
      <c r="E228" s="82" t="s">
        <v>287</v>
      </c>
    </row>
    <row r="229" spans="2:5" x14ac:dyDescent="0.25">
      <c r="B229" s="103" t="s">
        <v>1029</v>
      </c>
      <c r="C229" s="99"/>
      <c r="D229" s="19" t="s">
        <v>160</v>
      </c>
      <c r="E229" s="83" t="s">
        <v>1380</v>
      </c>
    </row>
    <row r="232" spans="2:5" x14ac:dyDescent="0.25">
      <c r="B232" s="444" t="s">
        <v>1031</v>
      </c>
      <c r="C232" s="444"/>
    </row>
    <row r="233" spans="2:5" x14ac:dyDescent="0.25">
      <c r="B233" s="423" t="s">
        <v>101</v>
      </c>
      <c r="C233" s="63" t="s">
        <v>1098</v>
      </c>
      <c r="D233" s="79" t="s">
        <v>11</v>
      </c>
    </row>
    <row r="234" spans="2:5" x14ac:dyDescent="0.25">
      <c r="B234" s="160" t="s">
        <v>1032</v>
      </c>
      <c r="C234" s="80" t="s">
        <v>1099</v>
      </c>
      <c r="D234" s="81" t="s">
        <v>17</v>
      </c>
    </row>
    <row r="235" spans="2:5" x14ac:dyDescent="0.25">
      <c r="B235" s="102" t="s">
        <v>151</v>
      </c>
      <c r="C235" s="18" t="s">
        <v>160</v>
      </c>
      <c r="D235" s="105" t="s">
        <v>18</v>
      </c>
    </row>
    <row r="236" spans="2:5" x14ac:dyDescent="0.25">
      <c r="B236" s="102" t="s">
        <v>1001</v>
      </c>
      <c r="C236" s="18" t="s">
        <v>160</v>
      </c>
      <c r="D236" s="105" t="s">
        <v>18</v>
      </c>
    </row>
    <row r="237" spans="2:5" x14ac:dyDescent="0.25">
      <c r="B237" s="102" t="s">
        <v>247</v>
      </c>
      <c r="C237" s="18" t="s">
        <v>160</v>
      </c>
      <c r="D237" s="105" t="s">
        <v>29</v>
      </c>
    </row>
    <row r="238" spans="2:5" x14ac:dyDescent="0.25">
      <c r="B238" s="103" t="s">
        <v>1002</v>
      </c>
      <c r="C238" s="19" t="s">
        <v>160</v>
      </c>
      <c r="D238" s="106" t="s">
        <v>19</v>
      </c>
    </row>
    <row r="239" spans="2:5" x14ac:dyDescent="0.25">
      <c r="C239" s="18"/>
    </row>
    <row r="240" spans="2:5" x14ac:dyDescent="0.25">
      <c r="C240" s="18"/>
    </row>
    <row r="242" spans="2:4" x14ac:dyDescent="0.25">
      <c r="B242" s="444" t="s">
        <v>1033</v>
      </c>
      <c r="C242" s="444"/>
      <c r="D242" s="444"/>
    </row>
    <row r="243" spans="2:4" x14ac:dyDescent="0.25">
      <c r="B243" s="5" t="s">
        <v>3</v>
      </c>
      <c r="C243" s="5" t="s">
        <v>6</v>
      </c>
      <c r="D243" s="5">
        <v>4</v>
      </c>
    </row>
    <row r="244" spans="2:4" x14ac:dyDescent="0.25">
      <c r="B244" s="79" t="s">
        <v>1034</v>
      </c>
      <c r="C244" s="63" t="s">
        <v>1098</v>
      </c>
      <c r="D244" s="79" t="s">
        <v>11</v>
      </c>
    </row>
    <row r="245" spans="2:4" x14ac:dyDescent="0.25">
      <c r="B245" s="95" t="s">
        <v>1035</v>
      </c>
      <c r="C245" s="80" t="s">
        <v>1099</v>
      </c>
      <c r="D245" s="81" t="s">
        <v>17</v>
      </c>
    </row>
    <row r="246" spans="2:4" x14ac:dyDescent="0.25">
      <c r="B246" s="96">
        <v>0</v>
      </c>
      <c r="C246" s="18" t="s">
        <v>160</v>
      </c>
      <c r="D246" s="284" t="s">
        <v>1358</v>
      </c>
    </row>
    <row r="247" spans="2:4" x14ac:dyDescent="0.25">
      <c r="B247" s="98">
        <v>1</v>
      </c>
      <c r="C247" s="18" t="s">
        <v>160</v>
      </c>
      <c r="D247" s="284" t="s">
        <v>1359</v>
      </c>
    </row>
    <row r="248" spans="2:4" x14ac:dyDescent="0.25">
      <c r="B248" s="98">
        <v>2</v>
      </c>
      <c r="C248" s="18" t="s">
        <v>160</v>
      </c>
      <c r="D248" s="284" t="s">
        <v>1360</v>
      </c>
    </row>
    <row r="249" spans="2:4" x14ac:dyDescent="0.25">
      <c r="B249" s="98">
        <v>3</v>
      </c>
      <c r="C249" s="18" t="s">
        <v>160</v>
      </c>
      <c r="D249" s="284" t="s">
        <v>1361</v>
      </c>
    </row>
    <row r="250" spans="2:4" x14ac:dyDescent="0.25">
      <c r="B250" s="98">
        <v>4</v>
      </c>
      <c r="C250" s="18" t="s">
        <v>160</v>
      </c>
      <c r="D250" s="284" t="s">
        <v>470</v>
      </c>
    </row>
    <row r="251" spans="2:4" x14ac:dyDescent="0.25">
      <c r="B251" s="98">
        <v>5</v>
      </c>
      <c r="C251" s="18" t="s">
        <v>160</v>
      </c>
      <c r="D251" s="284" t="s">
        <v>1362</v>
      </c>
    </row>
    <row r="252" spans="2:4" x14ac:dyDescent="0.25">
      <c r="B252" s="98">
        <v>6</v>
      </c>
      <c r="C252" s="18" t="s">
        <v>160</v>
      </c>
      <c r="D252" s="284" t="s">
        <v>1363</v>
      </c>
    </row>
    <row r="253" spans="2:4" x14ac:dyDescent="0.25">
      <c r="B253" s="98">
        <v>7</v>
      </c>
      <c r="C253" s="18" t="s">
        <v>160</v>
      </c>
      <c r="D253" s="284" t="s">
        <v>1364</v>
      </c>
    </row>
    <row r="254" spans="2:4" x14ac:dyDescent="0.25">
      <c r="B254" s="98">
        <v>8</v>
      </c>
      <c r="C254" s="18" t="s">
        <v>160</v>
      </c>
      <c r="D254" s="284" t="s">
        <v>1365</v>
      </c>
    </row>
    <row r="255" spans="2:4" x14ac:dyDescent="0.25">
      <c r="B255" s="98">
        <v>9</v>
      </c>
      <c r="C255" s="18" t="s">
        <v>160</v>
      </c>
      <c r="D255" s="284" t="s">
        <v>1366</v>
      </c>
    </row>
    <row r="256" spans="2:4" x14ac:dyDescent="0.25">
      <c r="B256" s="98">
        <v>10</v>
      </c>
      <c r="C256" s="18" t="s">
        <v>160</v>
      </c>
      <c r="D256" s="284" t="s">
        <v>1367</v>
      </c>
    </row>
    <row r="257" spans="2:7" x14ac:dyDescent="0.25">
      <c r="B257" s="98">
        <v>20</v>
      </c>
      <c r="C257" s="18" t="s">
        <v>160</v>
      </c>
      <c r="D257" s="284" t="s">
        <v>1368</v>
      </c>
    </row>
    <row r="258" spans="2:7" x14ac:dyDescent="0.25">
      <c r="B258" s="98">
        <v>50</v>
      </c>
      <c r="C258" s="18" t="s">
        <v>160</v>
      </c>
      <c r="D258" s="284" t="s">
        <v>1369</v>
      </c>
    </row>
    <row r="259" spans="2:7" x14ac:dyDescent="0.25">
      <c r="B259" s="98">
        <v>100</v>
      </c>
      <c r="C259" s="18" t="s">
        <v>160</v>
      </c>
      <c r="D259" s="284" t="s">
        <v>1370</v>
      </c>
    </row>
    <row r="260" spans="2:7" x14ac:dyDescent="0.25">
      <c r="B260" s="98">
        <v>300</v>
      </c>
      <c r="C260" s="18" t="s">
        <v>160</v>
      </c>
      <c r="D260" s="284" t="s">
        <v>1371</v>
      </c>
    </row>
    <row r="261" spans="2:7" x14ac:dyDescent="0.25">
      <c r="B261" s="98">
        <v>500</v>
      </c>
      <c r="C261" s="18" t="s">
        <v>160</v>
      </c>
      <c r="D261" s="284" t="s">
        <v>1372</v>
      </c>
    </row>
    <row r="262" spans="2:7" x14ac:dyDescent="0.25">
      <c r="B262" s="99">
        <v>999</v>
      </c>
      <c r="C262" s="19" t="s">
        <v>160</v>
      </c>
      <c r="D262" s="284" t="s">
        <v>1373</v>
      </c>
    </row>
    <row customHeight="1" ht="15.75" r="267" spans="2:7" x14ac:dyDescent="0.25">
      <c r="B267" s="444" t="s">
        <v>1043</v>
      </c>
      <c r="C267" s="444"/>
      <c r="D267" s="444"/>
      <c r="E267" s="444"/>
      <c r="F267" s="444"/>
      <c r="G267" s="140"/>
    </row>
    <row ht="15.75" r="268" spans="2:7" x14ac:dyDescent="0.3">
      <c r="B268" s="5" t="s">
        <v>3</v>
      </c>
      <c r="C268" s="5" t="s">
        <v>6</v>
      </c>
      <c r="D268" s="5">
        <v>4</v>
      </c>
      <c r="E268" s="132"/>
      <c r="F268" s="132"/>
      <c r="G268" s="132"/>
    </row>
    <row r="269" spans="2:7" x14ac:dyDescent="0.25">
      <c r="B269" s="5" t="s">
        <v>7</v>
      </c>
      <c r="C269" s="5" t="s">
        <v>10</v>
      </c>
      <c r="D269" s="79" t="s">
        <v>1098</v>
      </c>
      <c r="E269" s="79" t="s">
        <v>1044</v>
      </c>
      <c r="F269" s="79" t="s">
        <v>1045</v>
      </c>
      <c r="G269" s="79" t="s">
        <v>1046</v>
      </c>
    </row>
    <row ht="15.75" r="270" spans="2:7" x14ac:dyDescent="0.3">
      <c r="B270" s="5" t="s">
        <v>12</v>
      </c>
      <c r="C270" s="132"/>
      <c r="D270" s="63"/>
      <c r="E270" s="5"/>
      <c r="F270" s="5"/>
      <c r="G270" s="132"/>
    </row>
    <row r="271" spans="2:7" x14ac:dyDescent="0.25">
      <c r="B271" s="95" t="s">
        <v>13</v>
      </c>
      <c r="C271" s="95" t="s">
        <v>1070</v>
      </c>
      <c r="D271" s="80" t="s">
        <v>1099</v>
      </c>
      <c r="E271" s="81" t="s">
        <v>1071</v>
      </c>
      <c r="F271" s="81" t="s">
        <v>1072</v>
      </c>
      <c r="G271" s="81" t="s">
        <v>1073</v>
      </c>
    </row>
    <row ht="15.75" r="272" spans="2:7" x14ac:dyDescent="0.3">
      <c r="B272" s="96">
        <v>1</v>
      </c>
      <c r="C272" s="133">
        <v>43101</v>
      </c>
      <c r="D272" s="18" t="s">
        <v>160</v>
      </c>
      <c r="E272" s="134">
        <v>0</v>
      </c>
      <c r="F272" s="134">
        <v>0</v>
      </c>
      <c r="G272" s="134">
        <v>0</v>
      </c>
    </row>
    <row ht="15.75" r="273" spans="2:7" x14ac:dyDescent="0.3">
      <c r="B273" s="135">
        <v>12</v>
      </c>
      <c r="C273" s="133">
        <v>43101</v>
      </c>
      <c r="D273" s="18" t="s">
        <v>160</v>
      </c>
      <c r="E273" s="134">
        <v>1</v>
      </c>
      <c r="F273" s="134">
        <v>1</v>
      </c>
      <c r="G273" s="134">
        <v>1</v>
      </c>
    </row>
    <row ht="15.75" r="274" spans="2:7" x14ac:dyDescent="0.3">
      <c r="B274" s="135">
        <v>13</v>
      </c>
      <c r="C274" s="133">
        <v>43101</v>
      </c>
      <c r="D274" s="18" t="s">
        <v>160</v>
      </c>
      <c r="E274" s="134">
        <v>2</v>
      </c>
      <c r="F274" s="134">
        <v>1</v>
      </c>
      <c r="G274" s="134">
        <v>1</v>
      </c>
    </row>
    <row ht="15.75" r="275" spans="2:7" x14ac:dyDescent="0.3">
      <c r="B275" s="135">
        <v>14</v>
      </c>
      <c r="C275" s="133">
        <v>43101</v>
      </c>
      <c r="D275" s="18" t="s">
        <v>160</v>
      </c>
      <c r="E275" s="134">
        <v>1</v>
      </c>
      <c r="F275" s="134">
        <v>2</v>
      </c>
      <c r="G275" s="134">
        <v>1</v>
      </c>
    </row>
    <row ht="15.75" r="276" spans="2:7" x14ac:dyDescent="0.3">
      <c r="B276" s="135">
        <v>15</v>
      </c>
      <c r="C276" s="133">
        <v>43101</v>
      </c>
      <c r="D276" s="18" t="s">
        <v>160</v>
      </c>
      <c r="E276" s="134">
        <v>1</v>
      </c>
      <c r="F276" s="134">
        <v>1</v>
      </c>
      <c r="G276" s="134">
        <v>2</v>
      </c>
    </row>
    <row ht="15.75" r="277" spans="2:7" x14ac:dyDescent="0.3">
      <c r="B277" s="135">
        <v>12</v>
      </c>
      <c r="C277" s="133">
        <v>43466</v>
      </c>
      <c r="D277" s="18" t="s">
        <v>160</v>
      </c>
      <c r="E277" s="134">
        <v>0</v>
      </c>
      <c r="F277" s="134">
        <v>1</v>
      </c>
      <c r="G277" s="134">
        <v>1</v>
      </c>
    </row>
    <row ht="15.75" r="278" spans="2:7" x14ac:dyDescent="0.3">
      <c r="B278" s="135">
        <v>13</v>
      </c>
      <c r="C278" s="133">
        <v>43466</v>
      </c>
      <c r="D278" s="18" t="s">
        <v>160</v>
      </c>
      <c r="E278" s="134">
        <v>0</v>
      </c>
      <c r="F278" s="134">
        <v>2</v>
      </c>
      <c r="G278" s="134">
        <v>1</v>
      </c>
    </row>
    <row ht="15.75" r="279" spans="2:7" x14ac:dyDescent="0.3">
      <c r="B279" s="135">
        <v>14</v>
      </c>
      <c r="C279" s="133">
        <v>43466</v>
      </c>
      <c r="D279" s="18" t="s">
        <v>160</v>
      </c>
      <c r="E279" s="134">
        <v>0</v>
      </c>
      <c r="F279" s="134">
        <v>1</v>
      </c>
      <c r="G279" s="134">
        <v>2</v>
      </c>
    </row>
    <row ht="15.75" r="280" spans="2:7" x14ac:dyDescent="0.3">
      <c r="B280" s="135">
        <v>15</v>
      </c>
      <c r="C280" s="133">
        <v>43466</v>
      </c>
      <c r="D280" s="18" t="s">
        <v>160</v>
      </c>
      <c r="E280" s="134">
        <v>0</v>
      </c>
      <c r="F280" s="134">
        <v>1</v>
      </c>
      <c r="G280" s="134">
        <v>1</v>
      </c>
    </row>
    <row ht="15.75" r="281" spans="2:7" x14ac:dyDescent="0.3">
      <c r="B281" s="135">
        <v>12</v>
      </c>
      <c r="C281" s="133">
        <v>42736</v>
      </c>
      <c r="D281" s="18" t="s">
        <v>160</v>
      </c>
      <c r="E281" s="134">
        <v>1</v>
      </c>
      <c r="F281" s="134">
        <v>1</v>
      </c>
      <c r="G281" s="134">
        <v>1</v>
      </c>
    </row>
    <row ht="15.75" r="282" spans="2:7" x14ac:dyDescent="0.3">
      <c r="B282" s="135">
        <v>13</v>
      </c>
      <c r="C282" s="133">
        <v>42736</v>
      </c>
      <c r="D282" s="18" t="s">
        <v>160</v>
      </c>
      <c r="E282" s="134">
        <v>1</v>
      </c>
      <c r="F282" s="134">
        <v>1</v>
      </c>
      <c r="G282" s="134">
        <v>1</v>
      </c>
    </row>
    <row ht="15.75" r="283" spans="2:7" x14ac:dyDescent="0.3">
      <c r="B283" s="135">
        <v>14</v>
      </c>
      <c r="C283" s="133">
        <v>42736</v>
      </c>
      <c r="D283" s="18" t="s">
        <v>160</v>
      </c>
      <c r="E283" s="134">
        <v>2</v>
      </c>
      <c r="F283" s="134">
        <v>1</v>
      </c>
      <c r="G283" s="134">
        <v>1</v>
      </c>
    </row>
    <row ht="15.75" r="284" spans="2:7" x14ac:dyDescent="0.3">
      <c r="B284" s="135">
        <v>15</v>
      </c>
      <c r="C284" s="133">
        <v>42736</v>
      </c>
      <c r="D284" s="18" t="s">
        <v>160</v>
      </c>
      <c r="E284" s="134">
        <v>1</v>
      </c>
      <c r="F284" s="134">
        <v>2</v>
      </c>
      <c r="G284" s="134">
        <v>1</v>
      </c>
    </row>
    <row ht="15.75" r="285" spans="2:7" x14ac:dyDescent="0.3">
      <c r="B285" s="135">
        <v>12</v>
      </c>
      <c r="C285" s="133">
        <v>42370</v>
      </c>
      <c r="D285" s="18" t="s">
        <v>160</v>
      </c>
      <c r="E285" s="134">
        <v>1</v>
      </c>
      <c r="F285" s="134">
        <v>1</v>
      </c>
      <c r="G285" s="134">
        <v>0</v>
      </c>
    </row>
    <row ht="15.75" r="286" spans="2:7" x14ac:dyDescent="0.3">
      <c r="B286" s="135">
        <v>13</v>
      </c>
      <c r="C286" s="133">
        <v>42370</v>
      </c>
      <c r="D286" s="18" t="s">
        <v>160</v>
      </c>
      <c r="E286" s="134">
        <v>1</v>
      </c>
      <c r="F286" s="134">
        <v>1</v>
      </c>
      <c r="G286" s="134">
        <v>0</v>
      </c>
    </row>
    <row ht="15.75" r="287" spans="2:7" x14ac:dyDescent="0.3">
      <c r="B287" s="135">
        <v>14</v>
      </c>
      <c r="C287" s="133">
        <v>42370</v>
      </c>
      <c r="D287" s="18" t="s">
        <v>160</v>
      </c>
      <c r="E287" s="134">
        <v>1</v>
      </c>
      <c r="F287" s="134">
        <v>1</v>
      </c>
      <c r="G287" s="134">
        <v>0</v>
      </c>
    </row>
    <row ht="15.75" r="288" spans="2:7" x14ac:dyDescent="0.3">
      <c r="B288" s="136">
        <v>15</v>
      </c>
      <c r="C288" s="137">
        <v>42370</v>
      </c>
      <c r="D288" s="19" t="s">
        <v>160</v>
      </c>
      <c r="E288" s="138">
        <v>2</v>
      </c>
      <c r="F288" s="138">
        <v>1</v>
      </c>
      <c r="G288" s="138">
        <v>0</v>
      </c>
    </row>
    <row ht="15.75" r="291" spans="2:6" x14ac:dyDescent="0.25">
      <c r="B291" s="447" t="s">
        <v>1141</v>
      </c>
      <c r="C291" s="447"/>
      <c r="D291" s="447"/>
      <c r="E291" s="447"/>
      <c r="F291" s="447"/>
    </row>
    <row r="292" spans="2:6" x14ac:dyDescent="0.25">
      <c r="B292" s="159" t="s">
        <v>3</v>
      </c>
      <c r="C292" s="159" t="s">
        <v>6</v>
      </c>
      <c r="D292" s="159">
        <v>4</v>
      </c>
      <c r="E292" s="159"/>
      <c r="F292" s="107"/>
    </row>
    <row r="293" spans="2:6" x14ac:dyDescent="0.25">
      <c r="B293" s="104" t="s">
        <v>1107</v>
      </c>
      <c r="C293" s="104" t="s">
        <v>10</v>
      </c>
      <c r="D293" s="104" t="s">
        <v>931</v>
      </c>
      <c r="E293" s="104" t="s">
        <v>1108</v>
      </c>
      <c r="F293" s="104" t="s">
        <v>1109</v>
      </c>
    </row>
    <row r="294" spans="2:6" x14ac:dyDescent="0.25">
      <c r="B294" s="79" t="s">
        <v>1110</v>
      </c>
      <c r="C294" s="104"/>
      <c r="D294" s="104"/>
      <c r="E294" s="104"/>
      <c r="F294" s="104"/>
    </row>
    <row r="295" spans="2:6" x14ac:dyDescent="0.25">
      <c r="B295" s="95" t="s">
        <v>93</v>
      </c>
      <c r="C295" s="95" t="s">
        <v>1070</v>
      </c>
      <c r="D295" s="95" t="s">
        <v>1164</v>
      </c>
      <c r="E295" s="142" t="s">
        <v>1101</v>
      </c>
      <c r="F295" s="142" t="s">
        <v>120</v>
      </c>
    </row>
    <row r="296" spans="2:6" x14ac:dyDescent="0.25">
      <c r="B296" s="148" t="s">
        <v>1102</v>
      </c>
      <c r="C296" s="149">
        <v>43100</v>
      </c>
      <c r="D296" s="294" t="s">
        <v>1151</v>
      </c>
      <c r="E296" s="150">
        <v>3</v>
      </c>
      <c r="F296" s="151">
        <v>1</v>
      </c>
    </row>
    <row r="297" spans="2:6" x14ac:dyDescent="0.25">
      <c r="B297" s="153" t="s">
        <v>1111</v>
      </c>
      <c r="C297" s="149">
        <v>43100</v>
      </c>
      <c r="D297" s="294" t="s">
        <v>1152</v>
      </c>
      <c r="E297" s="150">
        <v>2</v>
      </c>
      <c r="F297" s="151">
        <v>4.7919999999999998</v>
      </c>
    </row>
    <row r="298" spans="2:6" x14ac:dyDescent="0.25">
      <c r="B298" s="153" t="s">
        <v>1102</v>
      </c>
      <c r="C298" s="149">
        <v>43465</v>
      </c>
      <c r="D298" s="294" t="s">
        <v>1153</v>
      </c>
      <c r="E298" s="150">
        <v>4</v>
      </c>
      <c r="F298" s="151">
        <v>1</v>
      </c>
    </row>
    <row r="299" spans="2:6" x14ac:dyDescent="0.25">
      <c r="B299" s="153" t="s">
        <v>1111</v>
      </c>
      <c r="C299" s="149">
        <v>42735</v>
      </c>
      <c r="D299" s="294" t="s">
        <v>1152</v>
      </c>
      <c r="E299" s="152">
        <v>1</v>
      </c>
      <c r="F299" s="152">
        <v>4.7919999999999998</v>
      </c>
    </row>
    <row r="300" spans="2:6" x14ac:dyDescent="0.25">
      <c r="B300" s="153" t="s">
        <v>1103</v>
      </c>
      <c r="C300" s="149">
        <v>43100</v>
      </c>
      <c r="D300" s="294" t="s">
        <v>1155</v>
      </c>
      <c r="E300" s="152">
        <v>4</v>
      </c>
      <c r="F300" s="152">
        <v>1</v>
      </c>
    </row>
    <row r="301" spans="2:6" x14ac:dyDescent="0.25">
      <c r="B301" s="153" t="s">
        <v>1112</v>
      </c>
      <c r="C301" s="149">
        <v>43100</v>
      </c>
      <c r="D301" s="294" t="s">
        <v>1156</v>
      </c>
      <c r="E301" s="152">
        <v>5</v>
      </c>
      <c r="F301" s="152">
        <v>2.5190000000000001</v>
      </c>
    </row>
    <row r="302" spans="2:6" x14ac:dyDescent="0.25">
      <c r="B302" s="153" t="s">
        <v>1113</v>
      </c>
      <c r="C302" s="149">
        <v>43100</v>
      </c>
      <c r="D302" s="294" t="s">
        <v>1155</v>
      </c>
      <c r="E302" s="152">
        <v>3</v>
      </c>
      <c r="F302" s="152">
        <v>1</v>
      </c>
    </row>
    <row r="303" spans="2:6" x14ac:dyDescent="0.25">
      <c r="B303" s="153" t="s">
        <v>1104</v>
      </c>
      <c r="C303" s="149">
        <v>43100</v>
      </c>
      <c r="D303" s="294" t="s">
        <v>1151</v>
      </c>
      <c r="E303" s="152">
        <v>0</v>
      </c>
      <c r="F303" s="152">
        <v>1</v>
      </c>
    </row>
    <row r="304" spans="2:6" x14ac:dyDescent="0.25">
      <c r="B304" s="153" t="s">
        <v>1103</v>
      </c>
      <c r="C304" s="154">
        <v>43101</v>
      </c>
      <c r="D304" s="294" t="s">
        <v>1155</v>
      </c>
      <c r="E304" s="152">
        <v>4</v>
      </c>
      <c r="F304" s="152">
        <v>1</v>
      </c>
    </row>
    <row r="305" spans="2:8" x14ac:dyDescent="0.25">
      <c r="B305" s="153" t="s">
        <v>1112</v>
      </c>
      <c r="C305" s="154">
        <v>43101</v>
      </c>
      <c r="D305" s="294" t="s">
        <v>1151</v>
      </c>
      <c r="E305" s="152">
        <v>5</v>
      </c>
      <c r="F305" s="152">
        <v>2.5190000000000001</v>
      </c>
    </row>
    <row r="306" spans="2:8" x14ac:dyDescent="0.25">
      <c r="B306" s="153" t="s">
        <v>1113</v>
      </c>
      <c r="C306" s="154">
        <v>43101</v>
      </c>
      <c r="D306" s="294" t="s">
        <v>1155</v>
      </c>
      <c r="E306" s="152">
        <v>3</v>
      </c>
      <c r="F306" s="152">
        <v>1</v>
      </c>
    </row>
    <row r="307" spans="2:8" x14ac:dyDescent="0.25">
      <c r="B307" s="153" t="s">
        <v>1104</v>
      </c>
      <c r="C307" s="154">
        <v>43101</v>
      </c>
      <c r="D307" s="294" t="s">
        <v>1153</v>
      </c>
      <c r="E307" s="152">
        <v>0</v>
      </c>
      <c r="F307" s="152">
        <v>1</v>
      </c>
    </row>
    <row r="308" spans="2:8" x14ac:dyDescent="0.25">
      <c r="B308" s="155" t="s">
        <v>1105</v>
      </c>
      <c r="C308" s="156">
        <v>43102</v>
      </c>
      <c r="D308" s="295" t="s">
        <v>1159</v>
      </c>
      <c r="E308" s="157">
        <v>3</v>
      </c>
      <c r="F308" s="157">
        <v>1</v>
      </c>
    </row>
    <row r="314" spans="2:8" x14ac:dyDescent="0.25">
      <c r="B314" s="444" t="s">
        <v>1013</v>
      </c>
      <c r="C314" s="444"/>
      <c r="D314" s="444"/>
      <c r="E314" s="444"/>
      <c r="F314" s="444"/>
      <c r="G314" s="444"/>
      <c r="H314" s="444"/>
    </row>
    <row r="315" spans="2:8" x14ac:dyDescent="0.25">
      <c r="B315" s="159" t="s">
        <v>3</v>
      </c>
      <c r="C315" s="159" t="s">
        <v>6</v>
      </c>
      <c r="D315" s="159">
        <v>4</v>
      </c>
      <c r="E315" s="159"/>
      <c r="F315" s="159"/>
      <c r="G315" s="158"/>
      <c r="H315" s="158"/>
    </row>
    <row r="316" spans="2:8" x14ac:dyDescent="0.25">
      <c r="B316" s="159" t="s">
        <v>959</v>
      </c>
      <c r="C316" s="159" t="s">
        <v>960</v>
      </c>
      <c r="D316" s="159" t="s">
        <v>961</v>
      </c>
      <c r="E316" s="159" t="s">
        <v>962</v>
      </c>
      <c r="F316" s="159" t="s">
        <v>97</v>
      </c>
      <c r="G316" s="159" t="s">
        <v>1098</v>
      </c>
      <c r="H316" s="159" t="s">
        <v>963</v>
      </c>
    </row>
    <row r="317" spans="2:8" x14ac:dyDescent="0.25">
      <c r="B317" s="165" t="s">
        <v>959</v>
      </c>
      <c r="C317" s="165" t="s">
        <v>960</v>
      </c>
      <c r="D317" s="165" t="s">
        <v>961</v>
      </c>
      <c r="E317" s="165" t="s">
        <v>962</v>
      </c>
      <c r="F317" s="166" t="s">
        <v>97</v>
      </c>
      <c r="G317" s="160" t="s">
        <v>1099</v>
      </c>
      <c r="H317" s="161" t="s">
        <v>17</v>
      </c>
    </row>
    <row r="318" spans="2:8" x14ac:dyDescent="0.25">
      <c r="B318" s="162">
        <v>0</v>
      </c>
      <c r="C318" s="163">
        <v>574.28</v>
      </c>
      <c r="D318" s="162">
        <v>0</v>
      </c>
      <c r="E318" s="163">
        <v>574.28</v>
      </c>
      <c r="F318" s="163" t="s">
        <v>96</v>
      </c>
      <c r="G318" s="164" t="s">
        <v>160</v>
      </c>
      <c r="H318" s="163">
        <v>574.28</v>
      </c>
    </row>
    <row r="319" spans="2:8" x14ac:dyDescent="0.25">
      <c r="B319" s="162">
        <v>574.28</v>
      </c>
      <c r="C319" s="163">
        <v>538.98</v>
      </c>
      <c r="D319" s="162">
        <v>574.28</v>
      </c>
      <c r="E319" s="163">
        <v>538.98</v>
      </c>
      <c r="F319" s="163" t="s">
        <v>248</v>
      </c>
      <c r="G319" s="164" t="s">
        <v>160</v>
      </c>
      <c r="H319" s="163">
        <v>538.98</v>
      </c>
    </row>
    <row r="320" spans="2:8" x14ac:dyDescent="0.25">
      <c r="B320" s="168">
        <v>538.98</v>
      </c>
      <c r="C320" s="170">
        <v>585.73</v>
      </c>
      <c r="D320" s="168">
        <v>538.98</v>
      </c>
      <c r="E320" s="170">
        <v>585.73</v>
      </c>
      <c r="F320" s="168" t="s">
        <v>248</v>
      </c>
      <c r="G320" s="171" t="s">
        <v>160</v>
      </c>
      <c r="H320" s="170">
        <v>590.11</v>
      </c>
    </row>
    <row r="321" spans="2:8" x14ac:dyDescent="0.25">
      <c r="B321" s="170">
        <v>0</v>
      </c>
      <c r="C321" s="168">
        <v>574.28</v>
      </c>
      <c r="D321" s="170">
        <v>0</v>
      </c>
      <c r="E321" s="168">
        <v>574.28</v>
      </c>
      <c r="F321" s="170" t="s">
        <v>96</v>
      </c>
      <c r="G321" s="170" t="s">
        <v>160</v>
      </c>
      <c r="H321" s="168">
        <v>574.28</v>
      </c>
    </row>
    <row r="322" spans="2:8" x14ac:dyDescent="0.25">
      <c r="B322" s="167">
        <v>574.28</v>
      </c>
      <c r="C322" s="170">
        <v>596.99</v>
      </c>
      <c r="D322" s="167">
        <v>574.28</v>
      </c>
      <c r="E322" s="170">
        <v>596.99</v>
      </c>
      <c r="F322" s="170" t="s">
        <v>249</v>
      </c>
      <c r="G322" s="170" t="s">
        <v>160</v>
      </c>
      <c r="H322" s="170">
        <v>596.99</v>
      </c>
    </row>
    <row r="323" spans="2:8" x14ac:dyDescent="0.25">
      <c r="B323" s="170">
        <v>596.99</v>
      </c>
      <c r="C323" s="170">
        <v>554.59</v>
      </c>
      <c r="D323" s="170">
        <v>596.99</v>
      </c>
      <c r="E323" s="170">
        <v>554.59</v>
      </c>
      <c r="F323" s="170" t="s">
        <v>249</v>
      </c>
      <c r="G323" s="170" t="s">
        <v>160</v>
      </c>
      <c r="H323" s="170">
        <v>554.59</v>
      </c>
    </row>
    <row r="324" spans="2:8" x14ac:dyDescent="0.25">
      <c r="B324" s="170">
        <v>0</v>
      </c>
      <c r="C324" s="168">
        <v>574.28</v>
      </c>
      <c r="D324" s="170">
        <v>0</v>
      </c>
      <c r="E324" s="168">
        <v>574.28</v>
      </c>
      <c r="F324" s="170" t="s">
        <v>96</v>
      </c>
      <c r="G324" s="170" t="s">
        <v>160</v>
      </c>
      <c r="H324" s="168">
        <v>574.28</v>
      </c>
    </row>
    <row r="325" spans="2:8" x14ac:dyDescent="0.25">
      <c r="B325" s="168">
        <v>574.28</v>
      </c>
      <c r="C325" s="170">
        <v>538.51</v>
      </c>
      <c r="D325" s="168">
        <v>574.28</v>
      </c>
      <c r="E325" s="170">
        <v>538.51</v>
      </c>
      <c r="F325" s="170" t="s">
        <v>249</v>
      </c>
      <c r="G325" s="170" t="s">
        <v>160</v>
      </c>
      <c r="H325" s="170">
        <v>538.51</v>
      </c>
    </row>
    <row r="326" spans="2:8" x14ac:dyDescent="0.25">
      <c r="B326" s="170">
        <v>538.51</v>
      </c>
      <c r="C326" s="170">
        <v>596.99</v>
      </c>
      <c r="D326" s="170">
        <v>538.51</v>
      </c>
      <c r="E326" s="170">
        <v>596.99</v>
      </c>
      <c r="F326" s="170" t="s">
        <v>249</v>
      </c>
      <c r="G326" s="170" t="s">
        <v>160</v>
      </c>
      <c r="H326" s="170">
        <v>596.99</v>
      </c>
    </row>
    <row r="327" spans="2:8" x14ac:dyDescent="0.25">
      <c r="B327" s="170">
        <v>0</v>
      </c>
      <c r="C327" s="168">
        <v>574.28</v>
      </c>
      <c r="D327" s="170">
        <v>0</v>
      </c>
      <c r="E327" s="168">
        <v>574.28</v>
      </c>
      <c r="F327" s="170" t="s">
        <v>96</v>
      </c>
      <c r="G327" s="170" t="s">
        <v>160</v>
      </c>
      <c r="H327" s="168">
        <v>574.28</v>
      </c>
    </row>
    <row r="328" spans="2:8" x14ac:dyDescent="0.25">
      <c r="B328" s="163">
        <v>574.28</v>
      </c>
      <c r="C328" s="163">
        <v>597.53</v>
      </c>
      <c r="D328" s="163">
        <v>574.28</v>
      </c>
      <c r="E328" s="163">
        <v>597.53</v>
      </c>
      <c r="F328" s="163" t="s">
        <v>248</v>
      </c>
      <c r="G328" s="164" t="s">
        <v>160</v>
      </c>
      <c r="H328" s="169">
        <v>604.28</v>
      </c>
    </row>
    <row r="329" spans="2:8" x14ac:dyDescent="0.25">
      <c r="B329" s="169">
        <v>604.28</v>
      </c>
      <c r="C329" s="163">
        <v>538.98</v>
      </c>
      <c r="D329" s="163">
        <v>597.53</v>
      </c>
      <c r="E329" s="163">
        <v>538.98</v>
      </c>
      <c r="F329" s="169" t="s">
        <v>249</v>
      </c>
      <c r="G329" s="164" t="s">
        <v>160</v>
      </c>
      <c r="H329" s="169">
        <v>545.73</v>
      </c>
    </row>
    <row r="330" spans="2:8" x14ac:dyDescent="0.25">
      <c r="B330" s="172">
        <v>545.73</v>
      </c>
      <c r="C330" s="173">
        <v>597.53</v>
      </c>
      <c r="D330" s="173">
        <v>538.98</v>
      </c>
      <c r="E330" s="173">
        <v>597.53</v>
      </c>
      <c r="F330" s="172" t="s">
        <v>249</v>
      </c>
      <c r="G330" s="174" t="s">
        <v>160</v>
      </c>
      <c r="H330" s="172">
        <v>604.28</v>
      </c>
    </row>
    <row r="334" spans="2:8" x14ac:dyDescent="0.25">
      <c r="B334" s="444" t="s">
        <v>1242</v>
      </c>
      <c r="C334" s="444"/>
      <c r="D334" s="444"/>
      <c r="E334" s="444"/>
      <c r="F334" s="444"/>
    </row>
    <row r="335" spans="2:8" x14ac:dyDescent="0.25">
      <c r="B335" s="60" t="s">
        <v>3</v>
      </c>
      <c r="C335" s="60" t="s">
        <v>6</v>
      </c>
      <c r="D335" s="60">
        <v>4</v>
      </c>
      <c r="E335" s="60"/>
      <c r="F335" s="60"/>
    </row>
    <row ht="15.75" r="336" spans="2:8" x14ac:dyDescent="0.3">
      <c r="B336" s="2" t="s">
        <v>1</v>
      </c>
      <c r="C336" s="159" t="s">
        <v>1098</v>
      </c>
      <c r="D336" s="159" t="s">
        <v>1245</v>
      </c>
      <c r="E336" s="159" t="s">
        <v>1208</v>
      </c>
      <c r="F336" s="159" t="s">
        <v>1243</v>
      </c>
    </row>
    <row ht="15.75" r="337" spans="2:7" x14ac:dyDescent="0.3">
      <c r="B337" s="62" t="s">
        <v>108</v>
      </c>
      <c r="C337" s="63"/>
      <c r="D337" s="63"/>
      <c r="E337" s="63"/>
      <c r="F337" s="63"/>
    </row>
    <row r="338" spans="2:7" x14ac:dyDescent="0.25">
      <c r="B338" s="95" t="s">
        <v>106</v>
      </c>
      <c r="C338" s="95" t="s">
        <v>1139</v>
      </c>
      <c r="D338" s="95" t="s">
        <v>1246</v>
      </c>
      <c r="E338" s="142" t="s">
        <v>1238</v>
      </c>
      <c r="F338" s="142" t="s">
        <v>1244</v>
      </c>
    </row>
    <row r="339" spans="2:7" x14ac:dyDescent="0.25">
      <c r="B339" s="148" t="s">
        <v>0</v>
      </c>
      <c r="C339" s="149" t="s">
        <v>1003</v>
      </c>
      <c r="D339" s="285">
        <v>43445</v>
      </c>
      <c r="E339" s="286" t="s">
        <v>1342</v>
      </c>
      <c r="F339" s="286" t="s">
        <v>1374</v>
      </c>
    </row>
    <row r="340" spans="2:7" x14ac:dyDescent="0.25">
      <c r="B340" s="153" t="s">
        <v>1250</v>
      </c>
      <c r="C340" s="149" t="s">
        <v>160</v>
      </c>
      <c r="D340" s="285">
        <v>43447</v>
      </c>
      <c r="E340" s="286" t="s">
        <v>1375</v>
      </c>
      <c r="F340" s="286" t="s">
        <v>1376</v>
      </c>
    </row>
    <row r="341" spans="2:7" x14ac:dyDescent="0.25">
      <c r="B341" s="274"/>
      <c r="C341" s="274"/>
      <c r="D341" s="156"/>
      <c r="E341" s="287"/>
      <c r="F341" s="287"/>
    </row>
    <row r="344" spans="2:7" x14ac:dyDescent="0.25">
      <c r="B344" s="444" t="s">
        <v>270</v>
      </c>
      <c r="C344" s="444"/>
      <c r="D344" s="444"/>
      <c r="E344" s="444"/>
      <c r="F344" s="444"/>
      <c r="G344" s="158"/>
    </row>
    <row r="345" spans="2:7" x14ac:dyDescent="0.25">
      <c r="B345" s="159" t="s">
        <v>3</v>
      </c>
      <c r="C345" s="159" t="s">
        <v>6</v>
      </c>
      <c r="D345" s="159">
        <v>4</v>
      </c>
      <c r="E345" s="158"/>
      <c r="F345" s="159"/>
      <c r="G345" s="158"/>
    </row>
    <row r="346" spans="2:7" x14ac:dyDescent="0.25">
      <c r="B346" s="159" t="s">
        <v>24</v>
      </c>
      <c r="C346" s="159" t="s">
        <v>25</v>
      </c>
      <c r="D346" s="159" t="s">
        <v>8</v>
      </c>
      <c r="E346" s="159" t="s">
        <v>153</v>
      </c>
      <c r="F346" s="159" t="s">
        <v>1098</v>
      </c>
      <c r="G346" s="159" t="s">
        <v>11</v>
      </c>
    </row>
    <row r="347" spans="2:7" x14ac:dyDescent="0.25">
      <c r="B347" s="160" t="s">
        <v>26</v>
      </c>
      <c r="C347" s="160" t="s">
        <v>27</v>
      </c>
      <c r="D347" s="160" t="s">
        <v>28</v>
      </c>
      <c r="E347" s="160" t="s">
        <v>268</v>
      </c>
      <c r="F347" s="160" t="s">
        <v>1099</v>
      </c>
      <c r="G347" s="161" t="s">
        <v>17</v>
      </c>
    </row>
    <row r="348" spans="2:7" x14ac:dyDescent="0.25">
      <c r="B348" s="158">
        <v>1000</v>
      </c>
      <c r="C348" s="13">
        <v>1</v>
      </c>
      <c r="D348" s="13" t="s">
        <v>18</v>
      </c>
      <c r="E348" s="163" t="s">
        <v>160</v>
      </c>
      <c r="F348" s="164" t="s">
        <v>160</v>
      </c>
      <c r="G348" s="439">
        <v>469.2</v>
      </c>
    </row>
    <row r="349" spans="2:7" x14ac:dyDescent="0.25">
      <c r="B349" s="158">
        <v>1000</v>
      </c>
      <c r="C349" s="13">
        <v>1</v>
      </c>
      <c r="D349" s="13" t="s">
        <v>29</v>
      </c>
      <c r="E349" s="163" t="s">
        <v>160</v>
      </c>
      <c r="F349" s="164" t="s">
        <v>160</v>
      </c>
      <c r="G349" s="439">
        <v>469.2</v>
      </c>
    </row>
    <row r="350" spans="2:7" x14ac:dyDescent="0.25">
      <c r="B350" s="158">
        <v>1640</v>
      </c>
      <c r="C350" s="13">
        <v>1</v>
      </c>
      <c r="D350" s="13" t="s">
        <v>18</v>
      </c>
      <c r="E350" s="163" t="s">
        <v>160</v>
      </c>
      <c r="F350" s="164" t="s">
        <v>160</v>
      </c>
      <c r="G350" s="439">
        <v>559.28639999999996</v>
      </c>
    </row>
    <row r="351" spans="2:7" x14ac:dyDescent="0.25">
      <c r="B351" s="158">
        <v>1640</v>
      </c>
      <c r="C351" s="13">
        <v>1</v>
      </c>
      <c r="D351" s="13" t="s">
        <v>29</v>
      </c>
      <c r="E351" s="163" t="s">
        <v>160</v>
      </c>
      <c r="F351" s="164" t="s">
        <v>160</v>
      </c>
      <c r="G351" s="439">
        <v>559.28639999999996</v>
      </c>
    </row>
    <row r="352" spans="2:7" x14ac:dyDescent="0.25">
      <c r="B352" s="158">
        <v>4758</v>
      </c>
      <c r="C352" s="56">
        <v>1</v>
      </c>
      <c r="D352" s="13" t="s">
        <v>18</v>
      </c>
      <c r="E352" s="163" t="s">
        <v>160</v>
      </c>
      <c r="F352" s="164" t="s">
        <v>160</v>
      </c>
      <c r="G352" s="439">
        <v>915.69072000000006</v>
      </c>
    </row>
    <row r="353" spans="2:7" x14ac:dyDescent="0.25">
      <c r="B353" s="158">
        <v>4758</v>
      </c>
      <c r="C353" s="56">
        <v>1</v>
      </c>
      <c r="D353" s="13" t="s">
        <v>29</v>
      </c>
      <c r="E353" s="163" t="s">
        <v>160</v>
      </c>
      <c r="F353" s="164" t="s">
        <v>160</v>
      </c>
      <c r="G353" s="439">
        <v>915.69072000000006</v>
      </c>
    </row>
    <row r="354" spans="2:7" x14ac:dyDescent="0.25">
      <c r="B354" s="158">
        <v>6160</v>
      </c>
      <c r="C354" s="56">
        <v>1</v>
      </c>
      <c r="D354" s="13" t="s">
        <v>18</v>
      </c>
      <c r="E354" s="163" t="s">
        <v>160</v>
      </c>
      <c r="F354" s="164" t="s">
        <v>160</v>
      </c>
      <c r="G354" s="439">
        <v>992.82719999999995</v>
      </c>
    </row>
    <row r="355" spans="2:7" x14ac:dyDescent="0.25">
      <c r="B355" s="158">
        <v>6160</v>
      </c>
      <c r="C355" s="56">
        <v>1</v>
      </c>
      <c r="D355" s="13" t="s">
        <v>29</v>
      </c>
      <c r="E355" s="163" t="s">
        <v>160</v>
      </c>
      <c r="F355" s="164" t="s">
        <v>160</v>
      </c>
      <c r="G355" s="439">
        <v>992.82719999999995</v>
      </c>
    </row>
    <row r="356" spans="2:7" x14ac:dyDescent="0.25">
      <c r="B356" s="158">
        <v>7794</v>
      </c>
      <c r="C356" s="56">
        <v>1</v>
      </c>
      <c r="D356" s="13" t="s">
        <v>18</v>
      </c>
      <c r="E356" s="163" t="s">
        <v>160</v>
      </c>
      <c r="F356" s="164" t="s">
        <v>160</v>
      </c>
      <c r="G356" s="439">
        <v>1069.4944800000001</v>
      </c>
    </row>
    <row r="357" spans="2:7" x14ac:dyDescent="0.25">
      <c r="B357" s="158">
        <v>7794</v>
      </c>
      <c r="C357" s="56">
        <v>1</v>
      </c>
      <c r="D357" s="13" t="s">
        <v>29</v>
      </c>
      <c r="E357" s="163" t="s">
        <v>160</v>
      </c>
      <c r="F357" s="164" t="s">
        <v>160</v>
      </c>
      <c r="G357" s="439">
        <v>1069.4944800000001</v>
      </c>
    </row>
    <row r="358" spans="2:7" x14ac:dyDescent="0.25">
      <c r="B358" s="158">
        <v>12569</v>
      </c>
      <c r="C358" s="56">
        <v>1</v>
      </c>
      <c r="D358" s="13" t="s">
        <v>18</v>
      </c>
      <c r="E358" s="163" t="s">
        <v>160</v>
      </c>
      <c r="F358" s="164" t="s">
        <v>160</v>
      </c>
      <c r="G358" s="439">
        <v>1233.26874</v>
      </c>
    </row>
    <row r="359" spans="2:7" x14ac:dyDescent="0.25">
      <c r="B359" s="158">
        <v>12569</v>
      </c>
      <c r="C359" s="56">
        <v>1</v>
      </c>
      <c r="D359" s="13" t="s">
        <v>29</v>
      </c>
      <c r="E359" s="163" t="s">
        <v>160</v>
      </c>
      <c r="F359" s="164" t="s">
        <v>160</v>
      </c>
      <c r="G359" s="439">
        <v>1233.26874</v>
      </c>
    </row>
    <row r="360" spans="2:7" x14ac:dyDescent="0.25">
      <c r="B360" s="158">
        <v>13012</v>
      </c>
      <c r="C360" s="56">
        <v>1</v>
      </c>
      <c r="D360" s="13" t="s">
        <v>18</v>
      </c>
      <c r="E360" s="163" t="s">
        <v>160</v>
      </c>
      <c r="F360" s="164" t="s">
        <v>160</v>
      </c>
      <c r="G360" s="439">
        <v>1243.6615200000001</v>
      </c>
    </row>
    <row r="361" spans="2:7" x14ac:dyDescent="0.25">
      <c r="B361" s="158">
        <v>13012</v>
      </c>
      <c r="C361" s="56">
        <v>1</v>
      </c>
      <c r="D361" s="13" t="s">
        <v>29</v>
      </c>
      <c r="E361" s="163" t="s">
        <v>160</v>
      </c>
      <c r="F361" s="164" t="s">
        <v>160</v>
      </c>
      <c r="G361" s="439">
        <v>1243.6615200000001</v>
      </c>
    </row>
    <row r="362" spans="2:7" x14ac:dyDescent="0.25">
      <c r="B362" s="158">
        <v>13708</v>
      </c>
      <c r="C362" s="13">
        <v>1</v>
      </c>
      <c r="D362" s="13" t="s">
        <v>18</v>
      </c>
      <c r="E362" s="163" t="s">
        <v>160</v>
      </c>
      <c r="F362" s="164" t="s">
        <v>160</v>
      </c>
      <c r="G362" s="439">
        <v>1259.9896799999999</v>
      </c>
    </row>
    <row r="363" spans="2:7" x14ac:dyDescent="0.25">
      <c r="B363" s="158">
        <v>13708</v>
      </c>
      <c r="C363" s="13">
        <v>1</v>
      </c>
      <c r="D363" s="13" t="s">
        <v>29</v>
      </c>
      <c r="E363" s="163" t="s">
        <v>160</v>
      </c>
      <c r="F363" s="164" t="s">
        <v>160</v>
      </c>
      <c r="G363" s="439">
        <v>1259.9896799999999</v>
      </c>
    </row>
    <row r="364" spans="2:7" x14ac:dyDescent="0.25">
      <c r="B364" s="158">
        <v>16090</v>
      </c>
      <c r="C364" s="56">
        <v>1</v>
      </c>
      <c r="D364" s="13" t="s">
        <v>18</v>
      </c>
      <c r="E364" s="163" t="s">
        <v>160</v>
      </c>
      <c r="F364" s="164" t="s">
        <v>160</v>
      </c>
      <c r="G364" s="439">
        <v>1315.8714</v>
      </c>
    </row>
    <row r="365" spans="2:7" x14ac:dyDescent="0.25">
      <c r="B365" s="158">
        <v>16090</v>
      </c>
      <c r="C365" s="56">
        <v>1</v>
      </c>
      <c r="D365" s="13" t="s">
        <v>29</v>
      </c>
      <c r="E365" s="163" t="s">
        <v>160</v>
      </c>
      <c r="F365" s="164" t="s">
        <v>160</v>
      </c>
      <c r="G365" s="439">
        <v>1315.8714</v>
      </c>
    </row>
    <row r="366" spans="2:7" x14ac:dyDescent="0.25">
      <c r="B366" s="158">
        <v>20558</v>
      </c>
      <c r="C366" s="56">
        <v>1</v>
      </c>
      <c r="D366" s="13" t="s">
        <v>18</v>
      </c>
      <c r="E366" s="163" t="s">
        <v>160</v>
      </c>
      <c r="F366" s="164" t="s">
        <v>160</v>
      </c>
      <c r="G366" s="439">
        <v>1414.14534</v>
      </c>
    </row>
    <row r="367" spans="2:7" x14ac:dyDescent="0.25">
      <c r="B367" s="158">
        <v>20558</v>
      </c>
      <c r="C367" s="56">
        <v>1</v>
      </c>
      <c r="D367" s="13" t="s">
        <v>29</v>
      </c>
      <c r="E367" s="163" t="s">
        <v>160</v>
      </c>
      <c r="F367" s="164" t="s">
        <v>160</v>
      </c>
      <c r="G367" s="439">
        <v>1414.14534</v>
      </c>
    </row>
    <row r="368" spans="2:7" x14ac:dyDescent="0.25">
      <c r="B368" s="158">
        <v>22181</v>
      </c>
      <c r="C368" s="56">
        <v>1</v>
      </c>
      <c r="D368" s="13" t="s">
        <v>18</v>
      </c>
      <c r="E368" s="163" t="s">
        <v>160</v>
      </c>
      <c r="F368" s="164" t="s">
        <v>160</v>
      </c>
      <c r="G368" s="439">
        <v>1433.1831299999999</v>
      </c>
    </row>
    <row r="369" spans="2:7" x14ac:dyDescent="0.25">
      <c r="B369" s="158">
        <v>22181</v>
      </c>
      <c r="C369" s="56">
        <v>1</v>
      </c>
      <c r="D369" s="13" t="s">
        <v>29</v>
      </c>
      <c r="E369" s="163" t="s">
        <v>160</v>
      </c>
      <c r="F369" s="164" t="s">
        <v>160</v>
      </c>
      <c r="G369" s="439">
        <v>1433.1831299999999</v>
      </c>
    </row>
    <row r="370" spans="2:7" x14ac:dyDescent="0.25">
      <c r="B370" s="158">
        <v>34484</v>
      </c>
      <c r="C370" s="56">
        <v>1</v>
      </c>
      <c r="D370" s="13" t="s">
        <v>18</v>
      </c>
      <c r="E370" s="163" t="s">
        <v>160</v>
      </c>
      <c r="F370" s="164" t="s">
        <v>160</v>
      </c>
      <c r="G370" s="439">
        <v>1577.4973199999999</v>
      </c>
    </row>
    <row r="371" spans="2:7" x14ac:dyDescent="0.25">
      <c r="B371" s="158">
        <v>34484</v>
      </c>
      <c r="C371" s="56">
        <v>1</v>
      </c>
      <c r="D371" s="13" t="s">
        <v>29</v>
      </c>
      <c r="E371" s="163" t="s">
        <v>160</v>
      </c>
      <c r="F371" s="164" t="s">
        <v>160</v>
      </c>
      <c r="G371" s="439">
        <v>1577.4973199999999</v>
      </c>
    </row>
    <row r="372" spans="2:7" x14ac:dyDescent="0.25">
      <c r="B372" s="158">
        <v>36921</v>
      </c>
      <c r="C372" s="13">
        <v>1</v>
      </c>
      <c r="D372" s="13" t="s">
        <v>18</v>
      </c>
      <c r="E372" s="163" t="s">
        <v>160</v>
      </c>
      <c r="F372" s="164" t="s">
        <v>160</v>
      </c>
      <c r="G372" s="439">
        <v>1606.0833299999999</v>
      </c>
    </row>
    <row r="373" spans="2:7" x14ac:dyDescent="0.25">
      <c r="B373" s="158">
        <v>36921</v>
      </c>
      <c r="C373" s="13">
        <v>1</v>
      </c>
      <c r="D373" s="13" t="s">
        <v>29</v>
      </c>
      <c r="E373" s="163" t="s">
        <v>160</v>
      </c>
      <c r="F373" s="164" t="s">
        <v>160</v>
      </c>
      <c r="G373" s="439">
        <v>1606.0833299999999</v>
      </c>
    </row>
    <row r="374" spans="2:7" x14ac:dyDescent="0.25">
      <c r="B374" s="158">
        <v>49354</v>
      </c>
      <c r="C374" s="56">
        <v>1</v>
      </c>
      <c r="D374" s="13" t="s">
        <v>18</v>
      </c>
      <c r="E374" s="163" t="s">
        <v>160</v>
      </c>
      <c r="F374" s="164" t="s">
        <v>160</v>
      </c>
      <c r="G374" s="439">
        <v>1751.9224200000001</v>
      </c>
    </row>
    <row r="375" spans="2:7" x14ac:dyDescent="0.25">
      <c r="B375" s="158">
        <v>49354</v>
      </c>
      <c r="C375" s="56">
        <v>1</v>
      </c>
      <c r="D375" s="13" t="s">
        <v>29</v>
      </c>
      <c r="E375" s="163" t="s">
        <v>160</v>
      </c>
      <c r="F375" s="164" t="s">
        <v>160</v>
      </c>
      <c r="G375" s="439">
        <v>1751.9224200000001</v>
      </c>
    </row>
    <row r="376" spans="2:7" x14ac:dyDescent="0.25">
      <c r="B376" s="158">
        <v>49494</v>
      </c>
      <c r="C376" s="56">
        <v>1</v>
      </c>
      <c r="D376" s="13" t="s">
        <v>18</v>
      </c>
      <c r="E376" s="163" t="s">
        <v>160</v>
      </c>
      <c r="F376" s="164" t="s">
        <v>160</v>
      </c>
      <c r="G376" s="439">
        <v>1753.5646200000001</v>
      </c>
    </row>
    <row r="377" spans="2:7" x14ac:dyDescent="0.25">
      <c r="B377" s="158">
        <v>49494</v>
      </c>
      <c r="C377" s="56">
        <v>1</v>
      </c>
      <c r="D377" s="13" t="s">
        <v>29</v>
      </c>
      <c r="E377" s="163" t="s">
        <v>160</v>
      </c>
      <c r="F377" s="164" t="s">
        <v>160</v>
      </c>
      <c r="G377" s="439">
        <v>1753.5646200000001</v>
      </c>
    </row>
    <row r="378" spans="2:7" x14ac:dyDescent="0.25">
      <c r="B378" s="158">
        <v>53607</v>
      </c>
      <c r="C378" s="56">
        <v>1</v>
      </c>
      <c r="D378" s="13" t="s">
        <v>18</v>
      </c>
      <c r="E378" s="163" t="s">
        <v>160</v>
      </c>
      <c r="F378" s="164" t="s">
        <v>160</v>
      </c>
      <c r="G378" s="439">
        <v>1801.8101099999999</v>
      </c>
    </row>
    <row r="379" spans="2:7" x14ac:dyDescent="0.25">
      <c r="B379" s="158">
        <v>53607</v>
      </c>
      <c r="C379" s="56">
        <v>1</v>
      </c>
      <c r="D379" s="13" t="s">
        <v>29</v>
      </c>
      <c r="E379" s="163" t="s">
        <v>160</v>
      </c>
      <c r="F379" s="164" t="s">
        <v>160</v>
      </c>
      <c r="G379" s="439">
        <v>1801.8101099999999</v>
      </c>
    </row>
    <row r="380" spans="2:7" x14ac:dyDescent="0.25">
      <c r="B380" s="158">
        <v>54672</v>
      </c>
      <c r="C380" s="56">
        <v>1</v>
      </c>
      <c r="D380" s="13" t="s">
        <v>18</v>
      </c>
      <c r="E380" s="163" t="s">
        <v>160</v>
      </c>
      <c r="F380" s="164" t="s">
        <v>160</v>
      </c>
      <c r="G380" s="439">
        <v>1814.3025600000001</v>
      </c>
    </row>
    <row r="381" spans="2:7" x14ac:dyDescent="0.25">
      <c r="B381" s="158">
        <v>54672</v>
      </c>
      <c r="C381" s="56">
        <v>1</v>
      </c>
      <c r="D381" s="13" t="s">
        <v>29</v>
      </c>
      <c r="E381" s="163" t="s">
        <v>160</v>
      </c>
      <c r="F381" s="164" t="s">
        <v>160</v>
      </c>
      <c r="G381" s="439">
        <v>1814.3025600000001</v>
      </c>
    </row>
    <row r="382" spans="2:7" x14ac:dyDescent="0.25">
      <c r="B382" s="158">
        <v>58445</v>
      </c>
      <c r="C382" s="13">
        <v>1</v>
      </c>
      <c r="D382" s="13" t="s">
        <v>18</v>
      </c>
      <c r="E382" s="163" t="s">
        <v>160</v>
      </c>
      <c r="F382" s="164" t="s">
        <v>160</v>
      </c>
      <c r="G382" s="439">
        <v>1858.5598500000001</v>
      </c>
    </row>
    <row r="383" spans="2:7" x14ac:dyDescent="0.25">
      <c r="B383" s="158">
        <v>58445</v>
      </c>
      <c r="C383" s="13">
        <v>1</v>
      </c>
      <c r="D383" s="13" t="s">
        <v>29</v>
      </c>
      <c r="E383" s="163" t="s">
        <v>160</v>
      </c>
      <c r="F383" s="164" t="s">
        <v>160</v>
      </c>
      <c r="G383" s="439">
        <v>1858.5598500000001</v>
      </c>
    </row>
    <row r="384" spans="2:7" x14ac:dyDescent="0.25">
      <c r="B384" s="158">
        <v>60769</v>
      </c>
      <c r="C384" s="56">
        <v>1</v>
      </c>
      <c r="D384" s="13" t="s">
        <v>18</v>
      </c>
      <c r="E384" s="163" t="s">
        <v>160</v>
      </c>
      <c r="F384" s="164" t="s">
        <v>160</v>
      </c>
      <c r="G384" s="439">
        <v>1885.8203699999999</v>
      </c>
    </row>
    <row r="385" spans="2:7" x14ac:dyDescent="0.25">
      <c r="B385" s="158">
        <v>60769</v>
      </c>
      <c r="C385" s="56">
        <v>1</v>
      </c>
      <c r="D385" s="13" t="s">
        <v>29</v>
      </c>
      <c r="E385" s="163" t="s">
        <v>160</v>
      </c>
      <c r="F385" s="164" t="s">
        <v>160</v>
      </c>
      <c r="G385" s="439">
        <v>1885.8203699999999</v>
      </c>
    </row>
    <row r="386" spans="2:7" x14ac:dyDescent="0.25">
      <c r="B386" s="158">
        <v>63454</v>
      </c>
      <c r="C386" s="56">
        <v>1</v>
      </c>
      <c r="D386" s="13" t="s">
        <v>18</v>
      </c>
      <c r="E386" s="163" t="s">
        <v>160</v>
      </c>
      <c r="F386" s="164" t="s">
        <v>160</v>
      </c>
      <c r="G386" s="439">
        <v>1917.3154199999999</v>
      </c>
    </row>
    <row r="387" spans="2:7" x14ac:dyDescent="0.25">
      <c r="B387" s="158">
        <v>63454</v>
      </c>
      <c r="C387" s="56">
        <v>1</v>
      </c>
      <c r="D387" s="13" t="s">
        <v>29</v>
      </c>
      <c r="E387" s="163" t="s">
        <v>160</v>
      </c>
      <c r="F387" s="164" t="s">
        <v>160</v>
      </c>
      <c r="G387" s="439">
        <v>1917.3154199999999</v>
      </c>
    </row>
    <row r="388" spans="2:7" x14ac:dyDescent="0.25">
      <c r="B388" s="158">
        <v>68151</v>
      </c>
      <c r="C388" s="56">
        <v>1</v>
      </c>
      <c r="D388" s="13" t="s">
        <v>18</v>
      </c>
      <c r="E388" s="163" t="s">
        <v>160</v>
      </c>
      <c r="F388" s="164" t="s">
        <v>160</v>
      </c>
      <c r="G388" s="439">
        <v>1972.4112299999999</v>
      </c>
    </row>
    <row r="389" spans="2:7" x14ac:dyDescent="0.25">
      <c r="B389" s="158">
        <v>68151</v>
      </c>
      <c r="C389" s="56">
        <v>1</v>
      </c>
      <c r="D389" s="13" t="s">
        <v>29</v>
      </c>
      <c r="E389" s="163" t="s">
        <v>160</v>
      </c>
      <c r="F389" s="164" t="s">
        <v>160</v>
      </c>
      <c r="G389" s="439">
        <v>1972.4112299999999</v>
      </c>
    </row>
    <row r="390" spans="2:7" x14ac:dyDescent="0.25">
      <c r="B390" s="158">
        <v>69200</v>
      </c>
      <c r="C390" s="56">
        <v>1</v>
      </c>
      <c r="D390" s="13" t="s">
        <v>18</v>
      </c>
      <c r="E390" s="163" t="s">
        <v>160</v>
      </c>
      <c r="F390" s="164" t="s">
        <v>160</v>
      </c>
      <c r="G390" s="439">
        <v>1984.7159999999999</v>
      </c>
    </row>
    <row r="391" spans="2:7" x14ac:dyDescent="0.25">
      <c r="B391" s="158">
        <v>69200</v>
      </c>
      <c r="C391" s="56">
        <v>1</v>
      </c>
      <c r="D391" s="13" t="s">
        <v>29</v>
      </c>
      <c r="E391" s="163" t="s">
        <v>160</v>
      </c>
      <c r="F391" s="164" t="s">
        <v>160</v>
      </c>
      <c r="G391" s="439">
        <v>1984.7159999999999</v>
      </c>
    </row>
    <row r="392" spans="2:7" x14ac:dyDescent="0.25">
      <c r="B392" s="158">
        <v>79201</v>
      </c>
      <c r="C392" s="56">
        <v>1</v>
      </c>
      <c r="D392" s="13" t="s">
        <v>18</v>
      </c>
      <c r="E392" s="163" t="s">
        <v>160</v>
      </c>
      <c r="F392" s="164" t="s">
        <v>160</v>
      </c>
      <c r="G392" s="439">
        <v>2102.0277299999998</v>
      </c>
    </row>
    <row r="393" spans="2:7" x14ac:dyDescent="0.25">
      <c r="B393" s="158">
        <v>79201</v>
      </c>
      <c r="C393" s="56">
        <v>1</v>
      </c>
      <c r="D393" s="13" t="s">
        <v>29</v>
      </c>
      <c r="E393" s="163" t="s">
        <v>160</v>
      </c>
      <c r="F393" s="164" t="s">
        <v>160</v>
      </c>
      <c r="G393" s="439">
        <v>2102.0277299999998</v>
      </c>
    </row>
    <row r="394" spans="2:7" x14ac:dyDescent="0.25">
      <c r="B394" s="158">
        <v>80996</v>
      </c>
      <c r="C394" s="56">
        <v>1</v>
      </c>
      <c r="D394" s="13" t="s">
        <v>18</v>
      </c>
      <c r="E394" s="163" t="s">
        <v>160</v>
      </c>
      <c r="F394" s="164" t="s">
        <v>160</v>
      </c>
      <c r="G394" s="439">
        <v>2123.0830799999999</v>
      </c>
    </row>
    <row r="395" spans="2:7" x14ac:dyDescent="0.25">
      <c r="B395" s="158">
        <v>80996</v>
      </c>
      <c r="C395" s="56">
        <v>1</v>
      </c>
      <c r="D395" s="13" t="s">
        <v>29</v>
      </c>
      <c r="E395" s="163" t="s">
        <v>160</v>
      </c>
      <c r="F395" s="164" t="s">
        <v>160</v>
      </c>
      <c r="G395" s="439">
        <v>2123.0830799999999</v>
      </c>
    </row>
    <row r="396" spans="2:7" x14ac:dyDescent="0.25">
      <c r="B396" s="158">
        <v>82031</v>
      </c>
      <c r="C396" s="56">
        <v>1</v>
      </c>
      <c r="D396" s="13" t="s">
        <v>18</v>
      </c>
      <c r="E396" s="163" t="s">
        <v>160</v>
      </c>
      <c r="F396" s="164" t="s">
        <v>160</v>
      </c>
      <c r="G396" s="439">
        <v>2135.22363</v>
      </c>
    </row>
    <row r="397" spans="2:7" x14ac:dyDescent="0.25">
      <c r="B397" s="158">
        <v>82031</v>
      </c>
      <c r="C397" s="56">
        <v>1</v>
      </c>
      <c r="D397" s="13" t="s">
        <v>29</v>
      </c>
      <c r="E397" s="163" t="s">
        <v>160</v>
      </c>
      <c r="F397" s="164" t="s">
        <v>160</v>
      </c>
      <c r="G397" s="439">
        <v>2135.22363</v>
      </c>
    </row>
    <row r="398" spans="2:7" x14ac:dyDescent="0.25">
      <c r="B398" s="158">
        <v>84935</v>
      </c>
      <c r="C398" s="56">
        <v>1</v>
      </c>
      <c r="D398" s="13" t="s">
        <v>18</v>
      </c>
      <c r="E398" s="163" t="s">
        <v>160</v>
      </c>
      <c r="F398" s="164" t="s">
        <v>160</v>
      </c>
      <c r="G398" s="439">
        <v>2169.28755</v>
      </c>
    </row>
    <row r="399" spans="2:7" x14ac:dyDescent="0.25">
      <c r="B399" s="131">
        <v>84935</v>
      </c>
      <c r="C399" s="56">
        <v>1</v>
      </c>
      <c r="D399" s="56" t="s">
        <v>29</v>
      </c>
      <c r="E399" s="130" t="s">
        <v>160</v>
      </c>
      <c r="F399" s="440" t="s">
        <v>160</v>
      </c>
      <c r="G399" s="441">
        <v>2169.28755</v>
      </c>
    </row>
    <row r="400" spans="2:7" x14ac:dyDescent="0.25">
      <c r="B400" s="131">
        <v>86141</v>
      </c>
      <c r="C400" s="56">
        <v>1</v>
      </c>
      <c r="D400" s="56" t="s">
        <v>18</v>
      </c>
      <c r="E400" s="130" t="s">
        <v>160</v>
      </c>
      <c r="F400" s="440" t="s">
        <v>160</v>
      </c>
      <c r="G400" s="441">
        <v>2183.4339300000001</v>
      </c>
    </row>
    <row r="401" spans="2:7" x14ac:dyDescent="0.25">
      <c r="B401" s="158">
        <v>86141</v>
      </c>
      <c r="C401" s="13">
        <v>1</v>
      </c>
      <c r="D401" s="13" t="s">
        <v>29</v>
      </c>
      <c r="E401" s="163" t="s">
        <v>160</v>
      </c>
      <c r="F401" s="164" t="s">
        <v>160</v>
      </c>
      <c r="G401" s="439">
        <v>2183.4339300000001</v>
      </c>
    </row>
    <row r="402" spans="2:7" x14ac:dyDescent="0.25">
      <c r="B402" s="158">
        <v>88709</v>
      </c>
      <c r="C402" s="56">
        <v>1</v>
      </c>
      <c r="D402" s="13" t="s">
        <v>18</v>
      </c>
      <c r="E402" s="163" t="s">
        <v>160</v>
      </c>
      <c r="F402" s="164" t="s">
        <v>160</v>
      </c>
      <c r="G402" s="439">
        <v>2213.5565700000002</v>
      </c>
    </row>
    <row r="403" spans="2:7" x14ac:dyDescent="0.25">
      <c r="B403" s="158">
        <v>88709</v>
      </c>
      <c r="C403" s="56">
        <v>1</v>
      </c>
      <c r="D403" s="13" t="s">
        <v>29</v>
      </c>
      <c r="E403" s="163" t="s">
        <v>160</v>
      </c>
      <c r="F403" s="164" t="s">
        <v>160</v>
      </c>
      <c r="G403" s="439">
        <v>2213.5565700000002</v>
      </c>
    </row>
    <row r="404" spans="2:7" x14ac:dyDescent="0.25">
      <c r="B404" s="158">
        <v>89024</v>
      </c>
      <c r="C404" s="56">
        <v>1</v>
      </c>
      <c r="D404" s="13" t="s">
        <v>18</v>
      </c>
      <c r="E404" s="163" t="s">
        <v>160</v>
      </c>
      <c r="F404" s="164" t="s">
        <v>160</v>
      </c>
      <c r="G404" s="439">
        <v>2217.2515199999998</v>
      </c>
    </row>
    <row r="405" spans="2:7" x14ac:dyDescent="0.25">
      <c r="B405" s="158">
        <v>89024</v>
      </c>
      <c r="C405" s="56">
        <v>1</v>
      </c>
      <c r="D405" s="13" t="s">
        <v>29</v>
      </c>
      <c r="E405" s="163" t="s">
        <v>160</v>
      </c>
      <c r="F405" s="164" t="s">
        <v>160</v>
      </c>
      <c r="G405" s="439">
        <v>2217.2515199999998</v>
      </c>
    </row>
    <row r="406" spans="2:7" x14ac:dyDescent="0.25">
      <c r="B406" s="158">
        <v>90509</v>
      </c>
      <c r="C406" s="56">
        <v>1</v>
      </c>
      <c r="D406" s="13" t="s">
        <v>18</v>
      </c>
      <c r="E406" s="163" t="s">
        <v>160</v>
      </c>
      <c r="F406" s="164" t="s">
        <v>160</v>
      </c>
      <c r="G406" s="439">
        <v>2234.6705700000002</v>
      </c>
    </row>
    <row r="407" spans="2:7" x14ac:dyDescent="0.25">
      <c r="B407" s="158">
        <v>90509</v>
      </c>
      <c r="C407" s="56">
        <v>1</v>
      </c>
      <c r="D407" s="13" t="s">
        <v>29</v>
      </c>
      <c r="E407" s="163" t="s">
        <v>160</v>
      </c>
      <c r="F407" s="164" t="s">
        <v>160</v>
      </c>
      <c r="G407" s="439">
        <v>2234.6705700000002</v>
      </c>
    </row>
    <row r="408" spans="2:7" x14ac:dyDescent="0.25">
      <c r="B408" s="158">
        <v>90658</v>
      </c>
      <c r="C408" s="56">
        <v>1</v>
      </c>
      <c r="D408" s="13" t="s">
        <v>18</v>
      </c>
      <c r="E408" s="163" t="s">
        <v>160</v>
      </c>
      <c r="F408" s="164" t="s">
        <v>160</v>
      </c>
      <c r="G408" s="439">
        <v>2236.4183400000002</v>
      </c>
    </row>
    <row r="409" spans="2:7" x14ac:dyDescent="0.25">
      <c r="B409" s="158">
        <v>90658</v>
      </c>
      <c r="C409" s="56">
        <v>1</v>
      </c>
      <c r="D409" s="13" t="s">
        <v>29</v>
      </c>
      <c r="E409" s="163" t="s">
        <v>160</v>
      </c>
      <c r="F409" s="164" t="s">
        <v>160</v>
      </c>
      <c r="G409" s="439">
        <v>2236.4183400000002</v>
      </c>
    </row>
    <row r="410" spans="2:7" x14ac:dyDescent="0.25">
      <c r="B410" s="158">
        <v>92984</v>
      </c>
      <c r="C410" s="56">
        <v>1</v>
      </c>
      <c r="D410" s="13" t="s">
        <v>18</v>
      </c>
      <c r="E410" s="163" t="s">
        <v>160</v>
      </c>
      <c r="F410" s="164" t="s">
        <v>160</v>
      </c>
      <c r="G410" s="439">
        <v>2263.7023199999999</v>
      </c>
    </row>
    <row r="411" spans="2:7" x14ac:dyDescent="0.25">
      <c r="B411" s="158">
        <v>92984</v>
      </c>
      <c r="C411" s="56">
        <v>1</v>
      </c>
      <c r="D411" s="13" t="s">
        <v>29</v>
      </c>
      <c r="E411" s="163" t="s">
        <v>160</v>
      </c>
      <c r="F411" s="164" t="s">
        <v>160</v>
      </c>
      <c r="G411" s="439">
        <v>2263.7023199999999</v>
      </c>
    </row>
    <row r="412" spans="2:7" x14ac:dyDescent="0.25">
      <c r="B412" s="158">
        <v>95010</v>
      </c>
      <c r="C412" s="56">
        <v>1</v>
      </c>
      <c r="D412" s="13" t="s">
        <v>18</v>
      </c>
      <c r="E412" s="163" t="s">
        <v>160</v>
      </c>
      <c r="F412" s="164" t="s">
        <v>160</v>
      </c>
      <c r="G412" s="439">
        <v>2287.4672999999998</v>
      </c>
    </row>
    <row r="413" spans="2:7" x14ac:dyDescent="0.25">
      <c r="B413" s="158">
        <v>95010</v>
      </c>
      <c r="C413" s="56">
        <v>1</v>
      </c>
      <c r="D413" s="13" t="s">
        <v>29</v>
      </c>
      <c r="E413" s="163" t="s">
        <v>160</v>
      </c>
      <c r="F413" s="164" t="s">
        <v>160</v>
      </c>
      <c r="G413" s="439">
        <v>2287.4672999999998</v>
      </c>
    </row>
    <row r="414" spans="2:7" x14ac:dyDescent="0.25">
      <c r="B414" s="158">
        <v>95913</v>
      </c>
      <c r="C414" s="56">
        <v>1</v>
      </c>
      <c r="D414" s="13" t="s">
        <v>18</v>
      </c>
      <c r="E414" s="163" t="s">
        <v>160</v>
      </c>
      <c r="F414" s="164" t="s">
        <v>160</v>
      </c>
      <c r="G414" s="439">
        <v>2298.0594900000001</v>
      </c>
    </row>
    <row r="415" spans="2:7" x14ac:dyDescent="0.25">
      <c r="B415" s="158">
        <v>95913</v>
      </c>
      <c r="C415" s="56">
        <v>1</v>
      </c>
      <c r="D415" s="13" t="s">
        <v>29</v>
      </c>
      <c r="E415" s="163" t="s">
        <v>160</v>
      </c>
      <c r="F415" s="164" t="s">
        <v>160</v>
      </c>
      <c r="G415" s="439">
        <v>2298.0594900000001</v>
      </c>
    </row>
    <row r="416" spans="2:7" x14ac:dyDescent="0.25">
      <c r="B416" s="158">
        <v>99162</v>
      </c>
      <c r="C416" s="56">
        <v>1</v>
      </c>
      <c r="D416" s="13" t="s">
        <v>18</v>
      </c>
      <c r="E416" s="163" t="s">
        <v>160</v>
      </c>
      <c r="F416" s="164" t="s">
        <v>160</v>
      </c>
      <c r="G416" s="439">
        <v>2336.1702599999999</v>
      </c>
    </row>
    <row r="417" spans="2:7" x14ac:dyDescent="0.25">
      <c r="B417" s="158">
        <v>99162</v>
      </c>
      <c r="C417" s="56">
        <v>1</v>
      </c>
      <c r="D417" s="13" t="s">
        <v>29</v>
      </c>
      <c r="E417" s="163" t="s">
        <v>160</v>
      </c>
      <c r="F417" s="164" t="s">
        <v>160</v>
      </c>
      <c r="G417" s="439">
        <v>2336.1702599999999</v>
      </c>
    </row>
    <row r="418" spans="2:7" x14ac:dyDescent="0.25">
      <c r="B418" s="158">
        <v>101673</v>
      </c>
      <c r="C418" s="56">
        <v>1</v>
      </c>
      <c r="D418" s="13" t="s">
        <v>18</v>
      </c>
      <c r="E418" s="163" t="s">
        <v>160</v>
      </c>
      <c r="F418" s="164" t="s">
        <v>160</v>
      </c>
      <c r="G418" s="439">
        <v>2365.6242900000002</v>
      </c>
    </row>
    <row r="419" spans="2:7" x14ac:dyDescent="0.25">
      <c r="B419" s="158">
        <v>101673</v>
      </c>
      <c r="C419" s="56">
        <v>1</v>
      </c>
      <c r="D419" s="13" t="s">
        <v>29</v>
      </c>
      <c r="E419" s="163" t="s">
        <v>160</v>
      </c>
      <c r="F419" s="164" t="s">
        <v>160</v>
      </c>
      <c r="G419" s="439">
        <v>2365.6242900000002</v>
      </c>
    </row>
    <row r="420" spans="2:7" x14ac:dyDescent="0.25">
      <c r="B420" s="131">
        <v>102061</v>
      </c>
      <c r="C420" s="56">
        <v>1</v>
      </c>
      <c r="D420" s="56" t="s">
        <v>18</v>
      </c>
      <c r="E420" s="130" t="s">
        <v>160</v>
      </c>
      <c r="F420" s="440" t="s">
        <v>160</v>
      </c>
      <c r="G420" s="441">
        <v>2370.17553</v>
      </c>
    </row>
    <row r="421" spans="2:7" x14ac:dyDescent="0.25">
      <c r="B421" s="131">
        <v>102061</v>
      </c>
      <c r="C421" s="56">
        <v>1</v>
      </c>
      <c r="D421" s="13" t="s">
        <v>29</v>
      </c>
      <c r="E421" s="130" t="s">
        <v>160</v>
      </c>
      <c r="F421" s="440" t="s">
        <v>160</v>
      </c>
      <c r="G421" s="441">
        <v>2370.17553</v>
      </c>
    </row>
    <row r="422" spans="2:7" x14ac:dyDescent="0.25">
      <c r="B422" s="158">
        <v>102066</v>
      </c>
      <c r="C422" s="56">
        <v>1</v>
      </c>
      <c r="D422" s="13" t="s">
        <v>18</v>
      </c>
      <c r="E422" s="163" t="s">
        <v>160</v>
      </c>
      <c r="F422" s="164" t="s">
        <v>160</v>
      </c>
      <c r="G422" s="439">
        <v>2370.2341799999999</v>
      </c>
    </row>
    <row r="423" spans="2:7" x14ac:dyDescent="0.25">
      <c r="B423" s="158">
        <v>102066</v>
      </c>
      <c r="C423" s="56">
        <v>1</v>
      </c>
      <c r="D423" s="13" t="s">
        <v>29</v>
      </c>
      <c r="E423" s="163" t="s">
        <v>160</v>
      </c>
      <c r="F423" s="164" t="s">
        <v>160</v>
      </c>
      <c r="G423" s="439">
        <v>2370.2341799999999</v>
      </c>
    </row>
    <row r="424" spans="2:7" x14ac:dyDescent="0.25">
      <c r="B424" s="158">
        <v>106549</v>
      </c>
      <c r="C424" s="13">
        <v>1</v>
      </c>
      <c r="D424" s="13" t="s">
        <v>18</v>
      </c>
      <c r="E424" s="163" t="s">
        <v>160</v>
      </c>
      <c r="F424" s="164" t="s">
        <v>160</v>
      </c>
      <c r="G424" s="439">
        <v>2422.8197700000001</v>
      </c>
    </row>
    <row r="425" spans="2:7" x14ac:dyDescent="0.25">
      <c r="B425" s="158">
        <v>106549</v>
      </c>
      <c r="C425" s="13">
        <v>1</v>
      </c>
      <c r="D425" s="13" t="s">
        <v>29</v>
      </c>
      <c r="E425" s="163" t="s">
        <v>160</v>
      </c>
      <c r="F425" s="164" t="s">
        <v>160</v>
      </c>
      <c r="G425" s="439">
        <v>2422.8197700000001</v>
      </c>
    </row>
    <row r="426" spans="2:7" x14ac:dyDescent="0.25">
      <c r="B426" s="158">
        <v>109830</v>
      </c>
      <c r="C426" s="56">
        <v>1</v>
      </c>
      <c r="D426" s="13" t="s">
        <v>18</v>
      </c>
      <c r="E426" s="163" t="s">
        <v>160</v>
      </c>
      <c r="F426" s="164" t="s">
        <v>160</v>
      </c>
      <c r="G426" s="439">
        <v>2461.3058999999998</v>
      </c>
    </row>
    <row r="427" spans="2:7" x14ac:dyDescent="0.25">
      <c r="B427" s="158">
        <v>109830</v>
      </c>
      <c r="C427" s="56">
        <v>1</v>
      </c>
      <c r="D427" s="13" t="s">
        <v>29</v>
      </c>
      <c r="E427" s="163" t="s">
        <v>160</v>
      </c>
      <c r="F427" s="164" t="s">
        <v>160</v>
      </c>
      <c r="G427" s="439">
        <v>2461.3058999999998</v>
      </c>
    </row>
    <row r="428" spans="2:7" x14ac:dyDescent="0.25">
      <c r="B428" s="158">
        <v>113781</v>
      </c>
      <c r="C428" s="56">
        <v>1</v>
      </c>
      <c r="D428" s="13" t="s">
        <v>18</v>
      </c>
      <c r="E428" s="163" t="s">
        <v>160</v>
      </c>
      <c r="F428" s="164" t="s">
        <v>160</v>
      </c>
      <c r="G428" s="439">
        <v>2507.6511300000002</v>
      </c>
    </row>
    <row r="429" spans="2:7" x14ac:dyDescent="0.25">
      <c r="B429" s="158">
        <v>113781</v>
      </c>
      <c r="C429" s="56">
        <v>1</v>
      </c>
      <c r="D429" s="13" t="s">
        <v>29</v>
      </c>
      <c r="E429" s="163" t="s">
        <v>160</v>
      </c>
      <c r="F429" s="164" t="s">
        <v>160</v>
      </c>
      <c r="G429" s="439">
        <v>2507.6511300000002</v>
      </c>
    </row>
    <row r="430" spans="2:7" x14ac:dyDescent="0.25">
      <c r="B430" s="158">
        <v>114655</v>
      </c>
      <c r="C430" s="13">
        <v>1</v>
      </c>
      <c r="D430" s="13" t="s">
        <v>18</v>
      </c>
      <c r="E430" s="163" t="s">
        <v>160</v>
      </c>
      <c r="F430" s="164" t="s">
        <v>160</v>
      </c>
      <c r="G430" s="439">
        <v>2517.9031500000001</v>
      </c>
    </row>
    <row r="431" spans="2:7" x14ac:dyDescent="0.25">
      <c r="B431" s="158">
        <v>114655</v>
      </c>
      <c r="C431" s="13">
        <v>1</v>
      </c>
      <c r="D431" s="13" t="s">
        <v>29</v>
      </c>
      <c r="E431" s="163" t="s">
        <v>160</v>
      </c>
      <c r="F431" s="164" t="s">
        <v>160</v>
      </c>
      <c r="G431" s="439">
        <v>2517.9031500000001</v>
      </c>
    </row>
    <row r="432" spans="2:7" x14ac:dyDescent="0.25">
      <c r="B432" s="158">
        <v>121288</v>
      </c>
      <c r="C432" s="56">
        <v>1</v>
      </c>
      <c r="D432" s="13" t="s">
        <v>18</v>
      </c>
      <c r="E432" s="163" t="s">
        <v>160</v>
      </c>
      <c r="F432" s="164" t="s">
        <v>160</v>
      </c>
      <c r="G432" s="439">
        <v>2595.7082399999999</v>
      </c>
    </row>
    <row r="433" spans="2:7" x14ac:dyDescent="0.25">
      <c r="B433" s="158">
        <v>121288</v>
      </c>
      <c r="C433" s="56">
        <v>1</v>
      </c>
      <c r="D433" s="13" t="s">
        <v>29</v>
      </c>
      <c r="E433" s="163" t="s">
        <v>160</v>
      </c>
      <c r="F433" s="164" t="s">
        <v>160</v>
      </c>
      <c r="G433" s="439">
        <v>2595.7082399999999</v>
      </c>
    </row>
    <row r="434" spans="2:7" x14ac:dyDescent="0.25">
      <c r="B434" s="158">
        <v>129803</v>
      </c>
      <c r="C434" s="56">
        <v>1</v>
      </c>
      <c r="D434" s="13" t="s">
        <v>18</v>
      </c>
      <c r="E434" s="163" t="s">
        <v>160</v>
      </c>
      <c r="F434" s="164" t="s">
        <v>160</v>
      </c>
      <c r="G434" s="439">
        <v>2695.5891900000001</v>
      </c>
    </row>
    <row r="435" spans="2:7" x14ac:dyDescent="0.25">
      <c r="B435" s="158">
        <v>129803</v>
      </c>
      <c r="C435" s="56">
        <v>1</v>
      </c>
      <c r="D435" s="13" t="s">
        <v>29</v>
      </c>
      <c r="E435" s="163" t="s">
        <v>160</v>
      </c>
      <c r="F435" s="164" t="s">
        <v>160</v>
      </c>
      <c r="G435" s="439">
        <v>2695.5891900000001</v>
      </c>
    </row>
    <row r="436" spans="2:7" x14ac:dyDescent="0.25">
      <c r="B436" s="158">
        <v>131001</v>
      </c>
      <c r="C436" s="13">
        <v>1</v>
      </c>
      <c r="D436" s="13" t="s">
        <v>18</v>
      </c>
      <c r="E436" s="163" t="s">
        <v>160</v>
      </c>
      <c r="F436" s="164" t="s">
        <v>160</v>
      </c>
      <c r="G436" s="439">
        <v>2709.6417299999998</v>
      </c>
    </row>
    <row r="437" spans="2:7" x14ac:dyDescent="0.25">
      <c r="B437" s="158">
        <v>131001</v>
      </c>
      <c r="C437" s="13">
        <v>1</v>
      </c>
      <c r="D437" s="13" t="s">
        <v>29</v>
      </c>
      <c r="E437" s="163" t="s">
        <v>160</v>
      </c>
      <c r="F437" s="164" t="s">
        <v>160</v>
      </c>
      <c r="G437" s="439">
        <v>2709.6417299999998</v>
      </c>
    </row>
    <row r="438" spans="2:7" x14ac:dyDescent="0.25">
      <c r="B438" s="158">
        <v>131746</v>
      </c>
      <c r="C438" s="56">
        <v>1</v>
      </c>
      <c r="D438" s="13" t="s">
        <v>18</v>
      </c>
      <c r="E438" s="163" t="s">
        <v>160</v>
      </c>
      <c r="F438" s="164" t="s">
        <v>160</v>
      </c>
      <c r="G438" s="439">
        <v>2718.38058</v>
      </c>
    </row>
    <row r="439" spans="2:7" x14ac:dyDescent="0.25">
      <c r="B439" s="158">
        <v>131746</v>
      </c>
      <c r="C439" s="56">
        <v>1</v>
      </c>
      <c r="D439" s="13" t="s">
        <v>29</v>
      </c>
      <c r="E439" s="163" t="s">
        <v>160</v>
      </c>
      <c r="F439" s="164" t="s">
        <v>160</v>
      </c>
      <c r="G439" s="439">
        <v>2718.38058</v>
      </c>
    </row>
    <row r="440" spans="2:7" x14ac:dyDescent="0.25">
      <c r="B440" s="158">
        <v>133574</v>
      </c>
      <c r="C440" s="56">
        <v>1</v>
      </c>
      <c r="D440" s="13" t="s">
        <v>18</v>
      </c>
      <c r="E440" s="163" t="s">
        <v>160</v>
      </c>
      <c r="F440" s="164" t="s">
        <v>160</v>
      </c>
      <c r="G440" s="439">
        <v>2739.8230199999998</v>
      </c>
    </row>
    <row r="441" spans="2:7" x14ac:dyDescent="0.25">
      <c r="B441" s="158">
        <v>133574</v>
      </c>
      <c r="C441" s="56">
        <v>1</v>
      </c>
      <c r="D441" s="13" t="s">
        <v>29</v>
      </c>
      <c r="E441" s="163" t="s">
        <v>160</v>
      </c>
      <c r="F441" s="164" t="s">
        <v>160</v>
      </c>
      <c r="G441" s="439">
        <v>2739.8230199999998</v>
      </c>
    </row>
    <row r="442" spans="2:7" x14ac:dyDescent="0.25">
      <c r="B442" s="158">
        <v>137777</v>
      </c>
      <c r="C442" s="56">
        <v>1</v>
      </c>
      <c r="D442" s="13" t="s">
        <v>18</v>
      </c>
      <c r="E442" s="163" t="s">
        <v>160</v>
      </c>
      <c r="F442" s="164" t="s">
        <v>160</v>
      </c>
      <c r="G442" s="439">
        <v>2789.1242099999999</v>
      </c>
    </row>
    <row r="443" spans="2:7" x14ac:dyDescent="0.25">
      <c r="B443" s="158">
        <v>137777</v>
      </c>
      <c r="C443" s="56">
        <v>1</v>
      </c>
      <c r="D443" s="13" t="s">
        <v>29</v>
      </c>
      <c r="E443" s="163" t="s">
        <v>160</v>
      </c>
      <c r="F443" s="164" t="s">
        <v>160</v>
      </c>
      <c r="G443" s="439">
        <v>2789.1242099999999</v>
      </c>
    </row>
    <row r="444" spans="2:7" x14ac:dyDescent="0.25">
      <c r="B444" s="158">
        <v>137809</v>
      </c>
      <c r="C444" s="56">
        <v>1</v>
      </c>
      <c r="D444" s="13" t="s">
        <v>18</v>
      </c>
      <c r="E444" s="163" t="s">
        <v>160</v>
      </c>
      <c r="F444" s="164" t="s">
        <v>160</v>
      </c>
      <c r="G444" s="439">
        <v>2789.4995699999999</v>
      </c>
    </row>
    <row r="445" spans="2:7" x14ac:dyDescent="0.25">
      <c r="B445" s="158">
        <v>137809</v>
      </c>
      <c r="C445" s="56">
        <v>1</v>
      </c>
      <c r="D445" s="13" t="s">
        <v>29</v>
      </c>
      <c r="E445" s="163" t="s">
        <v>160</v>
      </c>
      <c r="F445" s="164" t="s">
        <v>160</v>
      </c>
      <c r="G445" s="439">
        <v>2789.4995699999999</v>
      </c>
    </row>
    <row r="446" spans="2:7" x14ac:dyDescent="0.25">
      <c r="B446" s="158">
        <v>144306</v>
      </c>
      <c r="C446" s="13">
        <v>1</v>
      </c>
      <c r="D446" s="13" t="s">
        <v>18</v>
      </c>
      <c r="E446" s="163" t="s">
        <v>160</v>
      </c>
      <c r="F446" s="164" t="s">
        <v>160</v>
      </c>
      <c r="G446" s="439">
        <v>2865.7093799999998</v>
      </c>
    </row>
    <row r="447" spans="2:7" x14ac:dyDescent="0.25">
      <c r="B447" s="158">
        <v>144306</v>
      </c>
      <c r="C447" s="13">
        <v>1</v>
      </c>
      <c r="D447" s="13" t="s">
        <v>29</v>
      </c>
      <c r="E447" s="163" t="s">
        <v>160</v>
      </c>
      <c r="F447" s="164" t="s">
        <v>160</v>
      </c>
      <c r="G447" s="439">
        <v>2865.7093799999998</v>
      </c>
    </row>
    <row r="448" spans="2:7" x14ac:dyDescent="0.25">
      <c r="B448" s="158">
        <v>144985</v>
      </c>
      <c r="C448" s="56">
        <v>1</v>
      </c>
      <c r="D448" s="13" t="s">
        <v>18</v>
      </c>
      <c r="E448" s="163" t="s">
        <v>160</v>
      </c>
      <c r="F448" s="164" t="s">
        <v>160</v>
      </c>
      <c r="G448" s="439">
        <v>2873.6740500000001</v>
      </c>
    </row>
    <row r="449" spans="2:7" x14ac:dyDescent="0.25">
      <c r="B449" s="274">
        <v>144985</v>
      </c>
      <c r="C449" s="14">
        <v>1</v>
      </c>
      <c r="D449" s="14" t="s">
        <v>29</v>
      </c>
      <c r="E449" s="17" t="s">
        <v>160</v>
      </c>
      <c r="F449" s="19" t="s">
        <v>160</v>
      </c>
      <c r="G449" s="442">
        <v>2873.6740500000001</v>
      </c>
    </row>
    <row r="450" spans="2:7" x14ac:dyDescent="0.25">
      <c r="B450" s="158">
        <v>500</v>
      </c>
      <c r="C450" s="56">
        <v>1</v>
      </c>
      <c r="D450" s="13" t="s">
        <v>18</v>
      </c>
      <c r="E450" s="163" t="s">
        <v>160</v>
      </c>
      <c r="F450" s="164" t="s">
        <v>160</v>
      </c>
      <c r="G450" s="439">
        <v>469.2</v>
      </c>
    </row>
    <row r="451" spans="2:7" x14ac:dyDescent="0.25">
      <c r="B451" s="4">
        <v>3000</v>
      </c>
      <c r="C451" s="130">
        <v>1</v>
      </c>
      <c r="D451" s="13" t="s">
        <v>18</v>
      </c>
      <c r="E451" s="163" t="s">
        <v>160</v>
      </c>
      <c r="F451" s="164" t="s">
        <v>160</v>
      </c>
      <c r="G451" s="439">
        <v>750.72</v>
      </c>
    </row>
    <row r="452" spans="2:7" x14ac:dyDescent="0.25">
      <c r="B452" s="4">
        <v>5000</v>
      </c>
      <c r="C452" s="56">
        <v>1</v>
      </c>
      <c r="D452" s="13" t="s">
        <v>18</v>
      </c>
      <c r="E452" s="163" t="s">
        <v>160</v>
      </c>
      <c r="F452" s="164" t="s">
        <v>160</v>
      </c>
      <c r="G452" s="439">
        <v>938.4</v>
      </c>
    </row>
    <row r="453" spans="2:7" x14ac:dyDescent="0.25">
      <c r="B453" s="4">
        <v>10000</v>
      </c>
      <c r="C453" s="130">
        <v>1</v>
      </c>
      <c r="D453" s="13" t="s">
        <v>18</v>
      </c>
      <c r="E453" s="163" t="s">
        <v>160</v>
      </c>
      <c r="F453" s="164" t="s">
        <v>160</v>
      </c>
      <c r="G453" s="439">
        <v>1173</v>
      </c>
    </row>
    <row r="454" spans="2:7" x14ac:dyDescent="0.25">
      <c r="B454" s="4">
        <v>20000</v>
      </c>
      <c r="C454" s="56">
        <v>1</v>
      </c>
      <c r="D454" s="13" t="s">
        <v>18</v>
      </c>
      <c r="E454" s="163" t="s">
        <v>160</v>
      </c>
      <c r="F454" s="164" t="s">
        <v>160</v>
      </c>
      <c r="G454" s="439">
        <v>1407.6</v>
      </c>
    </row>
    <row r="455" spans="2:7" x14ac:dyDescent="0.25">
      <c r="B455" s="274">
        <v>300000</v>
      </c>
      <c r="C455" s="17">
        <v>1</v>
      </c>
      <c r="D455" s="14" t="s">
        <v>18</v>
      </c>
      <c r="E455" s="17" t="s">
        <v>160</v>
      </c>
      <c r="F455" s="19" t="s">
        <v>160</v>
      </c>
      <c r="G455" s="442">
        <v>4692</v>
      </c>
    </row>
  </sheetData>
  <mergeCells count="16">
    <mergeCell ref="B344:F344"/>
    <mergeCell ref="B334:F334"/>
    <mergeCell ref="B314:H314"/>
    <mergeCell ref="B267:F267"/>
    <mergeCell ref="B182:D182"/>
    <mergeCell ref="B199:D199"/>
    <mergeCell ref="B211:E211"/>
    <mergeCell ref="B232:C232"/>
    <mergeCell ref="B242:D242"/>
    <mergeCell ref="B291:F291"/>
    <mergeCell ref="B50:E50"/>
    <mergeCell ref="B151:D151"/>
    <mergeCell ref="B163:D163"/>
    <mergeCell ref="B173:D173"/>
    <mergeCell ref="B43:C43"/>
    <mergeCell ref="B190:F190"/>
  </mergeCells>
  <pageMargins bottom="0.75" footer="0.3" header="0.3" left="0.7" right="0.7" top="0.75"/>
  <pageSetup orientation="portrait" r:id="rId1"/>
  <legacyDrawing r:id="rId2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3:Q244"/>
  <sheetViews>
    <sheetView topLeftCell="A7" workbookViewId="0" zoomScale="85" zoomScaleNormal="85">
      <selection activeCell="I27" sqref="I27"/>
    </sheetView>
  </sheetViews>
  <sheetFormatPr defaultRowHeight="15" x14ac:dyDescent="0.25"/>
  <cols>
    <col min="3" max="3" bestFit="true" customWidth="true" width="34.140625" collapsed="true"/>
    <col min="6" max="6" customWidth="true" width="37.140625" collapsed="true"/>
    <col min="9" max="9" bestFit="true" customWidth="true" width="36.7109375" collapsed="true"/>
    <col min="11" max="11" bestFit="true" customWidth="true" width="10.85546875" collapsed="true"/>
  </cols>
  <sheetData>
    <row r="3" spans="1:16" x14ac:dyDescent="0.25">
      <c r="C3" s="1" t="s">
        <v>110</v>
      </c>
      <c r="F3" s="443" t="s">
        <v>1212</v>
      </c>
      <c r="G3" s="443"/>
      <c r="I3" s="443" t="s">
        <v>1149</v>
      </c>
      <c r="J3" s="443"/>
      <c r="K3" s="443"/>
    </row>
    <row ht="15.75" r="4" spans="1:16" x14ac:dyDescent="0.3">
      <c r="C4" s="2" t="s">
        <v>1</v>
      </c>
      <c r="F4" s="2" t="s">
        <v>1</v>
      </c>
      <c r="G4" s="275" t="s">
        <v>1098</v>
      </c>
      <c r="I4" s="2" t="s">
        <v>1</v>
      </c>
      <c r="J4" s="275" t="s">
        <v>1098</v>
      </c>
      <c r="K4" s="275" t="s">
        <v>1245</v>
      </c>
    </row>
    <row ht="15.75" r="5" spans="1:16" x14ac:dyDescent="0.3">
      <c r="C5" s="2" t="s">
        <v>108</v>
      </c>
      <c r="F5" s="2" t="s">
        <v>108</v>
      </c>
      <c r="G5" s="275"/>
      <c r="I5" s="2" t="s">
        <v>108</v>
      </c>
      <c r="J5" s="275"/>
      <c r="K5" s="275"/>
    </row>
    <row ht="15.75" r="6" spans="1:16" x14ac:dyDescent="0.3">
      <c r="C6" s="3" t="s">
        <v>2</v>
      </c>
      <c r="F6" s="323" t="s">
        <v>2</v>
      </c>
      <c r="G6" s="276" t="s">
        <v>1139</v>
      </c>
      <c r="I6" s="276" t="s">
        <v>2</v>
      </c>
      <c r="J6" s="276" t="s">
        <v>1139</v>
      </c>
      <c r="K6" s="323" t="s">
        <v>1253</v>
      </c>
      <c r="O6" t="s">
        <v>1147</v>
      </c>
    </row>
    <row customFormat="1" ht="15.75" r="7" s="4" spans="1:16" x14ac:dyDescent="0.3">
      <c r="A7"/>
      <c r="B7"/>
      <c r="C7" s="67" t="s">
        <v>0</v>
      </c>
      <c r="D7" s="66"/>
      <c r="E7" s="66"/>
      <c r="F7" s="67" t="s">
        <v>1209</v>
      </c>
      <c r="G7" s="270" t="s">
        <v>1038</v>
      </c>
      <c r="H7"/>
      <c r="I7" s="44" t="s">
        <v>0</v>
      </c>
      <c r="J7" s="270" t="s">
        <v>160</v>
      </c>
      <c r="K7" s="348">
        <v>43447</v>
      </c>
      <c r="O7" s="4" t="s">
        <v>31</v>
      </c>
      <c r="P7" s="4" t="s">
        <v>1082</v>
      </c>
    </row>
    <row ht="15.75" r="8" spans="1:16" x14ac:dyDescent="0.3">
      <c r="C8" s="67" t="s">
        <v>104</v>
      </c>
      <c r="D8" s="66"/>
      <c r="E8" s="66"/>
      <c r="F8" s="281" t="s">
        <v>1226</v>
      </c>
      <c r="G8" s="283" t="s">
        <v>160</v>
      </c>
      <c r="I8" s="277" t="s">
        <v>104</v>
      </c>
      <c r="J8" s="278" t="s">
        <v>160</v>
      </c>
      <c r="K8" s="348">
        <v>43447</v>
      </c>
      <c r="O8" t="s">
        <v>1083</v>
      </c>
      <c r="P8" s="141" t="s">
        <v>1084</v>
      </c>
    </row>
    <row ht="15.75" r="9" spans="1:16" x14ac:dyDescent="0.3">
      <c r="C9" s="67" t="s">
        <v>125</v>
      </c>
      <c r="D9" s="66"/>
      <c r="E9" s="66"/>
      <c r="F9" s="66"/>
      <c r="I9" s="277" t="s">
        <v>1166</v>
      </c>
      <c r="J9" s="280" t="s">
        <v>160</v>
      </c>
      <c r="K9" s="348">
        <v>43447</v>
      </c>
    </row>
    <row ht="15.75" r="10" spans="1:16" x14ac:dyDescent="0.3">
      <c r="C10" s="67" t="s">
        <v>126</v>
      </c>
      <c r="D10" s="66"/>
      <c r="E10" s="66"/>
      <c r="F10" s="66"/>
      <c r="I10" s="279" t="s">
        <v>1250</v>
      </c>
      <c r="J10" s="280" t="s">
        <v>160</v>
      </c>
      <c r="K10" s="350">
        <v>43447</v>
      </c>
      <c r="L10" s="362"/>
    </row>
    <row ht="15.75" r="11" spans="1:16" x14ac:dyDescent="0.3">
      <c r="C11" s="67" t="s">
        <v>127</v>
      </c>
      <c r="D11" s="66"/>
      <c r="E11" s="66"/>
      <c r="F11" s="66"/>
      <c r="I11" s="279" t="s">
        <v>1254</v>
      </c>
      <c r="J11" s="280" t="s">
        <v>160</v>
      </c>
      <c r="K11" s="350">
        <v>43447</v>
      </c>
      <c r="L11" s="362"/>
    </row>
    <row ht="15.75" r="12" spans="1:16" x14ac:dyDescent="0.3">
      <c r="C12" s="67" t="s">
        <v>129</v>
      </c>
      <c r="D12" s="66"/>
      <c r="E12" s="66"/>
      <c r="F12" s="66"/>
      <c r="I12" s="363" t="s">
        <v>1256</v>
      </c>
      <c r="J12" s="364" t="s">
        <v>160</v>
      </c>
      <c r="K12" s="365">
        <v>43447</v>
      </c>
      <c r="L12" s="362"/>
      <c r="O12" s="158" t="s">
        <v>1148</v>
      </c>
    </row>
    <row r="13" spans="1:16" x14ac:dyDescent="0.25">
      <c r="C13" s="67" t="s">
        <v>130</v>
      </c>
      <c r="D13" s="66"/>
      <c r="E13" s="66"/>
      <c r="F13" s="66"/>
      <c r="I13" s="158"/>
      <c r="J13" s="158"/>
      <c r="O13" s="158" t="s">
        <v>31</v>
      </c>
      <c r="P13" s="158" t="s">
        <v>1082</v>
      </c>
    </row>
    <row r="14" spans="1:16" x14ac:dyDescent="0.25">
      <c r="C14" s="67" t="s">
        <v>131</v>
      </c>
      <c r="D14" s="66"/>
      <c r="E14" s="66"/>
      <c r="F14" s="66"/>
      <c r="I14" s="158"/>
      <c r="J14" s="158"/>
      <c r="O14" s="158" t="s">
        <v>1083</v>
      </c>
      <c r="P14" s="141" t="s">
        <v>1146</v>
      </c>
    </row>
    <row r="15" spans="1:16" x14ac:dyDescent="0.25">
      <c r="C15" s="67" t="s">
        <v>132</v>
      </c>
      <c r="D15" s="66"/>
      <c r="E15" s="66"/>
      <c r="F15" s="66"/>
      <c r="I15" s="443" t="s">
        <v>1230</v>
      </c>
      <c r="J15" s="443"/>
      <c r="K15" s="443"/>
    </row>
    <row ht="15.75" r="16" spans="1:16" x14ac:dyDescent="0.3">
      <c r="C16" s="67" t="s">
        <v>133</v>
      </c>
      <c r="D16" s="66"/>
      <c r="E16" s="66"/>
      <c r="F16" s="66"/>
      <c r="I16" s="2" t="s">
        <v>1</v>
      </c>
      <c r="J16" s="275" t="s">
        <v>1098</v>
      </c>
      <c r="K16" s="275" t="s">
        <v>1245</v>
      </c>
    </row>
    <row ht="15.75" r="17" spans="3:11" x14ac:dyDescent="0.3">
      <c r="C17" s="67" t="s">
        <v>191</v>
      </c>
      <c r="D17" s="66"/>
      <c r="E17" s="66"/>
      <c r="F17" s="66"/>
      <c r="I17" s="2" t="s">
        <v>108</v>
      </c>
      <c r="J17" s="275"/>
      <c r="K17" s="275"/>
    </row>
    <row ht="15.75" r="18" spans="3:11" x14ac:dyDescent="0.3">
      <c r="C18" s="67" t="s">
        <v>192</v>
      </c>
      <c r="D18" s="66"/>
      <c r="E18" s="66"/>
      <c r="F18" s="66"/>
      <c r="I18" s="276" t="s">
        <v>2</v>
      </c>
      <c r="J18" s="276" t="s">
        <v>1139</v>
      </c>
      <c r="K18" s="323" t="s">
        <v>1253</v>
      </c>
    </row>
    <row r="19" spans="3:11" x14ac:dyDescent="0.25">
      <c r="C19" s="67" t="s">
        <v>193</v>
      </c>
      <c r="D19" s="66"/>
      <c r="E19" s="66"/>
      <c r="F19" s="66"/>
      <c r="I19" s="270" t="s">
        <v>0</v>
      </c>
      <c r="J19" s="270" t="s">
        <v>1003</v>
      </c>
      <c r="K19" s="348">
        <v>43447</v>
      </c>
    </row>
    <row ht="15.75" r="20" spans="3:11" x14ac:dyDescent="0.3">
      <c r="C20" s="67" t="s">
        <v>194</v>
      </c>
      <c r="D20" s="66"/>
      <c r="E20" s="66"/>
      <c r="F20" s="66"/>
      <c r="I20" s="277" t="s">
        <v>104</v>
      </c>
      <c r="J20" s="278" t="s">
        <v>160</v>
      </c>
      <c r="K20" s="348">
        <v>43447</v>
      </c>
    </row>
    <row ht="15.75" r="21" spans="3:11" x14ac:dyDescent="0.3">
      <c r="C21" s="67" t="s">
        <v>195</v>
      </c>
      <c r="D21" s="66"/>
      <c r="E21" s="66"/>
      <c r="F21" s="66"/>
      <c r="I21" s="279" t="s">
        <v>1202</v>
      </c>
      <c r="J21" s="280" t="s">
        <v>1003</v>
      </c>
      <c r="K21" s="348">
        <v>43447</v>
      </c>
    </row>
    <row customFormat="1" ht="15.75" r="22" s="158" spans="3:11" x14ac:dyDescent="0.3">
      <c r="C22" s="67" t="s">
        <v>196</v>
      </c>
      <c r="D22" s="66"/>
      <c r="E22" s="66"/>
      <c r="F22" s="66"/>
      <c r="I22" s="277" t="s">
        <v>1229</v>
      </c>
      <c r="J22" s="278" t="s">
        <v>1038</v>
      </c>
      <c r="K22" s="348">
        <v>43447</v>
      </c>
    </row>
    <row ht="15.75" r="23" spans="3:11" x14ac:dyDescent="0.3">
      <c r="C23" s="67" t="s">
        <v>197</v>
      </c>
      <c r="D23" s="66"/>
      <c r="E23" s="66"/>
      <c r="F23" s="66"/>
      <c r="I23" s="279" t="s">
        <v>1250</v>
      </c>
      <c r="J23" s="280" t="s">
        <v>160</v>
      </c>
      <c r="K23" s="350">
        <v>43447</v>
      </c>
    </row>
    <row ht="15.75" r="24" spans="3:11" x14ac:dyDescent="0.3">
      <c r="C24" s="67" t="s">
        <v>198</v>
      </c>
      <c r="D24" s="66"/>
      <c r="E24" s="66"/>
      <c r="F24" s="66"/>
      <c r="I24" s="279" t="s">
        <v>1254</v>
      </c>
      <c r="J24" s="280" t="s">
        <v>160</v>
      </c>
      <c r="K24" s="350">
        <v>43447</v>
      </c>
    </row>
    <row r="25" spans="3:11" x14ac:dyDescent="0.25">
      <c r="C25" s="67" t="s">
        <v>199</v>
      </c>
      <c r="D25" s="66"/>
      <c r="E25" s="66"/>
      <c r="F25" s="66"/>
      <c r="I25" s="278" t="s">
        <v>1260</v>
      </c>
      <c r="J25" s="278" t="s">
        <v>160</v>
      </c>
      <c r="K25" s="349">
        <v>43451</v>
      </c>
    </row>
    <row r="26" spans="3:11" x14ac:dyDescent="0.25">
      <c r="C26" s="67" t="s">
        <v>200</v>
      </c>
      <c r="D26" s="66"/>
      <c r="E26" s="66"/>
      <c r="F26" s="66"/>
      <c r="I26" s="278" t="s">
        <v>1261</v>
      </c>
      <c r="J26" s="278" t="s">
        <v>160</v>
      </c>
      <c r="K26" s="349">
        <v>43451</v>
      </c>
    </row>
    <row r="27" spans="3:11" x14ac:dyDescent="0.25">
      <c r="C27" s="67" t="s">
        <v>201</v>
      </c>
      <c r="D27" s="66"/>
      <c r="E27" s="66"/>
      <c r="F27" s="66"/>
      <c r="I27" s="374" t="s">
        <v>1262</v>
      </c>
      <c r="J27" s="374" t="s">
        <v>160</v>
      </c>
      <c r="K27" s="375">
        <v>43451</v>
      </c>
    </row>
    <row r="28" spans="3:11" x14ac:dyDescent="0.25">
      <c r="C28" s="67" t="s">
        <v>202</v>
      </c>
      <c r="D28" s="66"/>
      <c r="E28" s="66"/>
      <c r="F28" s="66"/>
    </row>
    <row r="29" spans="3:11" x14ac:dyDescent="0.25">
      <c r="C29" s="67" t="s">
        <v>203</v>
      </c>
      <c r="D29" s="66"/>
      <c r="E29" s="66"/>
      <c r="F29" s="66"/>
      <c r="I29" s="158"/>
      <c r="J29" s="158"/>
      <c r="K29" s="158"/>
    </row>
    <row r="30" spans="3:11" x14ac:dyDescent="0.25">
      <c r="C30" s="67" t="s">
        <v>204</v>
      </c>
      <c r="D30" s="66"/>
      <c r="E30" s="66"/>
      <c r="F30" s="66"/>
      <c r="I30" s="158"/>
      <c r="J30" s="158"/>
      <c r="K30" s="158"/>
    </row>
    <row r="31" spans="3:11" x14ac:dyDescent="0.25">
      <c r="C31" s="67" t="s">
        <v>205</v>
      </c>
      <c r="D31" s="66"/>
      <c r="E31" s="66"/>
      <c r="F31" s="66"/>
      <c r="I31" s="158"/>
      <c r="J31" s="158"/>
      <c r="K31" s="158"/>
    </row>
    <row r="32" spans="3:11" x14ac:dyDescent="0.25">
      <c r="C32" s="67" t="s">
        <v>206</v>
      </c>
      <c r="D32" s="66"/>
      <c r="E32" s="66"/>
      <c r="F32" s="66"/>
      <c r="I32" s="158"/>
      <c r="J32" s="158"/>
      <c r="K32" s="158"/>
    </row>
    <row r="33" spans="3:10" x14ac:dyDescent="0.25">
      <c r="C33" s="67" t="s">
        <v>207</v>
      </c>
      <c r="D33" s="66"/>
      <c r="E33" s="66"/>
      <c r="F33" s="66"/>
      <c r="I33" s="443" t="s">
        <v>1214</v>
      </c>
      <c r="J33" s="443"/>
    </row>
    <row ht="15.75" r="34" spans="3:10" x14ac:dyDescent="0.3">
      <c r="C34" s="67" t="s">
        <v>208</v>
      </c>
      <c r="D34" s="66"/>
      <c r="E34" s="66"/>
      <c r="F34" s="66"/>
      <c r="I34" s="2" t="s">
        <v>1</v>
      </c>
      <c r="J34" s="275" t="s">
        <v>1098</v>
      </c>
    </row>
    <row ht="15.75" r="35" spans="3:10" x14ac:dyDescent="0.3">
      <c r="C35" s="67" t="s">
        <v>209</v>
      </c>
      <c r="D35" s="66"/>
      <c r="E35" s="66"/>
      <c r="F35" s="66"/>
      <c r="I35" s="2" t="s">
        <v>1206</v>
      </c>
      <c r="J35" s="275"/>
    </row>
    <row ht="15.75" r="36" spans="3:10" x14ac:dyDescent="0.3">
      <c r="C36" s="67" t="s">
        <v>210</v>
      </c>
      <c r="D36" s="66"/>
      <c r="E36" s="66"/>
      <c r="F36" s="66"/>
      <c r="I36" s="276" t="s">
        <v>2</v>
      </c>
      <c r="J36" s="276" t="s">
        <v>1139</v>
      </c>
    </row>
    <row r="37" spans="3:10" x14ac:dyDescent="0.25">
      <c r="C37" s="67" t="s">
        <v>211</v>
      </c>
      <c r="D37" s="66"/>
      <c r="E37" s="66"/>
      <c r="F37" s="66"/>
      <c r="I37" s="270" t="s">
        <v>1213</v>
      </c>
      <c r="J37" s="270" t="s">
        <v>1003</v>
      </c>
    </row>
    <row ht="15.75" r="38" spans="3:10" x14ac:dyDescent="0.3">
      <c r="C38" s="67" t="s">
        <v>212</v>
      </c>
      <c r="D38" s="66"/>
      <c r="E38" s="66"/>
      <c r="F38" s="66"/>
      <c r="I38" s="277" t="s">
        <v>1218</v>
      </c>
      <c r="J38" s="278" t="s">
        <v>160</v>
      </c>
    </row>
    <row ht="15.75" r="39" spans="3:10" x14ac:dyDescent="0.3">
      <c r="C39" s="67" t="s">
        <v>213</v>
      </c>
      <c r="D39" s="66"/>
      <c r="E39" s="66"/>
      <c r="F39" s="66"/>
      <c r="I39" s="282" t="s">
        <v>1221</v>
      </c>
      <c r="J39" s="283" t="s">
        <v>160</v>
      </c>
    </row>
    <row r="40" spans="3:10" x14ac:dyDescent="0.25">
      <c r="C40" s="67" t="s">
        <v>214</v>
      </c>
      <c r="D40" s="66"/>
      <c r="E40" s="66"/>
      <c r="F40" s="66"/>
      <c r="I40" s="158"/>
      <c r="J40" s="158"/>
    </row>
    <row r="41" spans="3:10" x14ac:dyDescent="0.25">
      <c r="C41" s="67" t="s">
        <v>215</v>
      </c>
      <c r="D41" s="66"/>
      <c r="E41" s="66"/>
      <c r="F41" s="66"/>
      <c r="I41" s="158"/>
      <c r="J41" s="158"/>
    </row>
    <row r="42" spans="3:10" x14ac:dyDescent="0.25">
      <c r="C42" s="67" t="s">
        <v>216</v>
      </c>
      <c r="D42" s="66"/>
      <c r="E42" s="66"/>
      <c r="F42" s="66"/>
      <c r="I42" s="158"/>
      <c r="J42" s="158"/>
    </row>
    <row r="43" spans="3:10" x14ac:dyDescent="0.25">
      <c r="C43" s="67" t="s">
        <v>217</v>
      </c>
      <c r="D43" s="66"/>
      <c r="E43" s="66"/>
      <c r="F43" s="66"/>
      <c r="I43" s="443" t="s">
        <v>1145</v>
      </c>
      <c r="J43" s="443"/>
    </row>
    <row ht="15.75" r="44" spans="3:10" x14ac:dyDescent="0.3">
      <c r="C44" s="67" t="s">
        <v>218</v>
      </c>
      <c r="D44" s="66"/>
      <c r="E44" s="66"/>
      <c r="F44" s="66"/>
      <c r="I44" s="2" t="s">
        <v>1</v>
      </c>
      <c r="J44" s="275" t="s">
        <v>1098</v>
      </c>
    </row>
    <row ht="15.75" r="45" spans="3:10" x14ac:dyDescent="0.3">
      <c r="C45" s="67" t="s">
        <v>219</v>
      </c>
      <c r="D45" s="66"/>
      <c r="E45" s="66"/>
      <c r="F45" s="66"/>
      <c r="I45" s="2" t="s">
        <v>108</v>
      </c>
      <c r="J45" s="275"/>
    </row>
    <row ht="15.75" r="46" spans="3:10" x14ac:dyDescent="0.3">
      <c r="C46" s="67" t="s">
        <v>220</v>
      </c>
      <c r="D46" s="66"/>
      <c r="E46" s="66"/>
      <c r="F46" s="66"/>
      <c r="I46" s="276" t="s">
        <v>2</v>
      </c>
      <c r="J46" s="276" t="s">
        <v>1139</v>
      </c>
    </row>
    <row ht="15.75" r="47" spans="3:10" x14ac:dyDescent="0.3">
      <c r="C47" s="67" t="s">
        <v>221</v>
      </c>
      <c r="D47" s="66"/>
      <c r="E47" s="66"/>
      <c r="F47" s="66"/>
      <c r="I47" s="175" t="s">
        <v>104</v>
      </c>
      <c r="J47" s="322" t="s">
        <v>160</v>
      </c>
    </row>
    <row r="48" spans="3:10" x14ac:dyDescent="0.25">
      <c r="C48" s="67" t="s">
        <v>222</v>
      </c>
      <c r="D48" s="66"/>
      <c r="E48" s="66"/>
      <c r="F48" s="66"/>
    </row>
    <row r="49" spans="3:6" x14ac:dyDescent="0.25">
      <c r="C49" s="67" t="s">
        <v>223</v>
      </c>
      <c r="D49" s="66"/>
      <c r="E49" s="66"/>
      <c r="F49" s="66"/>
    </row>
    <row r="50" spans="3:6" x14ac:dyDescent="0.25">
      <c r="C50" s="67" t="s">
        <v>224</v>
      </c>
      <c r="D50" s="66"/>
      <c r="E50" s="66"/>
      <c r="F50" s="66"/>
    </row>
    <row r="51" spans="3:6" x14ac:dyDescent="0.25">
      <c r="C51" s="67" t="s">
        <v>225</v>
      </c>
      <c r="D51" s="66"/>
      <c r="E51" s="66"/>
      <c r="F51" s="66"/>
    </row>
    <row r="52" spans="3:6" x14ac:dyDescent="0.25">
      <c r="C52" s="67" t="s">
        <v>226</v>
      </c>
      <c r="D52" s="66"/>
      <c r="E52" s="66"/>
      <c r="F52" s="66"/>
    </row>
    <row r="53" spans="3:6" x14ac:dyDescent="0.25">
      <c r="C53" s="67" t="s">
        <v>227</v>
      </c>
      <c r="D53" s="66"/>
      <c r="E53" s="66"/>
      <c r="F53" s="66"/>
    </row>
    <row r="54" spans="3:6" x14ac:dyDescent="0.25">
      <c r="C54" s="67" t="s">
        <v>228</v>
      </c>
      <c r="D54" s="66"/>
      <c r="E54" s="66"/>
      <c r="F54" s="66"/>
    </row>
    <row r="55" spans="3:6" x14ac:dyDescent="0.25">
      <c r="C55" s="67" t="s">
        <v>229</v>
      </c>
      <c r="D55" s="66"/>
      <c r="E55" s="66"/>
      <c r="F55" s="66"/>
    </row>
    <row r="56" spans="3:6" x14ac:dyDescent="0.25">
      <c r="C56" s="67" t="s">
        <v>230</v>
      </c>
      <c r="D56" s="66"/>
      <c r="E56" s="66"/>
      <c r="F56" s="66"/>
    </row>
    <row r="57" spans="3:6" x14ac:dyDescent="0.25">
      <c r="C57" s="67" t="s">
        <v>231</v>
      </c>
      <c r="D57" s="66"/>
      <c r="E57" s="66"/>
      <c r="F57" s="66"/>
    </row>
    <row r="58" spans="3:6" x14ac:dyDescent="0.25">
      <c r="C58" s="67" t="s">
        <v>232</v>
      </c>
      <c r="D58" s="66"/>
      <c r="E58" s="66"/>
      <c r="F58" s="66"/>
    </row>
    <row r="59" spans="3:6" x14ac:dyDescent="0.25">
      <c r="C59" s="67" t="s">
        <v>233</v>
      </c>
      <c r="D59" s="66"/>
      <c r="E59" s="66"/>
      <c r="F59" s="66"/>
    </row>
    <row r="60" spans="3:6" x14ac:dyDescent="0.25">
      <c r="C60" s="67" t="s">
        <v>234</v>
      </c>
      <c r="D60" s="66"/>
      <c r="E60" s="66"/>
      <c r="F60" s="66"/>
    </row>
    <row r="61" spans="3:6" x14ac:dyDescent="0.25">
      <c r="C61" s="67" t="s">
        <v>235</v>
      </c>
      <c r="D61" s="66"/>
      <c r="E61" s="66"/>
      <c r="F61" s="66"/>
    </row>
    <row r="62" spans="3:6" x14ac:dyDescent="0.25">
      <c r="C62" s="67" t="s">
        <v>236</v>
      </c>
      <c r="D62" s="66"/>
      <c r="E62" s="66"/>
      <c r="F62" s="66"/>
    </row>
    <row r="63" spans="3:6" x14ac:dyDescent="0.25">
      <c r="C63" s="67" t="s">
        <v>237</v>
      </c>
      <c r="D63" s="66"/>
      <c r="E63" s="66"/>
      <c r="F63" s="66"/>
    </row>
    <row r="64" spans="3:6" x14ac:dyDescent="0.25">
      <c r="C64" s="67" t="s">
        <v>238</v>
      </c>
      <c r="D64" s="66"/>
      <c r="E64" s="66"/>
      <c r="F64" s="66"/>
    </row>
    <row r="65" spans="3:6" x14ac:dyDescent="0.25">
      <c r="C65" s="67" t="s">
        <v>239</v>
      </c>
      <c r="D65" s="66"/>
      <c r="E65" s="66"/>
      <c r="F65" s="66"/>
    </row>
    <row r="66" spans="3:6" x14ac:dyDescent="0.25">
      <c r="C66" s="67" t="s">
        <v>240</v>
      </c>
      <c r="D66" s="66"/>
      <c r="E66" s="66"/>
      <c r="F66" s="66"/>
    </row>
    <row r="67" spans="3:6" x14ac:dyDescent="0.25">
      <c r="C67" s="67" t="s">
        <v>241</v>
      </c>
      <c r="D67" s="66"/>
      <c r="E67" s="66"/>
      <c r="F67" s="66"/>
    </row>
    <row r="68" spans="3:6" x14ac:dyDescent="0.25">
      <c r="C68" s="67" t="s">
        <v>242</v>
      </c>
      <c r="D68" s="66"/>
      <c r="E68" s="66"/>
      <c r="F68" s="66"/>
    </row>
    <row r="69" spans="3:6" x14ac:dyDescent="0.25">
      <c r="C69" s="67" t="s">
        <v>243</v>
      </c>
      <c r="D69" s="66"/>
      <c r="E69" s="66"/>
      <c r="F69" s="66"/>
    </row>
    <row r="70" spans="3:6" x14ac:dyDescent="0.25">
      <c r="C70" s="67" t="s">
        <v>244</v>
      </c>
      <c r="D70" s="66"/>
      <c r="E70" s="66"/>
      <c r="F70" s="66"/>
    </row>
    <row r="71" spans="3:6" x14ac:dyDescent="0.25">
      <c r="C71" s="67" t="s">
        <v>245</v>
      </c>
      <c r="D71" s="66"/>
      <c r="E71" s="66"/>
      <c r="F71" s="66"/>
    </row>
    <row r="72" spans="3:6" x14ac:dyDescent="0.25">
      <c r="C72" s="281" t="s">
        <v>246</v>
      </c>
      <c r="D72" s="66"/>
      <c r="E72" s="66"/>
      <c r="F72" s="66"/>
    </row>
    <row r="73" spans="3:6" x14ac:dyDescent="0.25">
      <c r="D73" s="66"/>
      <c r="E73" s="66"/>
      <c r="F73" s="66"/>
    </row>
    <row r="74" spans="3:6" x14ac:dyDescent="0.25">
      <c r="F74" s="66"/>
    </row>
    <row r="75" spans="3:6" x14ac:dyDescent="0.25">
      <c r="F75" s="66"/>
    </row>
    <row r="76" spans="3:6" x14ac:dyDescent="0.25">
      <c r="F76" s="66"/>
    </row>
    <row r="77" spans="3:6" x14ac:dyDescent="0.25">
      <c r="F77" s="66"/>
    </row>
    <row r="78" spans="3:6" x14ac:dyDescent="0.25">
      <c r="F78" s="66"/>
    </row>
    <row r="79" spans="3:6" x14ac:dyDescent="0.25">
      <c r="F79" s="66"/>
    </row>
    <row r="80" spans="3:6" x14ac:dyDescent="0.25">
      <c r="F80" s="66"/>
    </row>
    <row r="81" spans="6:6" x14ac:dyDescent="0.25">
      <c r="F81" s="66"/>
    </row>
    <row r="82" spans="6:6" x14ac:dyDescent="0.25">
      <c r="F82" s="66"/>
    </row>
    <row r="83" spans="6:6" x14ac:dyDescent="0.25">
      <c r="F83" s="66"/>
    </row>
    <row r="84" spans="6:6" x14ac:dyDescent="0.25">
      <c r="F84" s="66"/>
    </row>
    <row r="85" spans="6:6" x14ac:dyDescent="0.25">
      <c r="F85" s="66"/>
    </row>
    <row r="86" spans="6:6" x14ac:dyDescent="0.25">
      <c r="F86" s="66"/>
    </row>
    <row r="87" spans="6:6" x14ac:dyDescent="0.25">
      <c r="F87" s="66"/>
    </row>
    <row r="88" spans="6:6" x14ac:dyDescent="0.25">
      <c r="F88" s="66"/>
    </row>
    <row r="89" spans="6:6" x14ac:dyDescent="0.25">
      <c r="F89" s="66"/>
    </row>
    <row r="90" spans="6:6" x14ac:dyDescent="0.25">
      <c r="F90" s="66"/>
    </row>
    <row r="91" spans="6:6" x14ac:dyDescent="0.25">
      <c r="F91" s="66"/>
    </row>
    <row r="92" spans="6:6" x14ac:dyDescent="0.25">
      <c r="F92" s="66"/>
    </row>
    <row r="93" spans="6:6" x14ac:dyDescent="0.25">
      <c r="F93" s="66"/>
    </row>
    <row r="94" spans="6:6" x14ac:dyDescent="0.25">
      <c r="F94" s="66"/>
    </row>
    <row r="95" spans="6:6" x14ac:dyDescent="0.25">
      <c r="F95" s="66"/>
    </row>
    <row r="96" spans="6:6" x14ac:dyDescent="0.25">
      <c r="F96" s="66"/>
    </row>
    <row r="97" spans="6:6" x14ac:dyDescent="0.25">
      <c r="F97" s="66"/>
    </row>
    <row r="98" spans="6:6" x14ac:dyDescent="0.25">
      <c r="F98" s="66"/>
    </row>
    <row r="99" spans="6:6" x14ac:dyDescent="0.25">
      <c r="F99" s="66"/>
    </row>
    <row r="100" spans="6:6" x14ac:dyDescent="0.25">
      <c r="F100" s="66"/>
    </row>
    <row r="101" spans="6:6" x14ac:dyDescent="0.25">
      <c r="F101" s="66"/>
    </row>
    <row r="102" spans="6:6" x14ac:dyDescent="0.25">
      <c r="F102" s="66"/>
    </row>
    <row r="103" spans="6:6" x14ac:dyDescent="0.25">
      <c r="F103" s="66"/>
    </row>
    <row r="104" spans="6:6" x14ac:dyDescent="0.25">
      <c r="F104" s="66"/>
    </row>
    <row r="105" spans="6:6" x14ac:dyDescent="0.25">
      <c r="F105" s="66"/>
    </row>
    <row r="106" spans="6:6" x14ac:dyDescent="0.25">
      <c r="F106" s="66"/>
    </row>
    <row r="107" spans="6:6" x14ac:dyDescent="0.25">
      <c r="F107" s="66"/>
    </row>
    <row r="108" spans="6:6" x14ac:dyDescent="0.25">
      <c r="F108" s="66"/>
    </row>
    <row r="109" spans="6:6" x14ac:dyDescent="0.25">
      <c r="F109" s="66"/>
    </row>
    <row r="110" spans="6:6" x14ac:dyDescent="0.25">
      <c r="F110" s="66"/>
    </row>
    <row r="111" spans="6:6" x14ac:dyDescent="0.25">
      <c r="F111" s="66"/>
    </row>
    <row r="112" spans="6:6" x14ac:dyDescent="0.25">
      <c r="F112" s="66"/>
    </row>
    <row r="113" spans="6:6" x14ac:dyDescent="0.25">
      <c r="F113" s="66"/>
    </row>
    <row r="114" spans="6:6" x14ac:dyDescent="0.25">
      <c r="F114" s="66"/>
    </row>
    <row r="115" spans="6:6" x14ac:dyDescent="0.25">
      <c r="F115" s="66"/>
    </row>
    <row r="116" spans="6:6" x14ac:dyDescent="0.25">
      <c r="F116" s="66"/>
    </row>
    <row r="117" spans="6:6" x14ac:dyDescent="0.25">
      <c r="F117" s="66"/>
    </row>
    <row r="118" spans="6:6" x14ac:dyDescent="0.25">
      <c r="F118" s="66"/>
    </row>
    <row r="119" spans="6:6" x14ac:dyDescent="0.25">
      <c r="F119" s="66"/>
    </row>
    <row r="120" spans="6:6" x14ac:dyDescent="0.25">
      <c r="F120" s="66"/>
    </row>
    <row r="121" spans="6:6" x14ac:dyDescent="0.25">
      <c r="F121" s="66"/>
    </row>
    <row r="122" spans="6:6" x14ac:dyDescent="0.25">
      <c r="F122" s="66"/>
    </row>
    <row r="123" spans="6:6" x14ac:dyDescent="0.25">
      <c r="F123" s="66"/>
    </row>
    <row r="124" spans="6:6" x14ac:dyDescent="0.25">
      <c r="F124" s="66"/>
    </row>
    <row r="125" spans="6:6" x14ac:dyDescent="0.25">
      <c r="F125" s="66"/>
    </row>
    <row r="126" spans="6:6" x14ac:dyDescent="0.25">
      <c r="F126" s="66"/>
    </row>
    <row r="127" spans="6:6" x14ac:dyDescent="0.25">
      <c r="F127" s="66"/>
    </row>
    <row r="128" spans="6:6" x14ac:dyDescent="0.25">
      <c r="F128" s="66"/>
    </row>
    <row r="129" spans="6:6" x14ac:dyDescent="0.25">
      <c r="F129" s="66"/>
    </row>
    <row r="130" spans="6:6" x14ac:dyDescent="0.25">
      <c r="F130" s="66"/>
    </row>
    <row r="131" spans="6:6" x14ac:dyDescent="0.25">
      <c r="F131" s="66"/>
    </row>
    <row r="132" spans="6:6" x14ac:dyDescent="0.25">
      <c r="F132" s="66"/>
    </row>
    <row r="133" spans="6:6" x14ac:dyDescent="0.25">
      <c r="F133" s="66"/>
    </row>
    <row r="134" spans="6:6" x14ac:dyDescent="0.25">
      <c r="F134" s="66"/>
    </row>
    <row r="135" spans="6:6" x14ac:dyDescent="0.25">
      <c r="F135" s="66"/>
    </row>
    <row r="136" spans="6:6" x14ac:dyDescent="0.25">
      <c r="F136" s="66"/>
    </row>
    <row r="137" spans="6:6" x14ac:dyDescent="0.25">
      <c r="F137" s="66"/>
    </row>
    <row r="138" spans="6:6" x14ac:dyDescent="0.25">
      <c r="F138" s="66"/>
    </row>
    <row r="139" spans="6:6" x14ac:dyDescent="0.25">
      <c r="F139" s="66"/>
    </row>
    <row r="140" spans="6:6" x14ac:dyDescent="0.25">
      <c r="F140" s="66"/>
    </row>
    <row r="141" spans="6:6" x14ac:dyDescent="0.25">
      <c r="F141" s="66"/>
    </row>
    <row r="142" spans="6:6" x14ac:dyDescent="0.25">
      <c r="F142" s="66"/>
    </row>
    <row r="143" spans="6:6" x14ac:dyDescent="0.25">
      <c r="F143" s="66"/>
    </row>
    <row r="144" spans="6:6" x14ac:dyDescent="0.25">
      <c r="F144" s="66"/>
    </row>
    <row r="145" spans="6:6" x14ac:dyDescent="0.25">
      <c r="F145" s="66"/>
    </row>
    <row r="146" spans="6:6" x14ac:dyDescent="0.25">
      <c r="F146" s="66"/>
    </row>
    <row r="147" spans="6:6" x14ac:dyDescent="0.25">
      <c r="F147" s="66"/>
    </row>
    <row r="148" spans="6:6" x14ac:dyDescent="0.25">
      <c r="F148" s="66"/>
    </row>
    <row r="149" spans="6:6" x14ac:dyDescent="0.25">
      <c r="F149" s="66"/>
    </row>
    <row r="150" spans="6:6" x14ac:dyDescent="0.25">
      <c r="F150" s="66"/>
    </row>
    <row r="151" spans="6:6" x14ac:dyDescent="0.25">
      <c r="F151" s="66"/>
    </row>
    <row r="152" spans="6:6" x14ac:dyDescent="0.25">
      <c r="F152" s="66"/>
    </row>
    <row r="153" spans="6:6" x14ac:dyDescent="0.25">
      <c r="F153" s="66"/>
    </row>
    <row r="154" spans="6:6" x14ac:dyDescent="0.25">
      <c r="F154" s="66"/>
    </row>
    <row r="155" spans="6:6" x14ac:dyDescent="0.25">
      <c r="F155" s="66"/>
    </row>
    <row r="156" spans="6:6" x14ac:dyDescent="0.25">
      <c r="F156" s="66"/>
    </row>
    <row r="157" spans="6:6" x14ac:dyDescent="0.25">
      <c r="F157" s="66"/>
    </row>
    <row r="158" spans="6:6" x14ac:dyDescent="0.25">
      <c r="F158" s="66"/>
    </row>
    <row r="159" spans="6:6" x14ac:dyDescent="0.25">
      <c r="F159" s="66"/>
    </row>
    <row r="160" spans="6:6" x14ac:dyDescent="0.25">
      <c r="F160" s="66"/>
    </row>
    <row r="161" spans="6:6" x14ac:dyDescent="0.25">
      <c r="F161" s="66"/>
    </row>
    <row r="162" spans="6:6" x14ac:dyDescent="0.25">
      <c r="F162" s="66"/>
    </row>
    <row r="163" spans="6:6" x14ac:dyDescent="0.25">
      <c r="F163" s="66"/>
    </row>
    <row r="164" spans="6:6" x14ac:dyDescent="0.25">
      <c r="F164" s="66"/>
    </row>
    <row r="165" spans="6:6" x14ac:dyDescent="0.25">
      <c r="F165" s="66"/>
    </row>
    <row r="166" spans="6:6" x14ac:dyDescent="0.25">
      <c r="F166" s="66"/>
    </row>
    <row r="167" spans="6:6" x14ac:dyDescent="0.25">
      <c r="F167" s="66"/>
    </row>
    <row r="168" spans="6:6" x14ac:dyDescent="0.25">
      <c r="F168" s="66"/>
    </row>
    <row r="169" spans="6:6" x14ac:dyDescent="0.25">
      <c r="F169" s="66"/>
    </row>
    <row r="170" spans="6:6" x14ac:dyDescent="0.25">
      <c r="F170" s="66"/>
    </row>
    <row r="171" spans="6:6" x14ac:dyDescent="0.25">
      <c r="F171" s="66"/>
    </row>
    <row r="172" spans="6:6" x14ac:dyDescent="0.25">
      <c r="F172" s="66"/>
    </row>
    <row r="173" spans="6:6" x14ac:dyDescent="0.25">
      <c r="F173" s="66"/>
    </row>
    <row r="174" spans="6:6" x14ac:dyDescent="0.25">
      <c r="F174" s="66"/>
    </row>
    <row r="175" spans="6:6" x14ac:dyDescent="0.25">
      <c r="F175" s="66"/>
    </row>
    <row r="176" spans="6:6" x14ac:dyDescent="0.25">
      <c r="F176" s="66"/>
    </row>
    <row r="177" spans="6:6" x14ac:dyDescent="0.25">
      <c r="F177" s="66"/>
    </row>
    <row r="178" spans="6:6" x14ac:dyDescent="0.25">
      <c r="F178" s="66"/>
    </row>
    <row r="179" spans="6:6" x14ac:dyDescent="0.25">
      <c r="F179" s="66"/>
    </row>
    <row r="180" spans="6:6" x14ac:dyDescent="0.25">
      <c r="F180" s="66"/>
    </row>
    <row r="181" spans="6:6" x14ac:dyDescent="0.25">
      <c r="F181" s="66"/>
    </row>
    <row r="182" spans="6:6" x14ac:dyDescent="0.25">
      <c r="F182" s="66"/>
    </row>
    <row r="183" spans="6:6" x14ac:dyDescent="0.25">
      <c r="F183" s="66"/>
    </row>
    <row r="184" spans="6:6" x14ac:dyDescent="0.25">
      <c r="F184" s="66"/>
    </row>
    <row r="185" spans="6:6" x14ac:dyDescent="0.25">
      <c r="F185" s="66"/>
    </row>
    <row r="186" spans="6:6" x14ac:dyDescent="0.25">
      <c r="F186" s="66"/>
    </row>
    <row r="187" spans="6:6" x14ac:dyDescent="0.25">
      <c r="F187" s="66"/>
    </row>
    <row r="188" spans="6:6" x14ac:dyDescent="0.25">
      <c r="F188" s="66"/>
    </row>
    <row r="189" spans="6:6" x14ac:dyDescent="0.25">
      <c r="F189" s="66"/>
    </row>
    <row r="190" spans="6:6" x14ac:dyDescent="0.25">
      <c r="F190" s="66"/>
    </row>
    <row r="191" spans="6:6" x14ac:dyDescent="0.25">
      <c r="F191" s="66"/>
    </row>
    <row r="192" spans="6:6" x14ac:dyDescent="0.25">
      <c r="F192" s="66"/>
    </row>
    <row r="193" spans="6:6" x14ac:dyDescent="0.25">
      <c r="F193" s="66"/>
    </row>
    <row r="194" spans="6:6" x14ac:dyDescent="0.25">
      <c r="F194" s="66"/>
    </row>
    <row r="195" spans="6:6" x14ac:dyDescent="0.25">
      <c r="F195" s="66"/>
    </row>
    <row r="196" spans="6:6" x14ac:dyDescent="0.25">
      <c r="F196" s="66"/>
    </row>
    <row r="197" spans="6:6" x14ac:dyDescent="0.25">
      <c r="F197" s="66"/>
    </row>
    <row r="198" spans="6:6" x14ac:dyDescent="0.25">
      <c r="F198" s="66"/>
    </row>
    <row r="199" spans="6:6" x14ac:dyDescent="0.25">
      <c r="F199" s="66"/>
    </row>
    <row r="200" spans="6:6" x14ac:dyDescent="0.25">
      <c r="F200" s="66"/>
    </row>
    <row r="201" spans="6:6" x14ac:dyDescent="0.25">
      <c r="F201" s="66"/>
    </row>
    <row r="202" spans="6:6" x14ac:dyDescent="0.25">
      <c r="F202" s="66"/>
    </row>
    <row r="203" spans="6:6" x14ac:dyDescent="0.25">
      <c r="F203" s="66"/>
    </row>
    <row r="204" spans="6:6" x14ac:dyDescent="0.25">
      <c r="F204" s="66"/>
    </row>
    <row r="205" spans="6:6" x14ac:dyDescent="0.25">
      <c r="F205" s="66"/>
    </row>
    <row r="206" spans="6:6" x14ac:dyDescent="0.25">
      <c r="F206" s="66"/>
    </row>
    <row r="207" spans="6:6" x14ac:dyDescent="0.25">
      <c r="F207" s="66"/>
    </row>
    <row r="208" spans="6:6" x14ac:dyDescent="0.25">
      <c r="F208" s="66"/>
    </row>
    <row r="209" spans="6:6" x14ac:dyDescent="0.25">
      <c r="F209" s="66"/>
    </row>
    <row r="210" spans="6:6" x14ac:dyDescent="0.25">
      <c r="F210" s="66"/>
    </row>
    <row r="211" spans="6:6" x14ac:dyDescent="0.25">
      <c r="F211" s="66"/>
    </row>
    <row r="212" spans="6:6" x14ac:dyDescent="0.25">
      <c r="F212" s="66"/>
    </row>
    <row r="213" spans="6:6" x14ac:dyDescent="0.25">
      <c r="F213" s="66"/>
    </row>
    <row r="214" spans="6:6" x14ac:dyDescent="0.25">
      <c r="F214" s="66"/>
    </row>
    <row r="215" spans="6:6" x14ac:dyDescent="0.25">
      <c r="F215" s="66"/>
    </row>
    <row r="216" spans="6:6" x14ac:dyDescent="0.25">
      <c r="F216" s="66"/>
    </row>
    <row r="217" spans="6:6" x14ac:dyDescent="0.25">
      <c r="F217" s="66"/>
    </row>
    <row r="218" spans="6:6" x14ac:dyDescent="0.25">
      <c r="F218" s="66"/>
    </row>
    <row r="219" spans="6:6" x14ac:dyDescent="0.25">
      <c r="F219" s="66"/>
    </row>
    <row r="220" spans="6:6" x14ac:dyDescent="0.25">
      <c r="F220" s="66"/>
    </row>
    <row r="221" spans="6:6" x14ac:dyDescent="0.25">
      <c r="F221" s="66"/>
    </row>
    <row r="222" spans="6:6" x14ac:dyDescent="0.25">
      <c r="F222" s="66"/>
    </row>
    <row r="223" spans="6:6" x14ac:dyDescent="0.25">
      <c r="F223" s="66"/>
    </row>
    <row r="224" spans="6:6" x14ac:dyDescent="0.25">
      <c r="F224" s="66"/>
    </row>
    <row r="225" spans="6:6" x14ac:dyDescent="0.25">
      <c r="F225" s="66"/>
    </row>
    <row r="226" spans="6:6" x14ac:dyDescent="0.25">
      <c r="F226" s="66"/>
    </row>
    <row r="227" spans="6:6" x14ac:dyDescent="0.25">
      <c r="F227" s="66"/>
    </row>
    <row r="228" spans="6:6" x14ac:dyDescent="0.25">
      <c r="F228" s="66"/>
    </row>
    <row r="229" spans="6:6" x14ac:dyDescent="0.25">
      <c r="F229" s="66"/>
    </row>
    <row r="230" spans="6:6" x14ac:dyDescent="0.25">
      <c r="F230" s="66"/>
    </row>
    <row r="231" spans="6:6" x14ac:dyDescent="0.25">
      <c r="F231" s="66"/>
    </row>
    <row r="232" spans="6:6" x14ac:dyDescent="0.25">
      <c r="F232" s="66"/>
    </row>
    <row r="233" spans="6:6" x14ac:dyDescent="0.25">
      <c r="F233" s="66"/>
    </row>
    <row r="234" spans="6:6" x14ac:dyDescent="0.25">
      <c r="F234" s="66"/>
    </row>
    <row r="235" spans="6:6" x14ac:dyDescent="0.25">
      <c r="F235" s="66"/>
    </row>
    <row r="236" spans="6:6" x14ac:dyDescent="0.25">
      <c r="F236" s="66"/>
    </row>
    <row r="237" spans="6:6" x14ac:dyDescent="0.25">
      <c r="F237" s="66"/>
    </row>
    <row r="238" spans="6:6" x14ac:dyDescent="0.25">
      <c r="F238" s="66"/>
    </row>
    <row r="239" spans="6:6" x14ac:dyDescent="0.25">
      <c r="F239" s="66"/>
    </row>
    <row r="240" spans="6:6" x14ac:dyDescent="0.25">
      <c r="F240" s="66"/>
    </row>
    <row r="241" spans="6:6" x14ac:dyDescent="0.25">
      <c r="F241" s="66"/>
    </row>
    <row r="242" spans="6:6" x14ac:dyDescent="0.25">
      <c r="F242" s="66"/>
    </row>
    <row r="243" spans="6:6" x14ac:dyDescent="0.25">
      <c r="F243" s="66"/>
    </row>
    <row r="244" spans="6:6" x14ac:dyDescent="0.25">
      <c r="F244" s="66"/>
    </row>
  </sheetData>
  <mergeCells count="5">
    <mergeCell ref="F3:G3"/>
    <mergeCell ref="I15:K15"/>
    <mergeCell ref="I3:K3"/>
    <mergeCell ref="I43:J43"/>
    <mergeCell ref="I33:J33"/>
  </mergeCells>
  <pageMargins bottom="0.75" footer="0.3" header="0.3" left="0.7" right="0.7" top="0.75"/>
  <pageSetup orientation="portrait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B4:G11"/>
  <sheetViews>
    <sheetView workbookViewId="0">
      <selection activeCell="E9" sqref="E9"/>
    </sheetView>
  </sheetViews>
  <sheetFormatPr defaultRowHeight="15" x14ac:dyDescent="0.25"/>
  <cols>
    <col min="2" max="2" customWidth="true" width="23.140625" collapsed="true"/>
    <col min="3" max="3" bestFit="true" customWidth="true" width="42.0" collapsed="true"/>
  </cols>
  <sheetData>
    <row ht="15.75" r="4" spans="2:6" x14ac:dyDescent="0.3">
      <c r="B4" s="448" t="s">
        <v>4</v>
      </c>
      <c r="C4" s="448"/>
    </row>
    <row customHeight="1" ht="15.75" r="5" spans="2:6" x14ac:dyDescent="0.25">
      <c r="B5" s="449" t="s">
        <v>5</v>
      </c>
      <c r="C5" s="422" t="s">
        <v>1096</v>
      </c>
    </row>
    <row ht="15.75" r="6" spans="2:6" x14ac:dyDescent="0.25">
      <c r="B6" s="450"/>
      <c r="C6" s="422" t="s">
        <v>1097</v>
      </c>
      <c r="D6" s="4"/>
      <c r="E6" s="4"/>
      <c r="F6" s="4"/>
    </row>
    <row ht="15.75" r="10" spans="2:6" x14ac:dyDescent="0.25">
      <c r="C10" s="422" t="s">
        <v>1346</v>
      </c>
    </row>
    <row ht="15.75" r="11" spans="2:6" x14ac:dyDescent="0.25">
      <c r="C11" s="422" t="s">
        <v>1347</v>
      </c>
    </row>
  </sheetData>
  <mergeCells count="2">
    <mergeCell ref="B4:C4"/>
    <mergeCell ref="B5:B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C3:AQ118"/>
  <sheetViews>
    <sheetView topLeftCell="H81" workbookViewId="0" zoomScale="85" zoomScaleNormal="85">
      <selection activeCell="L91" sqref="L91"/>
    </sheetView>
  </sheetViews>
  <sheetFormatPr defaultRowHeight="15" x14ac:dyDescent="0.25"/>
  <cols>
    <col min="4" max="4" bestFit="true" customWidth="true" width="17.85546875" collapsed="true"/>
    <col min="6" max="6" bestFit="true" customWidth="true" width="44.7109375" collapsed="true"/>
    <col min="7" max="9" bestFit="true" customWidth="true" width="48.85546875" collapsed="true"/>
    <col min="10" max="10" bestFit="true" customWidth="true" width="45.5703125" collapsed="true"/>
    <col min="11" max="11" bestFit="true" customWidth="true" width="36.5703125" collapsed="true"/>
    <col min="12" max="12" bestFit="true" customWidth="true" width="63.0" collapsed="true"/>
    <col min="13" max="13" bestFit="true" customWidth="true" width="40.42578125" collapsed="true"/>
    <col min="14" max="14" bestFit="true" customWidth="true" width="42.5703125" collapsed="true"/>
    <col min="15" max="15" bestFit="true" customWidth="true" width="42.140625" collapsed="true"/>
    <col min="16" max="16" bestFit="true" customWidth="true" width="44.140625" collapsed="true"/>
    <col min="17" max="17" bestFit="true" customWidth="true" width="39.42578125" collapsed="true"/>
    <col min="18" max="18" bestFit="true" customWidth="true" width="37.42578125" collapsed="true"/>
    <col min="19" max="19" bestFit="true" customWidth="true" width="49.28515625" collapsed="true"/>
    <col min="20" max="20" bestFit="true" customWidth="true" width="55.0" collapsed="true"/>
    <col min="21" max="21" bestFit="true" customWidth="true" width="31.5703125" collapsed="true"/>
    <col min="22" max="22" bestFit="true" customWidth="true" width="31.7109375" collapsed="true"/>
    <col min="23" max="23" bestFit="true" customWidth="true" width="55.28515625" collapsed="true"/>
    <col min="24" max="24" bestFit="true" customWidth="true" width="50.5703125" collapsed="true"/>
    <col min="25" max="25" bestFit="true" customWidth="true" width="56.85546875" collapsed="true"/>
    <col min="26" max="26" bestFit="true" customWidth="true" width="42.7109375" collapsed="true"/>
    <col min="27" max="27" bestFit="true" customWidth="true" width="49.0" collapsed="true"/>
    <col min="28" max="28" bestFit="true" customWidth="true" width="46.0" collapsed="true"/>
    <col min="29" max="29" bestFit="true" customWidth="true" width="55.0" collapsed="true"/>
    <col min="30" max="30" bestFit="true" customWidth="true" width="62.85546875" collapsed="true"/>
    <col min="31" max="31" bestFit="true" customWidth="true" width="48.5703125" collapsed="true"/>
    <col min="32" max="32" bestFit="true" customWidth="true" width="48.42578125" collapsed="true"/>
    <col min="33" max="33" bestFit="true" customWidth="true" width="49.0" collapsed="true"/>
    <col min="34" max="34" bestFit="true" customWidth="true" width="49.42578125" collapsed="true"/>
    <col min="35" max="35" bestFit="true" customWidth="true" width="54.0" collapsed="true"/>
    <col min="36" max="36" bestFit="true" customWidth="true" width="54.5703125" collapsed="true"/>
    <col min="37" max="37" bestFit="true" customWidth="true" width="44.5703125" collapsed="true"/>
    <col min="38" max="38" bestFit="true" customWidth="true" width="61.140625" collapsed="true"/>
    <col min="39" max="39" bestFit="true" customWidth="true" width="53.28515625" collapsed="true"/>
    <col min="40" max="40" bestFit="true" customWidth="true" width="37.42578125" collapsed="true"/>
    <col min="41" max="41" bestFit="true" customWidth="true" width="45.140625" collapsed="true"/>
    <col min="42" max="42" bestFit="true" customWidth="true" width="35.5703125" collapsed="true"/>
  </cols>
  <sheetData>
    <row r="3" spans="3:33" x14ac:dyDescent="0.25">
      <c r="W3">
        <f>501.12</f>
        <v>501.12</v>
      </c>
    </row>
    <row r="5" spans="3:33" x14ac:dyDescent="0.25">
      <c r="F5" s="443" t="s">
        <v>1011</v>
      </c>
      <c r="G5" s="443"/>
    </row>
    <row ht="15.75" r="6" spans="3:33" x14ac:dyDescent="0.3">
      <c r="D6" s="35" t="s">
        <v>106</v>
      </c>
      <c r="E6" s="42"/>
      <c r="F6" s="30" t="s">
        <v>105</v>
      </c>
      <c r="G6" s="29" t="s">
        <v>105</v>
      </c>
      <c r="H6" s="72" t="s">
        <v>0</v>
      </c>
      <c r="I6" s="72" t="s">
        <v>104</v>
      </c>
      <c r="J6" s="72" t="s">
        <v>125</v>
      </c>
      <c r="K6" s="72" t="s">
        <v>126</v>
      </c>
      <c r="L6" s="72" t="s">
        <v>127</v>
      </c>
      <c r="M6" s="72" t="s">
        <v>129</v>
      </c>
      <c r="N6" s="72" t="s">
        <v>130</v>
      </c>
      <c r="O6" s="72" t="s">
        <v>131</v>
      </c>
      <c r="P6" s="72" t="s">
        <v>132</v>
      </c>
      <c r="Q6" s="72" t="s">
        <v>133</v>
      </c>
      <c r="R6" s="111" t="s">
        <v>191</v>
      </c>
      <c r="S6" s="72" t="s">
        <v>192</v>
      </c>
      <c r="T6" s="72" t="s">
        <v>193</v>
      </c>
      <c r="U6" s="72" t="s">
        <v>194</v>
      </c>
      <c r="V6" s="72" t="s">
        <v>195</v>
      </c>
      <c r="W6" s="111" t="s">
        <v>196</v>
      </c>
      <c r="X6" s="111" t="s">
        <v>197</v>
      </c>
      <c r="Y6" s="111" t="s">
        <v>198</v>
      </c>
      <c r="Z6" s="72" t="s">
        <v>199</v>
      </c>
      <c r="AA6" s="72" t="s">
        <v>200</v>
      </c>
      <c r="AB6" s="111" t="s">
        <v>201</v>
      </c>
      <c r="AC6" s="111" t="s">
        <v>202</v>
      </c>
      <c r="AD6" s="120" t="s">
        <v>1039</v>
      </c>
      <c r="AE6" s="120" t="s">
        <v>1040</v>
      </c>
      <c r="AF6" s="120" t="s">
        <v>1041</v>
      </c>
      <c r="AG6" s="120" t="s">
        <v>1042</v>
      </c>
    </row>
    <row r="7" spans="3:33" x14ac:dyDescent="0.25">
      <c r="D7" s="4"/>
      <c r="E7" s="4"/>
      <c r="F7" s="30" t="s">
        <v>103</v>
      </c>
      <c r="G7" s="29" t="s">
        <v>103</v>
      </c>
      <c r="H7" s="28" t="s">
        <v>279</v>
      </c>
      <c r="I7" s="28" t="s">
        <v>279</v>
      </c>
      <c r="J7" s="28" t="s">
        <v>279</v>
      </c>
      <c r="K7" s="28" t="s">
        <v>279</v>
      </c>
      <c r="L7" s="28" t="s">
        <v>279</v>
      </c>
      <c r="M7" s="28" t="s">
        <v>279</v>
      </c>
      <c r="N7" s="28" t="s">
        <v>279</v>
      </c>
      <c r="O7" s="28" t="s">
        <v>280</v>
      </c>
      <c r="P7" s="28" t="s">
        <v>280</v>
      </c>
      <c r="Q7" s="28" t="s">
        <v>280</v>
      </c>
      <c r="R7" s="28" t="s">
        <v>279</v>
      </c>
      <c r="S7" s="28" t="s">
        <v>279</v>
      </c>
      <c r="T7" s="28" t="s">
        <v>279</v>
      </c>
      <c r="U7" s="28" t="s">
        <v>279</v>
      </c>
      <c r="V7" s="28" t="s">
        <v>279</v>
      </c>
      <c r="W7" s="28" t="s">
        <v>279</v>
      </c>
      <c r="X7" s="28" t="s">
        <v>279</v>
      </c>
      <c r="Y7" s="28" t="s">
        <v>279</v>
      </c>
      <c r="Z7" s="28" t="s">
        <v>279</v>
      </c>
      <c r="AA7" s="28" t="s">
        <v>279</v>
      </c>
      <c r="AB7" s="28" t="s">
        <v>279</v>
      </c>
      <c r="AC7" s="28" t="s">
        <v>279</v>
      </c>
      <c r="AD7" s="115" t="s">
        <v>279</v>
      </c>
      <c r="AE7" s="115" t="s">
        <v>279</v>
      </c>
      <c r="AF7" s="115" t="s">
        <v>279</v>
      </c>
      <c r="AG7" s="115" t="s">
        <v>279</v>
      </c>
    </row>
    <row r="8" spans="3:33" x14ac:dyDescent="0.25">
      <c r="D8" s="4"/>
      <c r="E8" s="4"/>
      <c r="F8" s="30" t="s">
        <v>10</v>
      </c>
      <c r="G8" s="29" t="s">
        <v>10</v>
      </c>
      <c r="H8" s="31">
        <v>43100</v>
      </c>
      <c r="I8" s="31">
        <v>43100</v>
      </c>
      <c r="J8" s="31">
        <v>43100</v>
      </c>
      <c r="K8" s="31">
        <v>43100</v>
      </c>
      <c r="L8" s="31">
        <v>43100</v>
      </c>
      <c r="M8" s="31">
        <v>43100</v>
      </c>
      <c r="N8" s="31">
        <v>43100</v>
      </c>
      <c r="O8" s="31">
        <v>43100</v>
      </c>
      <c r="P8" s="31">
        <v>43100</v>
      </c>
      <c r="Q8" s="31">
        <v>43100</v>
      </c>
      <c r="R8" s="31">
        <v>43100</v>
      </c>
      <c r="S8" s="31">
        <v>43100</v>
      </c>
      <c r="T8" s="31">
        <v>43100</v>
      </c>
      <c r="U8" s="31">
        <v>43100</v>
      </c>
      <c r="V8" s="31">
        <v>43100</v>
      </c>
      <c r="W8" s="31">
        <v>43100</v>
      </c>
      <c r="X8" s="31">
        <v>43100</v>
      </c>
      <c r="Y8" s="31">
        <v>43100</v>
      </c>
      <c r="Z8" s="31">
        <v>43100</v>
      </c>
      <c r="AA8" s="31">
        <v>43100</v>
      </c>
      <c r="AB8" s="31">
        <v>43100</v>
      </c>
      <c r="AC8" s="31">
        <v>43100</v>
      </c>
      <c r="AD8" s="116">
        <v>43100</v>
      </c>
      <c r="AE8" s="116">
        <v>43100</v>
      </c>
      <c r="AF8" s="116">
        <v>43100</v>
      </c>
      <c r="AG8" s="116">
        <v>43100</v>
      </c>
    </row>
    <row r="9" spans="3:33" x14ac:dyDescent="0.25">
      <c r="D9" s="4"/>
      <c r="E9" s="4"/>
      <c r="F9" s="30" t="s">
        <v>931</v>
      </c>
      <c r="G9" s="29" t="s">
        <v>932</v>
      </c>
      <c r="H9" s="41"/>
      <c r="I9" s="41"/>
      <c r="J9" s="41"/>
      <c r="K9" s="109" t="s">
        <v>1036</v>
      </c>
      <c r="L9" s="41"/>
      <c r="M9" s="41"/>
      <c r="N9" s="110" t="s">
        <v>1036</v>
      </c>
      <c r="O9" s="110" t="s">
        <v>1036</v>
      </c>
      <c r="P9" s="110" t="s">
        <v>1036</v>
      </c>
      <c r="Q9" s="110" t="s">
        <v>1036</v>
      </c>
      <c r="R9" s="110" t="s">
        <v>1036</v>
      </c>
      <c r="S9" s="110" t="s">
        <v>1036</v>
      </c>
      <c r="T9" s="110" t="s">
        <v>1036</v>
      </c>
      <c r="U9" s="109" t="s">
        <v>1036</v>
      </c>
      <c r="V9" s="41"/>
      <c r="W9" s="41"/>
      <c r="X9" s="41"/>
      <c r="Y9" s="41"/>
      <c r="Z9" s="41"/>
      <c r="AA9" s="41"/>
      <c r="AB9" s="41"/>
      <c r="AC9" s="41"/>
      <c r="AD9" s="117"/>
      <c r="AE9" s="117"/>
      <c r="AF9" s="117"/>
      <c r="AG9" s="117"/>
    </row>
    <row r="10" spans="3:33" x14ac:dyDescent="0.25">
      <c r="D10" s="4"/>
      <c r="E10" s="4"/>
      <c r="F10" s="30" t="s">
        <v>101</v>
      </c>
      <c r="G10" s="29" t="s">
        <v>101</v>
      </c>
      <c r="H10" s="28" t="s">
        <v>151</v>
      </c>
      <c r="I10" s="28" t="s">
        <v>1001</v>
      </c>
      <c r="J10" s="108" t="s">
        <v>247</v>
      </c>
      <c r="K10" s="108" t="s">
        <v>1002</v>
      </c>
      <c r="L10" s="28" t="s">
        <v>151</v>
      </c>
      <c r="M10" s="28" t="s">
        <v>151</v>
      </c>
      <c r="N10" s="28" t="s">
        <v>151</v>
      </c>
      <c r="O10" s="28" t="s">
        <v>151</v>
      </c>
      <c r="P10" s="28" t="s">
        <v>151</v>
      </c>
      <c r="Q10" s="28" t="s">
        <v>151</v>
      </c>
      <c r="R10" s="28" t="s">
        <v>151</v>
      </c>
      <c r="S10" s="28" t="s">
        <v>151</v>
      </c>
      <c r="T10" s="28" t="s">
        <v>151</v>
      </c>
      <c r="U10" s="28" t="s">
        <v>151</v>
      </c>
      <c r="V10" s="28" t="s">
        <v>151</v>
      </c>
      <c r="W10" s="28" t="s">
        <v>151</v>
      </c>
      <c r="X10" s="28" t="s">
        <v>151</v>
      </c>
      <c r="Y10" s="28" t="s">
        <v>151</v>
      </c>
      <c r="Z10" s="28" t="s">
        <v>151</v>
      </c>
      <c r="AA10" s="28" t="s">
        <v>151</v>
      </c>
      <c r="AB10" s="28" t="s">
        <v>1001</v>
      </c>
      <c r="AC10" s="28" t="s">
        <v>1001</v>
      </c>
      <c r="AD10" s="115" t="s">
        <v>151</v>
      </c>
      <c r="AE10" s="122" t="s">
        <v>247</v>
      </c>
      <c r="AF10" s="122" t="s">
        <v>151</v>
      </c>
      <c r="AG10" s="115" t="s">
        <v>247</v>
      </c>
    </row>
    <row r="11" spans="3:33" x14ac:dyDescent="0.25">
      <c r="D11" s="4"/>
      <c r="E11" s="4"/>
      <c r="F11" s="30" t="s">
        <v>153</v>
      </c>
      <c r="G11" s="29" t="s">
        <v>153</v>
      </c>
      <c r="H11" s="28" t="s">
        <v>160</v>
      </c>
      <c r="I11" s="28" t="s">
        <v>160</v>
      </c>
      <c r="J11" s="28" t="s">
        <v>160</v>
      </c>
      <c r="K11" s="28" t="s">
        <v>160</v>
      </c>
      <c r="L11" s="28" t="s">
        <v>160</v>
      </c>
      <c r="M11" s="28" t="s">
        <v>160</v>
      </c>
      <c r="N11" s="28" t="s">
        <v>160</v>
      </c>
      <c r="O11" s="28" t="s">
        <v>160</v>
      </c>
      <c r="P11" s="28" t="s">
        <v>160</v>
      </c>
      <c r="Q11" s="28" t="s">
        <v>160</v>
      </c>
      <c r="R11" s="28" t="s">
        <v>160</v>
      </c>
      <c r="S11" s="28" t="s">
        <v>160</v>
      </c>
      <c r="T11" s="28" t="s">
        <v>160</v>
      </c>
      <c r="U11" s="28" t="s">
        <v>160</v>
      </c>
      <c r="V11" s="28" t="s">
        <v>160</v>
      </c>
      <c r="W11" s="28" t="s">
        <v>160</v>
      </c>
      <c r="X11" s="28" t="s">
        <v>160</v>
      </c>
      <c r="Y11" s="28" t="s">
        <v>160</v>
      </c>
      <c r="Z11" s="28" t="s">
        <v>160</v>
      </c>
      <c r="AA11" s="28" t="s">
        <v>160</v>
      </c>
      <c r="AB11" s="28" t="s">
        <v>1003</v>
      </c>
      <c r="AC11" s="113" t="s">
        <v>1038</v>
      </c>
      <c r="AD11" s="115" t="s">
        <v>1038</v>
      </c>
      <c r="AE11" s="115" t="s">
        <v>1038</v>
      </c>
      <c r="AF11" s="115" t="s">
        <v>1038</v>
      </c>
      <c r="AG11" s="115" t="s">
        <v>1038</v>
      </c>
    </row>
    <row r="12" spans="3:33" x14ac:dyDescent="0.25">
      <c r="C12" s="4"/>
      <c r="D12" s="4"/>
      <c r="E12" s="4"/>
      <c r="F12" s="30" t="s">
        <v>100</v>
      </c>
      <c r="G12" s="29" t="s">
        <v>137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2</v>
      </c>
      <c r="N12" s="28">
        <v>1</v>
      </c>
      <c r="O12" s="28">
        <v>2</v>
      </c>
      <c r="P12" s="28">
        <v>2</v>
      </c>
      <c r="Q12" s="28">
        <v>2</v>
      </c>
      <c r="R12" s="28">
        <v>1</v>
      </c>
      <c r="S12" s="28">
        <v>2</v>
      </c>
      <c r="T12" s="28">
        <v>2</v>
      </c>
      <c r="U12" s="28">
        <v>2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  <c r="AC12" s="28">
        <v>2</v>
      </c>
      <c r="AD12" s="115">
        <v>1</v>
      </c>
      <c r="AE12" s="115">
        <v>1</v>
      </c>
      <c r="AF12" s="115">
        <v>1</v>
      </c>
      <c r="AG12" s="115">
        <v>1</v>
      </c>
    </row>
    <row r="13" spans="3:33" x14ac:dyDescent="0.25">
      <c r="D13" s="4"/>
      <c r="E13" s="4"/>
      <c r="F13" s="30" t="s">
        <v>99</v>
      </c>
      <c r="G13" s="29" t="s">
        <v>99</v>
      </c>
      <c r="H13" s="28"/>
      <c r="I13" s="4"/>
      <c r="J13" s="4"/>
      <c r="K13" s="28"/>
      <c r="L13" s="28" t="s">
        <v>161</v>
      </c>
      <c r="M13" s="28" t="s">
        <v>98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115"/>
      <c r="AE13" s="115"/>
      <c r="AF13" s="115"/>
      <c r="AG13" s="115"/>
    </row>
    <row r="14" spans="3:33" x14ac:dyDescent="0.25">
      <c r="D14" s="4"/>
      <c r="E14" s="4"/>
      <c r="F14" s="30" t="s">
        <v>97</v>
      </c>
      <c r="G14" s="29" t="s">
        <v>97</v>
      </c>
      <c r="H14" s="28" t="s">
        <v>96</v>
      </c>
      <c r="I14" s="28" t="s">
        <v>96</v>
      </c>
      <c r="J14" s="28" t="s">
        <v>96</v>
      </c>
      <c r="K14" s="28" t="s">
        <v>96</v>
      </c>
      <c r="L14" s="28" t="s">
        <v>96</v>
      </c>
      <c r="M14" s="28" t="s">
        <v>96</v>
      </c>
      <c r="N14" s="28" t="s">
        <v>96</v>
      </c>
      <c r="O14" s="28" t="s">
        <v>96</v>
      </c>
      <c r="P14" s="28" t="s">
        <v>96</v>
      </c>
      <c r="Q14" s="28" t="s">
        <v>96</v>
      </c>
      <c r="R14" s="28" t="s">
        <v>96</v>
      </c>
      <c r="S14" s="28" t="s">
        <v>96</v>
      </c>
      <c r="T14" s="28" t="s">
        <v>96</v>
      </c>
      <c r="U14" s="28" t="s">
        <v>96</v>
      </c>
      <c r="V14" s="28" t="s">
        <v>96</v>
      </c>
      <c r="W14" s="28" t="s">
        <v>96</v>
      </c>
      <c r="X14" s="28" t="s">
        <v>96</v>
      </c>
      <c r="Y14" s="28" t="s">
        <v>96</v>
      </c>
      <c r="Z14" s="28" t="s">
        <v>96</v>
      </c>
      <c r="AA14" s="28" t="s">
        <v>96</v>
      </c>
      <c r="AB14" s="28" t="s">
        <v>96</v>
      </c>
      <c r="AC14" s="28" t="s">
        <v>96</v>
      </c>
      <c r="AD14" s="115" t="s">
        <v>96</v>
      </c>
      <c r="AE14" s="115" t="s">
        <v>96</v>
      </c>
      <c r="AF14" s="115" t="s">
        <v>96</v>
      </c>
      <c r="AG14" s="115" t="s">
        <v>96</v>
      </c>
    </row>
    <row r="15" spans="3:33" x14ac:dyDescent="0.25">
      <c r="D15" s="4"/>
      <c r="E15" s="4"/>
      <c r="F15" s="30" t="s">
        <v>95</v>
      </c>
      <c r="G15" s="29" t="s">
        <v>95</v>
      </c>
      <c r="H15" s="28">
        <v>0</v>
      </c>
      <c r="I15" s="28">
        <v>0</v>
      </c>
      <c r="J15" s="28">
        <v>0</v>
      </c>
      <c r="K15" s="2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28">
        <v>0</v>
      </c>
      <c r="S15" s="28">
        <v>0</v>
      </c>
      <c r="T15" s="28">
        <v>0</v>
      </c>
      <c r="U15" s="2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28">
        <v>0</v>
      </c>
      <c r="AC15" s="28">
        <v>0</v>
      </c>
      <c r="AD15" s="115">
        <v>0</v>
      </c>
      <c r="AE15" s="115">
        <v>0</v>
      </c>
      <c r="AF15" s="115">
        <v>0</v>
      </c>
      <c r="AG15" s="115">
        <v>0</v>
      </c>
    </row>
    <row r="16" spans="3:33" x14ac:dyDescent="0.25">
      <c r="D16" s="4"/>
      <c r="E16" s="4"/>
      <c r="F16" s="30" t="s">
        <v>94</v>
      </c>
      <c r="G16" s="29" t="s">
        <v>94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115">
        <v>0</v>
      </c>
      <c r="AE16" s="115">
        <v>0</v>
      </c>
      <c r="AF16" s="115">
        <v>0</v>
      </c>
      <c r="AG16" s="115">
        <v>0</v>
      </c>
    </row>
    <row r="17" spans="4:33" x14ac:dyDescent="0.25">
      <c r="D17" s="4"/>
      <c r="E17" s="4"/>
      <c r="F17" s="30" t="s">
        <v>154</v>
      </c>
      <c r="G17" s="29" t="s">
        <v>152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 t="s">
        <v>1037</v>
      </c>
      <c r="AC17" s="25"/>
      <c r="AD17" s="114"/>
      <c r="AE17" s="114"/>
      <c r="AF17" s="114"/>
      <c r="AG17" s="114"/>
    </row>
    <row ht="15.75" r="18" spans="4:33" x14ac:dyDescent="0.3">
      <c r="D18" s="35" t="s">
        <v>93</v>
      </c>
      <c r="E18" s="34"/>
      <c r="F18" s="37" t="s">
        <v>92</v>
      </c>
      <c r="G18" s="36" t="s">
        <v>92</v>
      </c>
      <c r="H18" s="41">
        <v>1.1499999999999999</v>
      </c>
      <c r="I18" s="41">
        <v>1</v>
      </c>
      <c r="J18" s="41">
        <v>1</v>
      </c>
      <c r="K18" s="41">
        <v>1</v>
      </c>
      <c r="L18" s="41">
        <v>1.0101010101010099</v>
      </c>
      <c r="M18" s="41">
        <v>1.0101010101010099</v>
      </c>
      <c r="N18" s="41">
        <v>1.0101010101010099</v>
      </c>
      <c r="O18" s="41">
        <v>1.0101010101010099</v>
      </c>
      <c r="P18" s="41">
        <v>1.0101010101010099</v>
      </c>
      <c r="Q18" s="41">
        <v>1.0101010101010099</v>
      </c>
      <c r="R18" s="41">
        <v>1.0101010101010099</v>
      </c>
      <c r="S18" s="41">
        <v>1.0101010101010099</v>
      </c>
      <c r="T18" s="41">
        <v>1.0101010101010099</v>
      </c>
      <c r="U18" s="41">
        <v>1.0101010101010099</v>
      </c>
      <c r="V18" s="41">
        <v>1.0101010101010099</v>
      </c>
      <c r="W18" s="41">
        <v>1.0101010101010099</v>
      </c>
      <c r="X18" s="41">
        <v>1.0101010101010099</v>
      </c>
      <c r="Y18" s="41">
        <v>1.0101010101010099</v>
      </c>
      <c r="Z18" s="41">
        <v>1.0101010101010099</v>
      </c>
      <c r="AA18" s="41">
        <v>1.0101010101010099</v>
      </c>
      <c r="AB18" s="41">
        <v>1</v>
      </c>
      <c r="AC18" s="41">
        <v>1</v>
      </c>
      <c r="AD18" s="117">
        <v>1</v>
      </c>
      <c r="AE18" s="117">
        <v>1</v>
      </c>
      <c r="AF18" s="117">
        <v>1</v>
      </c>
      <c r="AG18" s="117">
        <v>1</v>
      </c>
    </row>
    <row r="19" spans="4:33" x14ac:dyDescent="0.25">
      <c r="D19" s="4"/>
      <c r="E19" s="4"/>
      <c r="F19" s="30" t="s">
        <v>91</v>
      </c>
      <c r="G19" s="29" t="s">
        <v>91</v>
      </c>
      <c r="H19" s="28" t="s">
        <v>147</v>
      </c>
      <c r="I19" s="28" t="s">
        <v>147</v>
      </c>
      <c r="J19" s="28" t="s">
        <v>147</v>
      </c>
      <c r="K19" s="28" t="s">
        <v>147</v>
      </c>
      <c r="L19" s="28" t="s">
        <v>147</v>
      </c>
      <c r="M19" s="28" t="s">
        <v>147</v>
      </c>
      <c r="N19" s="28" t="s">
        <v>147</v>
      </c>
      <c r="O19" s="28" t="s">
        <v>147</v>
      </c>
      <c r="P19" s="28" t="s">
        <v>147</v>
      </c>
      <c r="Q19" s="28" t="s">
        <v>147</v>
      </c>
      <c r="R19" s="28" t="s">
        <v>147</v>
      </c>
      <c r="S19" s="28" t="s">
        <v>147</v>
      </c>
      <c r="T19" s="28" t="s">
        <v>147</v>
      </c>
      <c r="U19" s="28" t="s">
        <v>147</v>
      </c>
      <c r="V19" s="28" t="s">
        <v>147</v>
      </c>
      <c r="W19" s="28" t="s">
        <v>147</v>
      </c>
      <c r="X19" s="28" t="s">
        <v>147</v>
      </c>
      <c r="Y19" s="28" t="s">
        <v>147</v>
      </c>
      <c r="Z19" s="28" t="s">
        <v>147</v>
      </c>
      <c r="AA19" s="28" t="s">
        <v>147</v>
      </c>
      <c r="AB19" s="28" t="s">
        <v>147</v>
      </c>
      <c r="AC19" s="28" t="s">
        <v>147</v>
      </c>
      <c r="AD19" s="115" t="s">
        <v>147</v>
      </c>
      <c r="AE19" s="115" t="s">
        <v>147</v>
      </c>
      <c r="AF19" s="115" t="s">
        <v>147</v>
      </c>
      <c r="AG19" s="115" t="s">
        <v>147</v>
      </c>
    </row>
    <row r="20" spans="4:33" x14ac:dyDescent="0.25">
      <c r="D20" s="4"/>
      <c r="E20" s="4"/>
      <c r="F20" s="30" t="s">
        <v>90</v>
      </c>
      <c r="G20" s="29" t="s">
        <v>90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 t="s">
        <v>1004</v>
      </c>
      <c r="V20" s="28" t="s">
        <v>1004</v>
      </c>
      <c r="W20" s="108" t="s">
        <v>1004</v>
      </c>
      <c r="X20" s="28"/>
      <c r="Y20" s="28"/>
      <c r="Z20" s="28"/>
      <c r="AA20" s="28"/>
      <c r="AB20" s="28"/>
      <c r="AC20" s="28"/>
      <c r="AD20" s="115"/>
      <c r="AE20" s="115"/>
      <c r="AF20" s="115"/>
      <c r="AG20" s="115"/>
    </row>
    <row r="21" spans="4:33" x14ac:dyDescent="0.25">
      <c r="D21" s="4"/>
      <c r="E21" s="4"/>
      <c r="F21" s="30" t="s">
        <v>89</v>
      </c>
      <c r="G21" s="29" t="s">
        <v>89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108" t="s">
        <v>1005</v>
      </c>
      <c r="Y21" s="108" t="s">
        <v>1005</v>
      </c>
      <c r="Z21" s="28" t="s">
        <v>1005</v>
      </c>
      <c r="AA21" s="28" t="s">
        <v>1005</v>
      </c>
      <c r="AB21" s="28"/>
      <c r="AC21" s="108" t="s">
        <v>1005</v>
      </c>
      <c r="AD21" s="115"/>
      <c r="AE21" s="122" t="s">
        <v>1005</v>
      </c>
      <c r="AF21" s="115" t="s">
        <v>1005</v>
      </c>
      <c r="AG21" s="123" t="s">
        <v>1005</v>
      </c>
    </row>
    <row r="22" spans="4:33" x14ac:dyDescent="0.25">
      <c r="D22" s="4"/>
      <c r="E22" s="4"/>
      <c r="F22" s="30" t="s">
        <v>1081</v>
      </c>
      <c r="G22" s="29" t="s">
        <v>1081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108">
        <v>5000</v>
      </c>
      <c r="Y22" s="108" t="s">
        <v>1320</v>
      </c>
      <c r="Z22" s="28">
        <v>2000</v>
      </c>
      <c r="AA22" s="28">
        <v>2000</v>
      </c>
      <c r="AB22" s="28"/>
      <c r="AC22" s="108" t="s">
        <v>1320</v>
      </c>
      <c r="AD22" s="115"/>
      <c r="AE22" s="122">
        <v>2000</v>
      </c>
      <c r="AF22" s="122">
        <v>5000</v>
      </c>
      <c r="AG22" s="122" t="s">
        <v>1320</v>
      </c>
    </row>
    <row customFormat="1" r="23" s="4" spans="4:33" x14ac:dyDescent="0.25">
      <c r="F23" s="30" t="s">
        <v>88</v>
      </c>
      <c r="G23" s="29" t="s">
        <v>88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108"/>
      <c r="Y23" s="108">
        <v>20000</v>
      </c>
      <c r="Z23" s="28"/>
      <c r="AA23" s="28"/>
      <c r="AB23" s="28"/>
      <c r="AC23" s="108">
        <v>20000</v>
      </c>
      <c r="AD23" s="115"/>
      <c r="AE23" s="115"/>
      <c r="AF23" s="115"/>
      <c r="AG23" s="126">
        <v>15000</v>
      </c>
    </row>
    <row r="24" spans="4:33" x14ac:dyDescent="0.25">
      <c r="D24" s="4"/>
      <c r="E24" s="4"/>
      <c r="F24" s="30" t="s">
        <v>87</v>
      </c>
      <c r="G24" s="29" t="s">
        <v>87</v>
      </c>
      <c r="H24" s="28" t="s">
        <v>148</v>
      </c>
      <c r="I24" s="28" t="s">
        <v>148</v>
      </c>
      <c r="J24" s="28"/>
      <c r="K24" s="28"/>
      <c r="L24" s="28" t="s">
        <v>148</v>
      </c>
      <c r="M24" s="28" t="s">
        <v>148</v>
      </c>
      <c r="N24" s="28" t="s">
        <v>148</v>
      </c>
      <c r="O24" s="28" t="s">
        <v>148</v>
      </c>
      <c r="P24" s="28" t="s">
        <v>148</v>
      </c>
      <c r="Q24" s="28" t="s">
        <v>148</v>
      </c>
      <c r="R24" s="28" t="s">
        <v>148</v>
      </c>
      <c r="S24" s="28" t="s">
        <v>148</v>
      </c>
      <c r="T24" s="28" t="s">
        <v>148</v>
      </c>
      <c r="U24" s="28" t="s">
        <v>148</v>
      </c>
      <c r="V24" s="28" t="s">
        <v>148</v>
      </c>
      <c r="W24" s="28" t="s">
        <v>148</v>
      </c>
      <c r="X24" s="28" t="s">
        <v>148</v>
      </c>
      <c r="Y24" s="28" t="s">
        <v>148</v>
      </c>
      <c r="Z24" s="28" t="s">
        <v>148</v>
      </c>
      <c r="AA24" s="28" t="s">
        <v>148</v>
      </c>
      <c r="AB24" s="28" t="s">
        <v>148</v>
      </c>
      <c r="AC24" s="28"/>
      <c r="AD24" s="115"/>
      <c r="AE24" s="115"/>
      <c r="AF24" s="115"/>
      <c r="AG24" s="115"/>
    </row>
    <row ht="27" r="25" spans="4:33" x14ac:dyDescent="0.25">
      <c r="D25" s="49"/>
      <c r="E25" s="49"/>
      <c r="F25" s="50" t="s">
        <v>86</v>
      </c>
      <c r="G25" s="51" t="s">
        <v>86</v>
      </c>
      <c r="H25" s="55" t="s">
        <v>149</v>
      </c>
      <c r="I25" s="55" t="s">
        <v>149</v>
      </c>
      <c r="J25" s="55"/>
      <c r="K25" s="55"/>
      <c r="L25" s="55" t="s">
        <v>149</v>
      </c>
      <c r="M25" s="55" t="s">
        <v>149</v>
      </c>
      <c r="N25" s="55" t="s">
        <v>149</v>
      </c>
      <c r="O25" s="55" t="s">
        <v>149</v>
      </c>
      <c r="P25" s="55" t="s">
        <v>149</v>
      </c>
      <c r="Q25" s="55" t="s">
        <v>149</v>
      </c>
      <c r="R25" s="55" t="s">
        <v>149</v>
      </c>
      <c r="S25" s="55" t="s">
        <v>149</v>
      </c>
      <c r="T25" s="55" t="s">
        <v>149</v>
      </c>
      <c r="U25" s="55" t="s">
        <v>149</v>
      </c>
      <c r="V25" s="55" t="s">
        <v>149</v>
      </c>
      <c r="W25" s="55" t="s">
        <v>149</v>
      </c>
      <c r="X25" s="55" t="s">
        <v>149</v>
      </c>
      <c r="Y25" s="55" t="s">
        <v>149</v>
      </c>
      <c r="Z25" s="55" t="s">
        <v>149</v>
      </c>
      <c r="AA25" s="55" t="s">
        <v>149</v>
      </c>
      <c r="AB25" s="55" t="s">
        <v>149</v>
      </c>
      <c r="AC25" s="55"/>
      <c r="AD25" s="118"/>
      <c r="AE25" s="118"/>
      <c r="AF25" s="118"/>
      <c r="AG25" s="118"/>
    </row>
    <row r="26" spans="4:33" x14ac:dyDescent="0.25">
      <c r="D26" s="4"/>
      <c r="E26" s="4"/>
      <c r="F26" s="30" t="s">
        <v>85</v>
      </c>
      <c r="G26" s="29" t="s">
        <v>85</v>
      </c>
      <c r="H26" s="28" t="s">
        <v>162</v>
      </c>
      <c r="I26" s="28" t="s">
        <v>162</v>
      </c>
      <c r="J26" s="28"/>
      <c r="K26" s="28"/>
      <c r="L26" s="28" t="s">
        <v>162</v>
      </c>
      <c r="M26" s="28" t="s">
        <v>162</v>
      </c>
      <c r="N26" s="28" t="s">
        <v>162</v>
      </c>
      <c r="O26" s="28" t="s">
        <v>162</v>
      </c>
      <c r="P26" s="28" t="s">
        <v>162</v>
      </c>
      <c r="Q26" s="28" t="s">
        <v>162</v>
      </c>
      <c r="R26" s="28" t="s">
        <v>162</v>
      </c>
      <c r="S26" s="28" t="s">
        <v>162</v>
      </c>
      <c r="T26" s="28" t="s">
        <v>162</v>
      </c>
      <c r="U26" s="28" t="s">
        <v>162</v>
      </c>
      <c r="V26" s="28" t="s">
        <v>162</v>
      </c>
      <c r="W26" s="28" t="s">
        <v>162</v>
      </c>
      <c r="X26" s="28" t="s">
        <v>162</v>
      </c>
      <c r="Y26" s="28" t="s">
        <v>162</v>
      </c>
      <c r="Z26" s="28" t="s">
        <v>162</v>
      </c>
      <c r="AA26" s="28" t="s">
        <v>162</v>
      </c>
      <c r="AB26" s="28" t="s">
        <v>1006</v>
      </c>
      <c r="AC26" s="28"/>
      <c r="AD26" s="115"/>
      <c r="AE26" s="115"/>
      <c r="AF26" s="115"/>
      <c r="AG26" s="115"/>
    </row>
    <row r="27" spans="4:33" x14ac:dyDescent="0.25">
      <c r="D27" s="4"/>
      <c r="E27" s="4"/>
      <c r="F27" s="30" t="s">
        <v>84</v>
      </c>
      <c r="G27" s="29" t="s">
        <v>84</v>
      </c>
      <c r="H27" s="28">
        <v>15000</v>
      </c>
      <c r="I27" s="28">
        <v>15000</v>
      </c>
      <c r="J27" s="108">
        <v>2500</v>
      </c>
      <c r="K27" s="108">
        <v>7500</v>
      </c>
      <c r="L27" s="28">
        <v>15000</v>
      </c>
      <c r="M27" s="28">
        <v>15000</v>
      </c>
      <c r="N27" s="28">
        <v>15000</v>
      </c>
      <c r="O27" s="28">
        <v>15000</v>
      </c>
      <c r="P27" s="28">
        <v>15000</v>
      </c>
      <c r="Q27" s="28">
        <v>15000</v>
      </c>
      <c r="R27" s="28">
        <v>15000</v>
      </c>
      <c r="S27" s="28">
        <v>15000</v>
      </c>
      <c r="T27" s="28">
        <v>15000</v>
      </c>
      <c r="U27" s="28">
        <v>15000</v>
      </c>
      <c r="V27" s="28">
        <v>15000</v>
      </c>
      <c r="W27" s="28">
        <v>15000</v>
      </c>
      <c r="X27" s="28">
        <v>15000</v>
      </c>
      <c r="Y27" s="28">
        <v>15000</v>
      </c>
      <c r="Z27" s="28">
        <v>15000</v>
      </c>
      <c r="AA27" s="28">
        <v>15000</v>
      </c>
      <c r="AB27" s="28">
        <v>25000</v>
      </c>
      <c r="AC27" s="28">
        <v>25000</v>
      </c>
      <c r="AD27" s="115">
        <v>15000</v>
      </c>
      <c r="AE27" s="115">
        <v>15000</v>
      </c>
      <c r="AF27" s="115">
        <v>15000</v>
      </c>
      <c r="AG27" s="115">
        <v>15000</v>
      </c>
    </row>
    <row r="28" spans="4:33" x14ac:dyDescent="0.25">
      <c r="D28" s="4"/>
      <c r="E28" s="4"/>
      <c r="F28" s="30" t="s">
        <v>83</v>
      </c>
      <c r="G28" s="29" t="s">
        <v>83</v>
      </c>
      <c r="H28" s="25">
        <v>400</v>
      </c>
      <c r="I28" s="25">
        <v>400</v>
      </c>
      <c r="J28" s="25">
        <v>400</v>
      </c>
      <c r="K28" s="25">
        <v>400</v>
      </c>
      <c r="L28" s="25">
        <v>400</v>
      </c>
      <c r="M28" s="25" t="s">
        <v>1223</v>
      </c>
      <c r="N28" s="25" t="s">
        <v>1223</v>
      </c>
      <c r="O28" s="25" t="s">
        <v>1222</v>
      </c>
      <c r="P28" s="25">
        <v>750</v>
      </c>
      <c r="Q28" s="25">
        <v>750</v>
      </c>
      <c r="R28" s="112">
        <v>750</v>
      </c>
      <c r="S28" s="25">
        <v>750</v>
      </c>
      <c r="T28" s="25">
        <v>750</v>
      </c>
      <c r="U28" s="25" t="s">
        <v>1225</v>
      </c>
      <c r="V28" s="25" t="s">
        <v>1225</v>
      </c>
      <c r="W28" s="25" t="s">
        <v>1225</v>
      </c>
      <c r="X28" s="25" t="s">
        <v>1225</v>
      </c>
      <c r="Y28" s="25" t="s">
        <v>1225</v>
      </c>
      <c r="Z28" s="25">
        <v>500</v>
      </c>
      <c r="AA28" s="25">
        <v>500</v>
      </c>
      <c r="AB28" s="25">
        <v>1500</v>
      </c>
      <c r="AC28" s="25">
        <v>500</v>
      </c>
      <c r="AD28" s="114">
        <v>500</v>
      </c>
      <c r="AE28" s="114">
        <v>500</v>
      </c>
      <c r="AF28" s="114">
        <v>500</v>
      </c>
      <c r="AG28" s="114">
        <v>500</v>
      </c>
    </row>
    <row ht="15.75" r="29" spans="4:33" x14ac:dyDescent="0.3">
      <c r="D29" s="35" t="s">
        <v>82</v>
      </c>
      <c r="E29" s="34"/>
      <c r="F29" s="33" t="s">
        <v>975</v>
      </c>
      <c r="G29" s="32" t="s">
        <v>81</v>
      </c>
      <c r="H29" s="41" t="s">
        <v>80</v>
      </c>
      <c r="I29" s="41" t="s">
        <v>80</v>
      </c>
      <c r="J29" s="41" t="s">
        <v>80</v>
      </c>
      <c r="K29" s="41" t="s">
        <v>80</v>
      </c>
      <c r="L29" s="41" t="s">
        <v>80</v>
      </c>
      <c r="M29" s="41" t="s">
        <v>80</v>
      </c>
      <c r="N29" s="41" t="s">
        <v>80</v>
      </c>
      <c r="O29" s="41" t="s">
        <v>80</v>
      </c>
      <c r="P29" s="41" t="s">
        <v>80</v>
      </c>
      <c r="Q29" s="41" t="s">
        <v>80</v>
      </c>
      <c r="R29" s="41" t="s">
        <v>80</v>
      </c>
      <c r="S29" s="41" t="s">
        <v>80</v>
      </c>
      <c r="T29" s="41" t="s">
        <v>80</v>
      </c>
      <c r="U29" s="41" t="s">
        <v>80</v>
      </c>
      <c r="V29" s="41" t="s">
        <v>80</v>
      </c>
      <c r="W29" s="41" t="s">
        <v>80</v>
      </c>
      <c r="X29" s="41" t="s">
        <v>80</v>
      </c>
      <c r="Y29" s="41" t="s">
        <v>80</v>
      </c>
      <c r="Z29" s="41" t="s">
        <v>80</v>
      </c>
      <c r="AA29" s="41" t="s">
        <v>80</v>
      </c>
      <c r="AB29" s="41"/>
      <c r="AC29" s="41" t="s">
        <v>80</v>
      </c>
      <c r="AD29" s="117" t="s">
        <v>80</v>
      </c>
      <c r="AE29" s="117" t="s">
        <v>80</v>
      </c>
      <c r="AF29" s="117" t="s">
        <v>80</v>
      </c>
      <c r="AG29" s="117" t="s">
        <v>80</v>
      </c>
    </row>
    <row r="30" spans="4:33" x14ac:dyDescent="0.25">
      <c r="D30" s="4"/>
      <c r="E30" s="4"/>
      <c r="F30" s="39" t="s">
        <v>976</v>
      </c>
      <c r="G30" s="38" t="s">
        <v>79</v>
      </c>
      <c r="H30" s="31">
        <v>13076</v>
      </c>
      <c r="I30" s="31">
        <v>19651</v>
      </c>
      <c r="J30" s="31">
        <v>19651</v>
      </c>
      <c r="K30" s="31">
        <v>19651</v>
      </c>
      <c r="L30" s="31">
        <v>19651</v>
      </c>
      <c r="M30" s="31">
        <v>19651</v>
      </c>
      <c r="N30" s="31">
        <v>19651</v>
      </c>
      <c r="O30" s="31">
        <v>19651</v>
      </c>
      <c r="P30" s="31">
        <v>19651</v>
      </c>
      <c r="Q30" s="31">
        <v>19651</v>
      </c>
      <c r="R30" s="31">
        <v>19651</v>
      </c>
      <c r="S30" s="31">
        <v>19651</v>
      </c>
      <c r="T30" s="31">
        <v>19651</v>
      </c>
      <c r="U30" s="31">
        <v>19651</v>
      </c>
      <c r="V30" s="31">
        <v>19651</v>
      </c>
      <c r="W30" s="31">
        <v>19651</v>
      </c>
      <c r="X30" s="31">
        <v>19651</v>
      </c>
      <c r="Y30" s="31">
        <v>19651</v>
      </c>
      <c r="Z30" s="31">
        <v>19651</v>
      </c>
      <c r="AA30" s="31">
        <v>19651</v>
      </c>
      <c r="AB30" s="31"/>
      <c r="AC30" s="31">
        <v>13076</v>
      </c>
      <c r="AD30" s="116">
        <v>13076</v>
      </c>
      <c r="AE30" s="116">
        <v>13076</v>
      </c>
      <c r="AF30" s="116">
        <v>13076</v>
      </c>
      <c r="AG30" s="116">
        <v>13076</v>
      </c>
    </row>
    <row r="31" spans="4:33" x14ac:dyDescent="0.25">
      <c r="D31" s="4"/>
      <c r="E31" s="4"/>
      <c r="F31" s="39" t="s">
        <v>977</v>
      </c>
      <c r="G31" s="38" t="s">
        <v>78</v>
      </c>
      <c r="H31" s="28" t="s">
        <v>1142</v>
      </c>
      <c r="I31" s="28" t="s">
        <v>1142</v>
      </c>
      <c r="J31" s="28" t="s">
        <v>1142</v>
      </c>
      <c r="K31" s="28" t="s">
        <v>1142</v>
      </c>
      <c r="L31" s="28" t="s">
        <v>1142</v>
      </c>
      <c r="M31" s="28" t="s">
        <v>1142</v>
      </c>
      <c r="N31" s="28" t="s">
        <v>1142</v>
      </c>
      <c r="O31" s="28" t="s">
        <v>1142</v>
      </c>
      <c r="P31" s="28" t="s">
        <v>1142</v>
      </c>
      <c r="Q31" s="28" t="s">
        <v>1142</v>
      </c>
      <c r="R31" s="28" t="s">
        <v>1142</v>
      </c>
      <c r="S31" s="28" t="s">
        <v>1142</v>
      </c>
      <c r="T31" s="28" t="s">
        <v>1144</v>
      </c>
      <c r="U31" s="28" t="s">
        <v>1142</v>
      </c>
      <c r="V31" s="28" t="s">
        <v>1142</v>
      </c>
      <c r="W31" s="28" t="s">
        <v>1142</v>
      </c>
      <c r="X31" s="28" t="s">
        <v>1142</v>
      </c>
      <c r="Y31" s="28" t="s">
        <v>1142</v>
      </c>
      <c r="Z31" s="28" t="s">
        <v>1142</v>
      </c>
      <c r="AA31" s="28" t="s">
        <v>1142</v>
      </c>
      <c r="AB31" s="28"/>
      <c r="AC31" s="28" t="s">
        <v>1142</v>
      </c>
      <c r="AD31" s="115" t="s">
        <v>1142</v>
      </c>
      <c r="AE31" s="115" t="s">
        <v>1142</v>
      </c>
      <c r="AF31" s="122" t="s">
        <v>1144</v>
      </c>
      <c r="AG31" s="122" t="s">
        <v>1143</v>
      </c>
    </row>
    <row r="32" spans="4:33" x14ac:dyDescent="0.25">
      <c r="D32" s="4"/>
      <c r="E32" s="4"/>
      <c r="F32" s="39" t="s">
        <v>978</v>
      </c>
      <c r="G32" s="38" t="s">
        <v>150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115"/>
      <c r="AE32" s="115"/>
      <c r="AF32" s="115"/>
      <c r="AG32" s="115"/>
    </row>
    <row r="33" spans="4:33" x14ac:dyDescent="0.25">
      <c r="D33" s="4"/>
      <c r="E33" s="4"/>
      <c r="F33" s="39" t="s">
        <v>1085</v>
      </c>
      <c r="G33" s="38" t="s">
        <v>1085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10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115"/>
      <c r="AE33" s="115"/>
      <c r="AF33" s="115"/>
      <c r="AG33" s="115"/>
    </row>
    <row r="34" spans="4:33" x14ac:dyDescent="0.25">
      <c r="D34" s="4"/>
      <c r="E34" s="4"/>
      <c r="F34" s="39" t="s">
        <v>1086</v>
      </c>
      <c r="G34" s="38" t="s">
        <v>1086</v>
      </c>
      <c r="H34" s="28"/>
      <c r="I34" s="28"/>
      <c r="J34" s="108"/>
      <c r="K34" s="10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115"/>
      <c r="AE34" s="115"/>
      <c r="AF34" s="115"/>
      <c r="AG34" s="115"/>
    </row>
    <row r="35" spans="4:33" x14ac:dyDescent="0.25">
      <c r="D35" s="4"/>
      <c r="E35" s="4"/>
      <c r="F35" s="39" t="s">
        <v>1087</v>
      </c>
      <c r="G35" s="38" t="s">
        <v>1087</v>
      </c>
      <c r="H35" s="28"/>
      <c r="I35" s="28"/>
      <c r="J35" s="108"/>
      <c r="K35" s="10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115"/>
      <c r="AE35" s="115"/>
      <c r="AF35" s="115"/>
      <c r="AG35" s="115"/>
    </row>
    <row customFormat="1" r="36" s="4" spans="4:33" x14ac:dyDescent="0.25">
      <c r="F36" s="39" t="s">
        <v>1091</v>
      </c>
      <c r="G36" s="38" t="s">
        <v>1091</v>
      </c>
      <c r="H36" s="115"/>
      <c r="I36" s="115"/>
      <c r="J36" s="122"/>
      <c r="K36" s="122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</row>
    <row customFormat="1" r="37" s="4" spans="4:33" x14ac:dyDescent="0.25">
      <c r="F37" s="39" t="s">
        <v>1092</v>
      </c>
      <c r="G37" s="38" t="s">
        <v>1092</v>
      </c>
      <c r="H37" s="115"/>
      <c r="I37" s="115"/>
      <c r="J37" s="122"/>
      <c r="K37" s="122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</row>
    <row customFormat="1" r="38" s="4" spans="4:33" x14ac:dyDescent="0.25">
      <c r="F38" s="39" t="s">
        <v>1093</v>
      </c>
      <c r="G38" s="38" t="s">
        <v>1093</v>
      </c>
      <c r="H38" s="115"/>
      <c r="I38" s="115"/>
      <c r="J38" s="122"/>
      <c r="K38" s="122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</row>
    <row r="39" spans="4:33" x14ac:dyDescent="0.25">
      <c r="D39" s="4"/>
      <c r="E39" s="4"/>
      <c r="F39" s="39" t="s">
        <v>979</v>
      </c>
      <c r="G39" s="38" t="s">
        <v>77</v>
      </c>
      <c r="H39" s="73" t="s">
        <v>272</v>
      </c>
      <c r="I39" s="73" t="s">
        <v>272</v>
      </c>
      <c r="J39" s="73" t="s">
        <v>272</v>
      </c>
      <c r="K39" s="73" t="s">
        <v>272</v>
      </c>
      <c r="L39" s="73" t="s">
        <v>272</v>
      </c>
      <c r="M39" s="73" t="s">
        <v>272</v>
      </c>
      <c r="N39" s="73" t="s">
        <v>272</v>
      </c>
      <c r="O39" s="73" t="s">
        <v>272</v>
      </c>
      <c r="P39" s="73" t="s">
        <v>272</v>
      </c>
      <c r="Q39" s="73" t="s">
        <v>272</v>
      </c>
      <c r="R39" s="73" t="s">
        <v>272</v>
      </c>
      <c r="S39" s="73" t="s">
        <v>272</v>
      </c>
      <c r="T39" s="73" t="s">
        <v>272</v>
      </c>
      <c r="U39" s="73" t="s">
        <v>272</v>
      </c>
      <c r="V39" s="73" t="s">
        <v>272</v>
      </c>
      <c r="W39" s="73" t="s">
        <v>272</v>
      </c>
      <c r="X39" s="73" t="s">
        <v>272</v>
      </c>
      <c r="Y39" s="73" t="s">
        <v>272</v>
      </c>
      <c r="Z39" s="73" t="s">
        <v>272</v>
      </c>
      <c r="AA39" s="73" t="s">
        <v>272</v>
      </c>
      <c r="AB39" s="73"/>
      <c r="AC39" s="73"/>
      <c r="AD39" s="121" t="s">
        <v>272</v>
      </c>
      <c r="AE39" s="121" t="s">
        <v>272</v>
      </c>
      <c r="AF39" s="121"/>
      <c r="AG39" s="121"/>
    </row>
    <row ht="15.75" r="40" spans="4:33" x14ac:dyDescent="0.3">
      <c r="D40" s="35" t="s">
        <v>76</v>
      </c>
      <c r="E40" s="40"/>
      <c r="F40" s="33" t="s">
        <v>980</v>
      </c>
      <c r="G40" s="32" t="s">
        <v>75</v>
      </c>
      <c r="H40" s="28"/>
      <c r="I40" s="41" t="s">
        <v>134</v>
      </c>
      <c r="J40" s="41" t="s">
        <v>134</v>
      </c>
      <c r="K40" s="41" t="s">
        <v>134</v>
      </c>
      <c r="L40" s="41" t="s">
        <v>74</v>
      </c>
      <c r="M40" s="41" t="s">
        <v>74</v>
      </c>
      <c r="N40" s="41" t="s">
        <v>74</v>
      </c>
      <c r="O40" s="41" t="s">
        <v>74</v>
      </c>
      <c r="P40" s="41" t="s">
        <v>74</v>
      </c>
      <c r="Q40" s="41" t="s">
        <v>74</v>
      </c>
      <c r="R40" s="41" t="s">
        <v>74</v>
      </c>
      <c r="S40" s="41"/>
      <c r="T40" s="41"/>
      <c r="U40" s="41"/>
      <c r="V40" s="41"/>
      <c r="W40" s="41"/>
      <c r="X40" s="41"/>
      <c r="Y40" s="41"/>
      <c r="Z40" s="41"/>
      <c r="AA40" s="41"/>
      <c r="AB40" s="28"/>
      <c r="AC40" s="28"/>
      <c r="AD40" s="115"/>
      <c r="AE40" s="115"/>
      <c r="AF40" s="115"/>
      <c r="AG40" s="115"/>
    </row>
    <row r="41" spans="4:33" x14ac:dyDescent="0.25">
      <c r="D41" s="4"/>
      <c r="E41" s="4"/>
      <c r="F41" s="39" t="s">
        <v>981</v>
      </c>
      <c r="G41" s="38" t="s">
        <v>73</v>
      </c>
      <c r="H41" s="28"/>
      <c r="I41" s="31"/>
      <c r="J41" s="31"/>
      <c r="K41" s="31"/>
      <c r="L41" s="31">
        <v>19651</v>
      </c>
      <c r="M41" s="31">
        <v>19651</v>
      </c>
      <c r="N41" s="31">
        <v>19651</v>
      </c>
      <c r="O41" s="31">
        <v>19651</v>
      </c>
      <c r="P41" s="31">
        <v>19651</v>
      </c>
      <c r="Q41" s="31">
        <v>19651</v>
      </c>
      <c r="R41" s="31">
        <v>19651</v>
      </c>
      <c r="S41" s="31"/>
      <c r="T41" s="31"/>
      <c r="U41" s="31"/>
      <c r="V41" s="31"/>
      <c r="W41" s="31"/>
      <c r="X41" s="31"/>
      <c r="Y41" s="31"/>
      <c r="Z41" s="31"/>
      <c r="AA41" s="31"/>
      <c r="AB41" s="28"/>
      <c r="AC41" s="28"/>
      <c r="AD41" s="115"/>
      <c r="AE41" s="115"/>
      <c r="AF41" s="115"/>
      <c r="AG41" s="115"/>
    </row>
    <row r="42" spans="4:33" x14ac:dyDescent="0.25">
      <c r="D42" s="4"/>
      <c r="E42" s="4"/>
      <c r="F42" s="39" t="s">
        <v>982</v>
      </c>
      <c r="G42" s="38" t="s">
        <v>72</v>
      </c>
      <c r="H42" s="28"/>
      <c r="I42" s="28"/>
      <c r="J42" s="28"/>
      <c r="K42" s="28"/>
      <c r="L42" s="28" t="s">
        <v>1142</v>
      </c>
      <c r="M42" s="28" t="s">
        <v>1142</v>
      </c>
      <c r="N42" s="28" t="s">
        <v>1142</v>
      </c>
      <c r="O42" s="28" t="s">
        <v>1142</v>
      </c>
      <c r="P42" s="28" t="s">
        <v>1142</v>
      </c>
      <c r="Q42" s="28" t="s">
        <v>1142</v>
      </c>
      <c r="R42" s="28" t="s">
        <v>1142</v>
      </c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115"/>
      <c r="AE42" s="115"/>
      <c r="AF42" s="115"/>
      <c r="AG42" s="115"/>
    </row>
    <row r="43" spans="4:33" x14ac:dyDescent="0.25">
      <c r="D43" s="4"/>
      <c r="E43" s="4"/>
      <c r="F43" s="39" t="s">
        <v>983</v>
      </c>
      <c r="G43" s="38" t="s">
        <v>150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115"/>
      <c r="AE43" s="115"/>
      <c r="AF43" s="115"/>
      <c r="AG43" s="115"/>
    </row>
    <row r="44" spans="4:33" x14ac:dyDescent="0.25">
      <c r="D44" s="4"/>
      <c r="E44" s="4"/>
      <c r="F44" s="39" t="s">
        <v>1088</v>
      </c>
      <c r="G44" s="38" t="s">
        <v>1088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10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115"/>
      <c r="AE44" s="115"/>
      <c r="AF44" s="115"/>
      <c r="AG44" s="115"/>
    </row>
    <row r="45" spans="4:33" x14ac:dyDescent="0.25">
      <c r="D45" s="4"/>
      <c r="E45" s="4"/>
      <c r="F45" s="39" t="s">
        <v>1089</v>
      </c>
      <c r="G45" s="38" t="s">
        <v>1089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115"/>
      <c r="AE45" s="115"/>
      <c r="AF45" s="115"/>
      <c r="AG45" s="115"/>
    </row>
    <row r="46" spans="4:33" x14ac:dyDescent="0.25">
      <c r="D46" s="4"/>
      <c r="E46" s="4"/>
      <c r="F46" s="39" t="s">
        <v>1090</v>
      </c>
      <c r="G46" s="38" t="s">
        <v>1090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115"/>
      <c r="AE46" s="115"/>
      <c r="AF46" s="115"/>
      <c r="AG46" s="115"/>
    </row>
    <row r="47" spans="4:33" x14ac:dyDescent="0.25">
      <c r="D47" s="4"/>
      <c r="E47" s="4"/>
      <c r="F47" s="39" t="s">
        <v>984</v>
      </c>
      <c r="G47" s="38" t="s">
        <v>71</v>
      </c>
      <c r="H47" s="25"/>
      <c r="I47" s="25"/>
      <c r="J47" s="25"/>
      <c r="K47" s="25"/>
      <c r="L47" s="73" t="s">
        <v>272</v>
      </c>
      <c r="M47" s="73" t="s">
        <v>272</v>
      </c>
      <c r="N47" s="73" t="s">
        <v>272</v>
      </c>
      <c r="O47" s="73" t="s">
        <v>272</v>
      </c>
      <c r="P47" s="73" t="s">
        <v>272</v>
      </c>
      <c r="Q47" s="73" t="s">
        <v>272</v>
      </c>
      <c r="R47" s="73" t="s">
        <v>272</v>
      </c>
      <c r="S47" s="73"/>
      <c r="T47" s="73"/>
      <c r="U47" s="73"/>
      <c r="V47" s="73"/>
      <c r="W47" s="73"/>
      <c r="X47" s="73"/>
      <c r="Y47" s="73"/>
      <c r="Z47" s="73"/>
      <c r="AA47" s="73"/>
      <c r="AB47" s="25"/>
      <c r="AC47" s="25"/>
      <c r="AD47" s="114"/>
      <c r="AE47" s="114"/>
      <c r="AF47" s="114"/>
      <c r="AG47" s="114"/>
    </row>
    <row ht="15.75" r="48" spans="4:33" x14ac:dyDescent="0.3">
      <c r="D48" s="35" t="s">
        <v>70</v>
      </c>
      <c r="E48" s="40"/>
      <c r="F48" s="33" t="s">
        <v>985</v>
      </c>
      <c r="G48" s="32" t="s">
        <v>69</v>
      </c>
      <c r="H48" s="41" t="s">
        <v>134</v>
      </c>
      <c r="I48" s="41"/>
      <c r="J48" s="41"/>
      <c r="K48" s="41"/>
      <c r="L48" s="41" t="s">
        <v>134</v>
      </c>
      <c r="M48" s="41" t="s">
        <v>134</v>
      </c>
      <c r="N48" s="41" t="s">
        <v>134</v>
      </c>
      <c r="O48" s="41" t="s">
        <v>134</v>
      </c>
      <c r="P48" s="41" t="s">
        <v>134</v>
      </c>
      <c r="Q48" s="41" t="s">
        <v>163</v>
      </c>
      <c r="R48" s="41" t="s">
        <v>163</v>
      </c>
      <c r="S48" s="41"/>
      <c r="T48" s="41"/>
      <c r="U48" s="41"/>
      <c r="V48" s="41"/>
      <c r="W48" s="41"/>
      <c r="X48" s="41"/>
      <c r="Y48" s="41"/>
      <c r="Z48" s="41"/>
      <c r="AA48" s="41"/>
      <c r="AB48" s="41" t="s">
        <v>134</v>
      </c>
      <c r="AC48" s="41" t="s">
        <v>134</v>
      </c>
      <c r="AD48" s="117" t="s">
        <v>134</v>
      </c>
      <c r="AE48" s="117" t="s">
        <v>134</v>
      </c>
      <c r="AF48" s="117" t="s">
        <v>134</v>
      </c>
      <c r="AG48" s="117" t="s">
        <v>134</v>
      </c>
    </row>
    <row r="49" spans="4:33" x14ac:dyDescent="0.25">
      <c r="D49" s="4"/>
      <c r="E49" s="4"/>
      <c r="F49" s="39" t="s">
        <v>986</v>
      </c>
      <c r="G49" s="38" t="s">
        <v>68</v>
      </c>
      <c r="H49" s="31"/>
      <c r="I49" s="31"/>
      <c r="J49" s="31"/>
      <c r="K49" s="31"/>
      <c r="L49" s="31"/>
      <c r="M49" s="31"/>
      <c r="N49" s="31"/>
      <c r="O49" s="31"/>
      <c r="P49" s="31"/>
      <c r="Q49" s="31">
        <v>19651</v>
      </c>
      <c r="R49" s="31">
        <v>19651</v>
      </c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116"/>
      <c r="AE49" s="116"/>
      <c r="AF49" s="116"/>
      <c r="AG49" s="116"/>
    </row>
    <row r="50" spans="4:33" x14ac:dyDescent="0.25">
      <c r="D50" s="4"/>
      <c r="E50" s="4"/>
      <c r="F50" s="39" t="s">
        <v>987</v>
      </c>
      <c r="G50" s="38" t="s">
        <v>67</v>
      </c>
      <c r="H50" s="28"/>
      <c r="I50" s="28"/>
      <c r="J50" s="28"/>
      <c r="K50" s="28"/>
      <c r="L50" s="28"/>
      <c r="M50" s="28"/>
      <c r="N50" s="28"/>
      <c r="O50" s="28"/>
      <c r="P50" s="28"/>
      <c r="Q50" s="28" t="s">
        <v>1142</v>
      </c>
      <c r="R50" s="28" t="s">
        <v>1142</v>
      </c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115"/>
      <c r="AE50" s="115"/>
      <c r="AF50" s="115"/>
      <c r="AG50" s="115"/>
    </row>
    <row r="51" spans="4:33" x14ac:dyDescent="0.25">
      <c r="D51" s="4"/>
      <c r="E51" s="4"/>
      <c r="F51" s="39" t="s">
        <v>988</v>
      </c>
      <c r="G51" s="38" t="s">
        <v>150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115"/>
      <c r="AE51" s="115"/>
      <c r="AF51" s="115"/>
      <c r="AG51" s="115"/>
    </row>
    <row r="52" spans="4:33" x14ac:dyDescent="0.25">
      <c r="D52" s="4"/>
      <c r="E52" s="4"/>
      <c r="F52" s="39" t="s">
        <v>989</v>
      </c>
      <c r="G52" s="38" t="s">
        <v>66</v>
      </c>
      <c r="H52" s="25"/>
      <c r="I52" s="25"/>
      <c r="J52" s="25"/>
      <c r="K52" s="25"/>
      <c r="L52" s="25"/>
      <c r="M52" s="25"/>
      <c r="N52" s="25"/>
      <c r="O52" s="25"/>
      <c r="P52" s="25"/>
      <c r="Q52" s="73" t="s">
        <v>272</v>
      </c>
      <c r="R52" s="73" t="s">
        <v>272</v>
      </c>
      <c r="S52" s="73"/>
      <c r="T52" s="73"/>
      <c r="U52" s="25"/>
      <c r="V52" s="25"/>
      <c r="W52" s="25"/>
      <c r="X52" s="25"/>
      <c r="Y52" s="25"/>
      <c r="Z52" s="73"/>
      <c r="AA52" s="73"/>
      <c r="AB52" s="25"/>
      <c r="AC52" s="25"/>
      <c r="AD52" s="114"/>
      <c r="AE52" s="114"/>
      <c r="AF52" s="114"/>
      <c r="AG52" s="114"/>
    </row>
    <row ht="15.75" r="53" spans="4:33" x14ac:dyDescent="0.3">
      <c r="D53" s="35" t="s">
        <v>65</v>
      </c>
      <c r="E53" s="40"/>
      <c r="F53" s="33" t="s">
        <v>990</v>
      </c>
      <c r="G53" s="32" t="s">
        <v>64</v>
      </c>
      <c r="H53" s="41" t="s">
        <v>134</v>
      </c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 t="s">
        <v>134</v>
      </c>
      <c r="AC53" s="41" t="s">
        <v>134</v>
      </c>
      <c r="AD53" s="117" t="s">
        <v>134</v>
      </c>
      <c r="AE53" s="117" t="s">
        <v>134</v>
      </c>
      <c r="AF53" s="117" t="s">
        <v>134</v>
      </c>
      <c r="AG53" s="117" t="s">
        <v>134</v>
      </c>
    </row>
    <row r="54" spans="4:33" x14ac:dyDescent="0.25">
      <c r="D54" s="4"/>
      <c r="E54" s="4"/>
      <c r="F54" s="39" t="s">
        <v>991</v>
      </c>
      <c r="G54" s="38" t="s">
        <v>63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116"/>
      <c r="AE54" s="116"/>
      <c r="AF54" s="116"/>
      <c r="AG54" s="116"/>
    </row>
    <row r="55" spans="4:33" x14ac:dyDescent="0.25">
      <c r="D55" s="4"/>
      <c r="E55" s="4"/>
      <c r="F55" s="39" t="s">
        <v>992</v>
      </c>
      <c r="G55" s="38" t="s">
        <v>62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115"/>
      <c r="AE55" s="115"/>
      <c r="AF55" s="115"/>
      <c r="AG55" s="115"/>
    </row>
    <row r="56" spans="4:33" x14ac:dyDescent="0.25">
      <c r="D56" s="4"/>
      <c r="E56" s="4"/>
      <c r="F56" s="39" t="s">
        <v>993</v>
      </c>
      <c r="G56" s="38" t="s">
        <v>150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115"/>
      <c r="AE56" s="115"/>
      <c r="AF56" s="115"/>
      <c r="AG56" s="115"/>
    </row>
    <row r="57" spans="4:33" x14ac:dyDescent="0.25">
      <c r="D57" s="4"/>
      <c r="E57" s="4"/>
      <c r="F57" s="39" t="s">
        <v>994</v>
      </c>
      <c r="G57" s="38" t="s">
        <v>61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114"/>
      <c r="AE57" s="114"/>
      <c r="AF57" s="114"/>
      <c r="AG57" s="114"/>
    </row>
    <row ht="15.75" r="58" spans="4:33" x14ac:dyDescent="0.3">
      <c r="D58" s="35" t="s">
        <v>60</v>
      </c>
      <c r="E58" s="40"/>
      <c r="F58" s="33" t="s">
        <v>995</v>
      </c>
      <c r="G58" s="32" t="s">
        <v>59</v>
      </c>
      <c r="H58" s="41" t="s">
        <v>134</v>
      </c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 t="s">
        <v>134</v>
      </c>
      <c r="AC58" s="41" t="s">
        <v>134</v>
      </c>
      <c r="AD58" s="117" t="s">
        <v>134</v>
      </c>
      <c r="AE58" s="117" t="s">
        <v>134</v>
      </c>
      <c r="AF58" s="117" t="s">
        <v>134</v>
      </c>
      <c r="AG58" s="117" t="s">
        <v>134</v>
      </c>
    </row>
    <row r="59" spans="4:33" x14ac:dyDescent="0.25">
      <c r="D59" s="4"/>
      <c r="E59" s="4"/>
      <c r="F59" s="39" t="s">
        <v>996</v>
      </c>
      <c r="G59" s="38" t="s">
        <v>58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116"/>
      <c r="AE59" s="116"/>
      <c r="AF59" s="116"/>
      <c r="AG59" s="116"/>
    </row>
    <row r="60" spans="4:33" x14ac:dyDescent="0.25">
      <c r="D60" s="4"/>
      <c r="E60" s="4"/>
      <c r="F60" s="39" t="s">
        <v>997</v>
      </c>
      <c r="G60" s="38" t="s">
        <v>57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115"/>
      <c r="AE60" s="115"/>
      <c r="AF60" s="115"/>
      <c r="AG60" s="115"/>
    </row>
    <row r="61" spans="4:33" x14ac:dyDescent="0.25">
      <c r="D61" s="4"/>
      <c r="E61" s="4"/>
      <c r="F61" s="39" t="s">
        <v>998</v>
      </c>
      <c r="G61" s="38" t="s">
        <v>150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115"/>
      <c r="AE61" s="115"/>
      <c r="AF61" s="115"/>
      <c r="AG61" s="115"/>
    </row>
    <row r="62" spans="4:33" x14ac:dyDescent="0.25">
      <c r="D62" s="4"/>
      <c r="E62" s="4"/>
      <c r="F62" s="39" t="s">
        <v>999</v>
      </c>
      <c r="G62" s="38" t="s">
        <v>56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114"/>
      <c r="AE62" s="114"/>
      <c r="AF62" s="114"/>
      <c r="AG62" s="114"/>
    </row>
    <row ht="15.75" r="63" spans="4:33" x14ac:dyDescent="0.3">
      <c r="D63" s="35" t="s">
        <v>55</v>
      </c>
      <c r="E63" s="34"/>
      <c r="F63" s="37" t="s">
        <v>266</v>
      </c>
      <c r="G63" s="36" t="s">
        <v>54</v>
      </c>
      <c r="H63" s="41" t="s">
        <v>1007</v>
      </c>
      <c r="I63" s="41" t="s">
        <v>1007</v>
      </c>
      <c r="J63" s="41" t="s">
        <v>1007</v>
      </c>
      <c r="K63" s="41" t="s">
        <v>1007</v>
      </c>
      <c r="L63" s="41" t="s">
        <v>1007</v>
      </c>
      <c r="M63" s="41" t="s">
        <v>1007</v>
      </c>
      <c r="N63" s="41" t="s">
        <v>1007</v>
      </c>
      <c r="O63" s="41" t="s">
        <v>1007</v>
      </c>
      <c r="P63" s="41" t="s">
        <v>1007</v>
      </c>
      <c r="Q63" s="41" t="s">
        <v>1007</v>
      </c>
      <c r="R63" s="41" t="s">
        <v>1007</v>
      </c>
      <c r="S63" s="41" t="s">
        <v>1007</v>
      </c>
      <c r="T63" s="41" t="s">
        <v>1007</v>
      </c>
      <c r="U63" s="41" t="s">
        <v>1007</v>
      </c>
      <c r="V63" s="41" t="s">
        <v>1007</v>
      </c>
      <c r="W63" s="41" t="s">
        <v>1007</v>
      </c>
      <c r="X63" s="41" t="s">
        <v>1007</v>
      </c>
      <c r="Y63" s="41" t="s">
        <v>1007</v>
      </c>
      <c r="Z63" s="78" t="s">
        <v>1008</v>
      </c>
      <c r="AA63" s="41" t="s">
        <v>1007</v>
      </c>
      <c r="AB63" s="41" t="s">
        <v>1007</v>
      </c>
      <c r="AC63" s="41" t="s">
        <v>1007</v>
      </c>
      <c r="AD63" s="117" t="s">
        <v>1007</v>
      </c>
      <c r="AE63" s="117" t="s">
        <v>1007</v>
      </c>
      <c r="AF63" s="117" t="s">
        <v>1007</v>
      </c>
      <c r="AG63" s="117" t="s">
        <v>1007</v>
      </c>
    </row>
    <row r="64" spans="4:33" x14ac:dyDescent="0.25">
      <c r="D64" s="4"/>
      <c r="E64" s="4"/>
      <c r="F64" s="30" t="s">
        <v>263</v>
      </c>
      <c r="G64" s="29" t="s">
        <v>52</v>
      </c>
      <c r="H64" s="28">
        <v>38</v>
      </c>
      <c r="I64" s="28">
        <v>38</v>
      </c>
      <c r="J64" s="28">
        <v>38</v>
      </c>
      <c r="K64" s="28">
        <v>38</v>
      </c>
      <c r="L64" s="28">
        <v>38</v>
      </c>
      <c r="M64" s="28">
        <v>38</v>
      </c>
      <c r="N64" s="28">
        <v>38</v>
      </c>
      <c r="O64" s="28">
        <v>38</v>
      </c>
      <c r="P64" s="28">
        <v>38</v>
      </c>
      <c r="Q64" s="28">
        <v>38</v>
      </c>
      <c r="R64" s="28">
        <v>38</v>
      </c>
      <c r="S64" s="28">
        <v>38</v>
      </c>
      <c r="T64" s="28">
        <v>38</v>
      </c>
      <c r="U64" s="28">
        <v>38</v>
      </c>
      <c r="V64" s="28">
        <v>38</v>
      </c>
      <c r="W64" s="28">
        <v>38</v>
      </c>
      <c r="X64" s="28">
        <v>38</v>
      </c>
      <c r="Y64" s="28">
        <v>38</v>
      </c>
      <c r="Z64" s="28">
        <v>45</v>
      </c>
      <c r="AA64" s="28">
        <v>45</v>
      </c>
      <c r="AB64" s="28">
        <v>38</v>
      </c>
      <c r="AC64" s="28">
        <v>38</v>
      </c>
      <c r="AD64" s="115">
        <v>38</v>
      </c>
      <c r="AE64" s="115">
        <v>38</v>
      </c>
      <c r="AF64" s="115">
        <v>38</v>
      </c>
      <c r="AG64" s="115">
        <v>38</v>
      </c>
    </row>
    <row r="65" spans="4:42" x14ac:dyDescent="0.25">
      <c r="D65" s="4"/>
      <c r="E65" s="4"/>
      <c r="F65" s="30" t="s">
        <v>264</v>
      </c>
      <c r="G65" s="29" t="s">
        <v>51</v>
      </c>
      <c r="H65" s="28">
        <v>4950</v>
      </c>
      <c r="I65" s="28">
        <v>4950</v>
      </c>
      <c r="J65" s="28">
        <v>4950</v>
      </c>
      <c r="K65" s="28">
        <v>4950</v>
      </c>
      <c r="L65" s="28">
        <v>4950</v>
      </c>
      <c r="M65" s="28">
        <v>4950</v>
      </c>
      <c r="N65" s="28">
        <v>4950</v>
      </c>
      <c r="O65" s="28">
        <v>4950</v>
      </c>
      <c r="P65" s="28">
        <v>4950</v>
      </c>
      <c r="Q65" s="28">
        <v>4950</v>
      </c>
      <c r="R65" s="28">
        <v>4950</v>
      </c>
      <c r="S65" s="28">
        <v>4950</v>
      </c>
      <c r="T65" s="28">
        <v>4950</v>
      </c>
      <c r="U65" s="28">
        <v>4950</v>
      </c>
      <c r="V65" s="28">
        <v>4950</v>
      </c>
      <c r="W65" s="28">
        <v>4950</v>
      </c>
      <c r="X65" s="28">
        <v>4950</v>
      </c>
      <c r="Y65" s="28">
        <v>4950</v>
      </c>
      <c r="Z65" s="28">
        <v>14500</v>
      </c>
      <c r="AA65" s="28">
        <v>14500</v>
      </c>
      <c r="AB65" s="28">
        <v>4950</v>
      </c>
      <c r="AC65" s="28">
        <v>4950</v>
      </c>
      <c r="AD65" s="115">
        <v>4950</v>
      </c>
      <c r="AE65" s="115">
        <v>4950</v>
      </c>
      <c r="AF65" s="115">
        <v>4950</v>
      </c>
      <c r="AG65" s="115">
        <v>4950</v>
      </c>
    </row>
    <row r="66" spans="4:42" x14ac:dyDescent="0.25">
      <c r="D66" s="4"/>
      <c r="E66" s="4"/>
      <c r="F66" s="30" t="s">
        <v>265</v>
      </c>
      <c r="G66" s="29" t="s">
        <v>50</v>
      </c>
      <c r="H66" s="25">
        <v>1</v>
      </c>
      <c r="I66" s="25">
        <v>1</v>
      </c>
      <c r="J66" s="25">
        <v>4</v>
      </c>
      <c r="K66" s="25">
        <v>4</v>
      </c>
      <c r="L66" s="25">
        <v>3</v>
      </c>
      <c r="M66" s="25">
        <v>2</v>
      </c>
      <c r="N66" s="25">
        <v>1</v>
      </c>
      <c r="O66" s="25">
        <v>1</v>
      </c>
      <c r="P66" s="25">
        <v>1</v>
      </c>
      <c r="Q66" s="25">
        <v>1</v>
      </c>
      <c r="R66" s="25">
        <v>1</v>
      </c>
      <c r="S66" s="25">
        <v>1</v>
      </c>
      <c r="T66" s="25">
        <v>1</v>
      </c>
      <c r="U66" s="25">
        <v>1</v>
      </c>
      <c r="V66" s="25">
        <v>1</v>
      </c>
      <c r="W66" s="25">
        <v>1</v>
      </c>
      <c r="X66" s="25">
        <v>1</v>
      </c>
      <c r="Y66" s="25">
        <v>1</v>
      </c>
      <c r="Z66" s="25">
        <v>3</v>
      </c>
      <c r="AA66" s="25">
        <v>3</v>
      </c>
      <c r="AB66" s="25">
        <v>1</v>
      </c>
      <c r="AC66" s="25">
        <v>1</v>
      </c>
      <c r="AD66" s="114">
        <v>1</v>
      </c>
      <c r="AE66" s="114">
        <v>1</v>
      </c>
      <c r="AF66" s="114">
        <v>1</v>
      </c>
      <c r="AG66" s="114">
        <v>1</v>
      </c>
    </row>
    <row ht="15.75" r="67" spans="4:42" x14ac:dyDescent="0.3">
      <c r="D67" s="35" t="s">
        <v>49</v>
      </c>
      <c r="E67" s="40"/>
      <c r="F67" s="37" t="s">
        <v>964</v>
      </c>
      <c r="G67" s="36" t="s">
        <v>937</v>
      </c>
      <c r="H67" s="77" t="s">
        <v>948</v>
      </c>
      <c r="I67" s="77" t="s">
        <v>948</v>
      </c>
      <c r="J67" s="77" t="s">
        <v>948</v>
      </c>
      <c r="K67" s="77" t="s">
        <v>948</v>
      </c>
      <c r="L67" s="77" t="s">
        <v>948</v>
      </c>
      <c r="M67" s="77" t="s">
        <v>948</v>
      </c>
      <c r="N67" s="77" t="s">
        <v>948</v>
      </c>
      <c r="O67" s="77" t="s">
        <v>948</v>
      </c>
      <c r="P67" s="77" t="s">
        <v>948</v>
      </c>
      <c r="Q67" s="77" t="s">
        <v>948</v>
      </c>
      <c r="R67" s="77" t="s">
        <v>948</v>
      </c>
      <c r="S67" s="77" t="s">
        <v>948</v>
      </c>
      <c r="T67" s="77" t="s">
        <v>948</v>
      </c>
      <c r="U67" s="77" t="s">
        <v>948</v>
      </c>
      <c r="V67" s="77" t="s">
        <v>948</v>
      </c>
      <c r="W67" s="77" t="s">
        <v>948</v>
      </c>
      <c r="X67" s="77" t="s">
        <v>948</v>
      </c>
      <c r="Y67" s="77" t="s">
        <v>948</v>
      </c>
      <c r="Z67" s="77" t="s">
        <v>948</v>
      </c>
      <c r="AA67" s="77" t="s">
        <v>948</v>
      </c>
      <c r="AB67" s="77" t="s">
        <v>948</v>
      </c>
      <c r="AC67" s="77" t="s">
        <v>948</v>
      </c>
      <c r="AD67" s="124" t="s">
        <v>948</v>
      </c>
      <c r="AE67" s="124" t="s">
        <v>948</v>
      </c>
      <c r="AF67" s="124" t="s">
        <v>948</v>
      </c>
      <c r="AG67" s="124" t="s">
        <v>948</v>
      </c>
    </row>
    <row r="68" spans="4:42" x14ac:dyDescent="0.25">
      <c r="D68" s="4"/>
      <c r="E68" s="4"/>
      <c r="F68" s="30" t="s">
        <v>965</v>
      </c>
      <c r="G68" s="29" t="s">
        <v>947</v>
      </c>
      <c r="H68" s="70">
        <v>7</v>
      </c>
      <c r="I68" s="70">
        <v>7</v>
      </c>
      <c r="J68" s="70">
        <v>7</v>
      </c>
      <c r="K68" s="70">
        <v>7</v>
      </c>
      <c r="L68" s="70">
        <v>7</v>
      </c>
      <c r="M68" s="70">
        <v>7</v>
      </c>
      <c r="N68" s="70">
        <v>7</v>
      </c>
      <c r="O68" s="70">
        <v>7</v>
      </c>
      <c r="P68" s="70">
        <v>0</v>
      </c>
      <c r="Q68" s="70">
        <v>255</v>
      </c>
      <c r="R68" s="70">
        <v>7</v>
      </c>
      <c r="S68" s="70">
        <v>7</v>
      </c>
      <c r="T68" s="70">
        <v>7</v>
      </c>
      <c r="U68" s="70">
        <v>7</v>
      </c>
      <c r="V68" s="70">
        <v>7</v>
      </c>
      <c r="W68" s="70">
        <v>7</v>
      </c>
      <c r="X68" s="70">
        <v>7</v>
      </c>
      <c r="Y68" s="70">
        <v>7</v>
      </c>
      <c r="Z68" s="70">
        <v>7</v>
      </c>
      <c r="AA68" s="70">
        <v>7</v>
      </c>
      <c r="AB68" s="70">
        <v>7</v>
      </c>
      <c r="AC68" s="70">
        <v>7</v>
      </c>
      <c r="AD68" s="119">
        <v>7</v>
      </c>
      <c r="AE68" s="119">
        <v>7</v>
      </c>
      <c r="AF68" s="119">
        <v>7</v>
      </c>
      <c r="AG68" s="119">
        <v>7</v>
      </c>
    </row>
    <row r="69" spans="4:42" x14ac:dyDescent="0.25">
      <c r="D69" s="4"/>
      <c r="E69" s="4"/>
      <c r="F69" s="30" t="s">
        <v>966</v>
      </c>
      <c r="G69" s="29" t="s">
        <v>938</v>
      </c>
      <c r="H69" s="78" t="s">
        <v>1009</v>
      </c>
      <c r="I69" s="78" t="s">
        <v>1009</v>
      </c>
      <c r="J69" s="78" t="s">
        <v>1009</v>
      </c>
      <c r="K69" s="78" t="s">
        <v>1009</v>
      </c>
      <c r="L69" s="78" t="s">
        <v>1009</v>
      </c>
      <c r="M69" s="78" t="s">
        <v>1009</v>
      </c>
      <c r="N69" s="78" t="s">
        <v>1009</v>
      </c>
      <c r="O69" s="78" t="s">
        <v>1009</v>
      </c>
      <c r="P69" s="78" t="s">
        <v>1009</v>
      </c>
      <c r="Q69" s="78" t="s">
        <v>1009</v>
      </c>
      <c r="R69" s="78" t="s">
        <v>1009</v>
      </c>
      <c r="S69" s="78" t="s">
        <v>1009</v>
      </c>
      <c r="T69" s="78" t="s">
        <v>1009</v>
      </c>
      <c r="U69" s="78" t="s">
        <v>1009</v>
      </c>
      <c r="V69" s="78" t="s">
        <v>1009</v>
      </c>
      <c r="W69" s="78" t="s">
        <v>1009</v>
      </c>
      <c r="X69" s="78" t="s">
        <v>1009</v>
      </c>
      <c r="Y69" s="78" t="s">
        <v>1009</v>
      </c>
      <c r="Z69" s="78" t="s">
        <v>1009</v>
      </c>
      <c r="AA69" s="78" t="s">
        <v>1009</v>
      </c>
      <c r="AB69" s="78" t="s">
        <v>1009</v>
      </c>
      <c r="AC69" s="78" t="s">
        <v>1009</v>
      </c>
      <c r="AD69" s="125" t="s">
        <v>1009</v>
      </c>
      <c r="AE69" s="125" t="s">
        <v>1009</v>
      </c>
      <c r="AF69" s="125" t="s">
        <v>1009</v>
      </c>
      <c r="AG69" s="125" t="s">
        <v>1009</v>
      </c>
    </row>
    <row r="70" spans="4:42" x14ac:dyDescent="0.25">
      <c r="D70" s="4"/>
      <c r="E70" s="4"/>
      <c r="F70" s="30" t="s">
        <v>967</v>
      </c>
      <c r="G70" s="29" t="s">
        <v>945</v>
      </c>
      <c r="H70" s="31">
        <v>41703</v>
      </c>
      <c r="I70" s="31">
        <v>41703</v>
      </c>
      <c r="J70" s="31">
        <v>41703</v>
      </c>
      <c r="K70" s="31">
        <v>41703</v>
      </c>
      <c r="L70" s="31">
        <v>41703</v>
      </c>
      <c r="M70" s="31">
        <v>41703</v>
      </c>
      <c r="N70" s="31">
        <v>41703</v>
      </c>
      <c r="O70" s="31">
        <v>41703</v>
      </c>
      <c r="P70" s="31">
        <v>41703</v>
      </c>
      <c r="Q70" s="31">
        <v>41703</v>
      </c>
      <c r="R70" s="31">
        <v>41703</v>
      </c>
      <c r="S70" s="31">
        <v>41703</v>
      </c>
      <c r="T70" s="31">
        <v>41703</v>
      </c>
      <c r="U70" s="31">
        <v>41703</v>
      </c>
      <c r="V70" s="31">
        <v>41703</v>
      </c>
      <c r="W70" s="31">
        <v>41703</v>
      </c>
      <c r="X70" s="31">
        <v>41703</v>
      </c>
      <c r="Y70" s="31">
        <v>41703</v>
      </c>
      <c r="Z70" s="31">
        <v>41703</v>
      </c>
      <c r="AA70" s="31">
        <v>41703</v>
      </c>
      <c r="AB70" s="31">
        <v>41703</v>
      </c>
      <c r="AC70" s="31">
        <v>41703</v>
      </c>
      <c r="AD70" s="116">
        <v>41703</v>
      </c>
      <c r="AE70" s="116">
        <v>41703</v>
      </c>
      <c r="AF70" s="116">
        <v>41703</v>
      </c>
      <c r="AG70" s="116">
        <v>41703</v>
      </c>
    </row>
    <row r="71" spans="4:42" x14ac:dyDescent="0.25">
      <c r="D71" s="4"/>
      <c r="E71" s="4"/>
      <c r="F71" s="27" t="s">
        <v>968</v>
      </c>
      <c r="G71" s="26" t="s">
        <v>941</v>
      </c>
      <c r="H71" s="25">
        <v>1.27</v>
      </c>
      <c r="I71" s="25">
        <v>1.27</v>
      </c>
      <c r="J71" s="25">
        <v>1.27</v>
      </c>
      <c r="K71" s="25">
        <v>1.27</v>
      </c>
      <c r="L71" s="25">
        <v>1.27</v>
      </c>
      <c r="M71" s="25">
        <v>1.27</v>
      </c>
      <c r="N71" s="25">
        <v>1.27</v>
      </c>
      <c r="O71" s="25">
        <v>1.27</v>
      </c>
      <c r="P71" s="25">
        <v>1.27</v>
      </c>
      <c r="Q71" s="25">
        <v>1.27</v>
      </c>
      <c r="R71" s="25">
        <v>1.27</v>
      </c>
      <c r="S71" s="25">
        <v>1.27</v>
      </c>
      <c r="T71" s="25">
        <v>1.27</v>
      </c>
      <c r="U71" s="25">
        <v>1.27</v>
      </c>
      <c r="V71" s="25">
        <v>1.27</v>
      </c>
      <c r="W71" s="25">
        <v>1.27</v>
      </c>
      <c r="X71" s="25">
        <v>1.27</v>
      </c>
      <c r="Y71" s="25">
        <v>1.27</v>
      </c>
      <c r="Z71" s="25">
        <v>1.27</v>
      </c>
      <c r="AA71" s="25">
        <v>1.27</v>
      </c>
      <c r="AB71" s="25">
        <v>1.27</v>
      </c>
      <c r="AC71" s="25">
        <v>1.27</v>
      </c>
      <c r="AD71" s="114">
        <v>1.27</v>
      </c>
      <c r="AE71" s="114">
        <v>1.27</v>
      </c>
      <c r="AF71" s="114">
        <v>1.27</v>
      </c>
      <c r="AG71" s="114">
        <v>1.27</v>
      </c>
    </row>
    <row r="72" spans="4:42" x14ac:dyDescent="0.25">
      <c r="D72" s="4"/>
      <c r="E72" s="4"/>
      <c r="F72" s="30" t="s">
        <v>969</v>
      </c>
      <c r="G72" s="29" t="s">
        <v>939</v>
      </c>
      <c r="H72" s="78" t="s">
        <v>1010</v>
      </c>
      <c r="I72" s="78" t="s">
        <v>1010</v>
      </c>
      <c r="J72" s="78" t="s">
        <v>1010</v>
      </c>
      <c r="K72" s="78" t="s">
        <v>1010</v>
      </c>
      <c r="L72" s="78" t="s">
        <v>1010</v>
      </c>
      <c r="M72" s="78" t="s">
        <v>1010</v>
      </c>
      <c r="N72" s="78" t="s">
        <v>1010</v>
      </c>
      <c r="O72" s="78" t="s">
        <v>1010</v>
      </c>
      <c r="P72" s="78" t="s">
        <v>1010</v>
      </c>
      <c r="Q72" s="78" t="s">
        <v>1010</v>
      </c>
      <c r="R72" s="78" t="s">
        <v>1010</v>
      </c>
      <c r="S72" s="78" t="s">
        <v>1010</v>
      </c>
      <c r="T72" s="78" t="s">
        <v>1010</v>
      </c>
      <c r="U72" s="78" t="s">
        <v>1010</v>
      </c>
      <c r="V72" s="78" t="s">
        <v>1010</v>
      </c>
      <c r="W72" s="78" t="s">
        <v>1010</v>
      </c>
      <c r="X72" s="78" t="s">
        <v>1010</v>
      </c>
      <c r="Y72" s="78" t="s">
        <v>1010</v>
      </c>
      <c r="Z72" s="78" t="s">
        <v>1010</v>
      </c>
      <c r="AA72" s="41" t="s">
        <v>1007</v>
      </c>
      <c r="AB72" s="78" t="s">
        <v>1010</v>
      </c>
      <c r="AC72" s="78" t="s">
        <v>1010</v>
      </c>
      <c r="AD72" s="125" t="s">
        <v>1010</v>
      </c>
      <c r="AE72" s="125" t="s">
        <v>1010</v>
      </c>
      <c r="AF72" s="125" t="s">
        <v>1010</v>
      </c>
      <c r="AG72" s="125" t="s">
        <v>1010</v>
      </c>
    </row>
    <row r="73" spans="4:42" x14ac:dyDescent="0.25">
      <c r="D73" s="4"/>
      <c r="E73" s="4"/>
      <c r="F73" s="30" t="s">
        <v>970</v>
      </c>
      <c r="G73" s="29" t="s">
        <v>944</v>
      </c>
      <c r="H73" s="31">
        <v>41067</v>
      </c>
      <c r="I73" s="31">
        <v>41067</v>
      </c>
      <c r="J73" s="31">
        <v>41067</v>
      </c>
      <c r="K73" s="31">
        <v>41067</v>
      </c>
      <c r="L73" s="31">
        <v>41067</v>
      </c>
      <c r="M73" s="31">
        <v>41067</v>
      </c>
      <c r="N73" s="31">
        <v>41067</v>
      </c>
      <c r="O73" s="31">
        <v>41067</v>
      </c>
      <c r="P73" s="31">
        <v>41067</v>
      </c>
      <c r="Q73" s="31">
        <v>41067</v>
      </c>
      <c r="R73" s="31">
        <v>41067</v>
      </c>
      <c r="S73" s="31">
        <v>41067</v>
      </c>
      <c r="T73" s="31">
        <v>41067</v>
      </c>
      <c r="U73" s="31">
        <v>41067</v>
      </c>
      <c r="V73" s="31">
        <v>41067</v>
      </c>
      <c r="W73" s="31">
        <v>41067</v>
      </c>
      <c r="X73" s="31">
        <v>41067</v>
      </c>
      <c r="Y73" s="31">
        <v>41067</v>
      </c>
      <c r="Z73" s="31">
        <v>41067</v>
      </c>
      <c r="AA73" s="31">
        <v>40336</v>
      </c>
      <c r="AB73" s="31">
        <v>41067</v>
      </c>
      <c r="AC73" s="31">
        <v>41067</v>
      </c>
      <c r="AD73" s="116">
        <v>41067</v>
      </c>
      <c r="AE73" s="116">
        <v>41067</v>
      </c>
      <c r="AF73" s="116">
        <v>41067</v>
      </c>
      <c r="AG73" s="116">
        <v>41067</v>
      </c>
    </row>
    <row r="74" spans="4:42" x14ac:dyDescent="0.25">
      <c r="D74" s="4"/>
      <c r="E74" s="4"/>
      <c r="F74" s="27" t="s">
        <v>971</v>
      </c>
      <c r="G74" s="26" t="s">
        <v>943</v>
      </c>
      <c r="H74" s="25">
        <v>1.08</v>
      </c>
      <c r="I74" s="25">
        <v>1.08</v>
      </c>
      <c r="J74" s="25">
        <v>1.08</v>
      </c>
      <c r="K74" s="25">
        <v>1.08</v>
      </c>
      <c r="L74" s="25">
        <v>1.08</v>
      </c>
      <c r="M74" s="25">
        <v>1.08</v>
      </c>
      <c r="N74" s="25">
        <v>1.08</v>
      </c>
      <c r="O74" s="25">
        <v>1.08</v>
      </c>
      <c r="P74" s="25">
        <v>1.08</v>
      </c>
      <c r="Q74" s="25">
        <v>1.08</v>
      </c>
      <c r="R74" s="25">
        <v>1.08</v>
      </c>
      <c r="S74" s="25">
        <v>1.08</v>
      </c>
      <c r="T74" s="25">
        <v>1.08</v>
      </c>
      <c r="U74" s="25">
        <v>1.08</v>
      </c>
      <c r="V74" s="25">
        <v>1.08</v>
      </c>
      <c r="W74" s="25">
        <v>1.08</v>
      </c>
      <c r="X74" s="25">
        <v>1.08</v>
      </c>
      <c r="Y74" s="25">
        <v>1.08</v>
      </c>
      <c r="Z74" s="25">
        <v>1.08</v>
      </c>
      <c r="AA74" s="25">
        <v>1.08</v>
      </c>
      <c r="AB74" s="25">
        <v>1.08</v>
      </c>
      <c r="AC74" s="25">
        <v>1.08</v>
      </c>
      <c r="AD74" s="114">
        <v>1.08</v>
      </c>
      <c r="AE74" s="114">
        <v>1.08</v>
      </c>
      <c r="AF74" s="114">
        <v>1.08</v>
      </c>
      <c r="AG74" s="114">
        <v>1.08</v>
      </c>
    </row>
    <row r="75" spans="4:42" x14ac:dyDescent="0.25">
      <c r="D75" s="4"/>
      <c r="E75" s="4"/>
      <c r="F75" s="30" t="s">
        <v>972</v>
      </c>
      <c r="G75" s="29" t="s">
        <v>940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41" t="s">
        <v>1007</v>
      </c>
      <c r="AB75" s="28"/>
      <c r="AC75" s="28"/>
      <c r="AD75" s="115"/>
      <c r="AE75" s="115"/>
      <c r="AF75" s="115"/>
      <c r="AG75" s="115"/>
    </row>
    <row r="76" spans="4:42" x14ac:dyDescent="0.25">
      <c r="D76" s="4"/>
      <c r="E76" s="4"/>
      <c r="F76" s="30" t="s">
        <v>973</v>
      </c>
      <c r="G76" s="29" t="s">
        <v>946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>
        <v>41268</v>
      </c>
      <c r="AB76" s="31"/>
      <c r="AC76" s="31"/>
      <c r="AD76" s="116"/>
      <c r="AE76" s="116"/>
      <c r="AF76" s="116"/>
      <c r="AG76" s="116"/>
    </row>
    <row r="77" spans="4:42" x14ac:dyDescent="0.25">
      <c r="D77" s="4"/>
      <c r="E77" s="4"/>
      <c r="F77" s="27" t="s">
        <v>974</v>
      </c>
      <c r="G77" s="26" t="s">
        <v>942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>
        <v>1.2</v>
      </c>
      <c r="AB77" s="25"/>
      <c r="AC77" s="25"/>
      <c r="AD77" s="114"/>
      <c r="AE77" s="114"/>
      <c r="AF77" s="114"/>
      <c r="AG77" s="114"/>
    </row>
    <row r="79" spans="4:42" x14ac:dyDescent="0.25"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</row>
    <row r="80" spans="4:42" x14ac:dyDescent="0.25">
      <c r="F80" s="57" t="s">
        <v>1233</v>
      </c>
      <c r="G80" s="57"/>
      <c r="H80" s="57"/>
      <c r="I80" s="58"/>
      <c r="J80" s="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</row>
    <row r="81" spans="6:42" x14ac:dyDescent="0.25">
      <c r="F81" s="60" t="s">
        <v>3</v>
      </c>
      <c r="G81" s="60" t="s">
        <v>6</v>
      </c>
      <c r="H81" s="60">
        <v>4</v>
      </c>
      <c r="I81" s="60"/>
      <c r="J81" s="60"/>
      <c r="K81" s="60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</row>
    <row ht="15.75" r="82" spans="6:42" x14ac:dyDescent="0.3">
      <c r="F82" s="2" t="s">
        <v>1</v>
      </c>
      <c r="G82" s="159" t="s">
        <v>1098</v>
      </c>
      <c r="H82" s="159" t="s">
        <v>1245</v>
      </c>
      <c r="I82" s="159" t="s">
        <v>1234</v>
      </c>
      <c r="J82" s="159" t="s">
        <v>1235</v>
      </c>
      <c r="K82" s="159" t="s">
        <v>1208</v>
      </c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</row>
    <row ht="15.75" r="83" spans="6:42" x14ac:dyDescent="0.3">
      <c r="F83" s="62" t="s">
        <v>1012</v>
      </c>
      <c r="G83" s="63"/>
      <c r="H83" s="63"/>
      <c r="I83" s="63"/>
      <c r="J83" s="63"/>
      <c r="K83" s="63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</row>
    <row r="84" spans="6:42" x14ac:dyDescent="0.25">
      <c r="F84" s="52" t="s">
        <v>2</v>
      </c>
      <c r="G84" s="160" t="s">
        <v>1099</v>
      </c>
      <c r="H84" s="160" t="s">
        <v>1249</v>
      </c>
      <c r="I84" s="47" t="s">
        <v>1236</v>
      </c>
      <c r="J84" s="47" t="s">
        <v>1237</v>
      </c>
      <c r="K84" s="47" t="s">
        <v>1238</v>
      </c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</row>
    <row r="85" spans="6:42" x14ac:dyDescent="0.25">
      <c r="F85" s="53" t="s">
        <v>0</v>
      </c>
      <c r="G85" s="53" t="s">
        <v>160</v>
      </c>
      <c r="H85" s="291">
        <v>43101</v>
      </c>
      <c r="I85" s="284" t="s">
        <v>285</v>
      </c>
      <c r="J85" s="284" t="s">
        <v>1239</v>
      </c>
      <c r="K85" s="284" t="s">
        <v>1239</v>
      </c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</row>
    <row r="86" spans="6:42" x14ac:dyDescent="0.25">
      <c r="F86" s="53" t="s">
        <v>104</v>
      </c>
      <c r="G86" s="53" t="s">
        <v>160</v>
      </c>
      <c r="H86" s="291">
        <v>43101</v>
      </c>
      <c r="I86" s="284" t="s">
        <v>285</v>
      </c>
      <c r="J86" s="284" t="s">
        <v>1239</v>
      </c>
      <c r="K86" s="284" t="s">
        <v>1239</v>
      </c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</row>
    <row r="87" spans="6:42" x14ac:dyDescent="0.25">
      <c r="F87" s="53" t="s">
        <v>125</v>
      </c>
      <c r="G87" s="53" t="s">
        <v>160</v>
      </c>
      <c r="H87" s="291">
        <v>43101</v>
      </c>
      <c r="I87" s="284" t="s">
        <v>285</v>
      </c>
      <c r="J87" s="284" t="s">
        <v>285</v>
      </c>
      <c r="K87" s="284" t="s">
        <v>285</v>
      </c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</row>
    <row r="88" spans="6:42" x14ac:dyDescent="0.25">
      <c r="F88" s="53" t="s">
        <v>126</v>
      </c>
      <c r="G88" s="53" t="s">
        <v>160</v>
      </c>
      <c r="H88" s="291">
        <v>43101</v>
      </c>
      <c r="I88" s="284" t="s">
        <v>285</v>
      </c>
      <c r="J88" s="284" t="s">
        <v>285</v>
      </c>
      <c r="K88" s="284" t="s">
        <v>285</v>
      </c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</row>
    <row r="89" spans="6:42" x14ac:dyDescent="0.25">
      <c r="F89" s="53" t="s">
        <v>127</v>
      </c>
      <c r="G89" s="53" t="s">
        <v>160</v>
      </c>
      <c r="H89" s="291">
        <v>43101</v>
      </c>
      <c r="I89" s="284" t="s">
        <v>1381</v>
      </c>
      <c r="J89" s="284" t="s">
        <v>1239</v>
      </c>
      <c r="K89" s="284" t="s">
        <v>1382</v>
      </c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</row>
    <row r="90" spans="6:42" x14ac:dyDescent="0.25">
      <c r="F90" s="53" t="s">
        <v>129</v>
      </c>
      <c r="G90" s="53" t="s">
        <v>160</v>
      </c>
      <c r="H90" s="291">
        <v>43101</v>
      </c>
      <c r="I90" s="341" t="s">
        <v>1383</v>
      </c>
      <c r="J90" s="341" t="s">
        <v>1240</v>
      </c>
      <c r="K90" s="341" t="s">
        <v>1384</v>
      </c>
    </row>
    <row r="91" spans="6:42" x14ac:dyDescent="0.25">
      <c r="F91" s="53" t="s">
        <v>130</v>
      </c>
      <c r="G91" s="53" t="s">
        <v>160</v>
      </c>
      <c r="H91" s="291">
        <v>43101</v>
      </c>
      <c r="I91" s="341" t="s">
        <v>1385</v>
      </c>
      <c r="J91" s="341" t="s">
        <v>1241</v>
      </c>
      <c r="K91" s="341" t="s">
        <v>1386</v>
      </c>
    </row>
    <row r="92" spans="6:42" x14ac:dyDescent="0.25">
      <c r="F92" s="53" t="s">
        <v>131</v>
      </c>
      <c r="G92" s="53" t="s">
        <v>160</v>
      </c>
      <c r="H92" s="291">
        <v>43101</v>
      </c>
      <c r="I92" s="341" t="s">
        <v>1387</v>
      </c>
      <c r="J92" s="341" t="s">
        <v>1240</v>
      </c>
      <c r="K92" s="341" t="s">
        <v>1388</v>
      </c>
    </row>
    <row r="93" spans="6:42" x14ac:dyDescent="0.25">
      <c r="F93" s="53" t="s">
        <v>132</v>
      </c>
      <c r="G93" s="53" t="s">
        <v>160</v>
      </c>
      <c r="H93" s="291">
        <v>43101</v>
      </c>
      <c r="I93" s="341" t="s">
        <v>1387</v>
      </c>
      <c r="J93" s="341" t="s">
        <v>1240</v>
      </c>
      <c r="K93" s="341" t="s">
        <v>1388</v>
      </c>
    </row>
    <row r="94" spans="6:42" x14ac:dyDescent="0.25">
      <c r="F94" s="53" t="s">
        <v>133</v>
      </c>
      <c r="G94" s="53" t="s">
        <v>160</v>
      </c>
      <c r="H94" s="291">
        <v>43101</v>
      </c>
      <c r="I94" s="341" t="s">
        <v>1387</v>
      </c>
      <c r="J94" s="341" t="s">
        <v>1240</v>
      </c>
      <c r="K94" s="341" t="s">
        <v>1388</v>
      </c>
    </row>
    <row r="95" spans="6:42" x14ac:dyDescent="0.25">
      <c r="F95" s="53" t="s">
        <v>191</v>
      </c>
      <c r="G95" s="53" t="s">
        <v>160</v>
      </c>
      <c r="H95" s="291">
        <v>43101</v>
      </c>
      <c r="I95" s="341" t="s">
        <v>1389</v>
      </c>
      <c r="J95" s="341" t="s">
        <v>1241</v>
      </c>
      <c r="K95" s="341" t="s">
        <v>1390</v>
      </c>
    </row>
    <row r="96" spans="6:42" x14ac:dyDescent="0.25">
      <c r="F96" s="53" t="s">
        <v>192</v>
      </c>
      <c r="G96" s="53" t="s">
        <v>160</v>
      </c>
      <c r="H96" s="291">
        <v>43101</v>
      </c>
      <c r="I96" s="341" t="s">
        <v>1391</v>
      </c>
      <c r="J96" s="341" t="s">
        <v>1240</v>
      </c>
      <c r="K96" s="341" t="s">
        <v>1392</v>
      </c>
    </row>
    <row r="97" spans="6:11" x14ac:dyDescent="0.25">
      <c r="F97" s="53" t="s">
        <v>193</v>
      </c>
      <c r="G97" s="53" t="s">
        <v>160</v>
      </c>
      <c r="H97" s="291">
        <v>43101</v>
      </c>
      <c r="I97" s="341" t="s">
        <v>1393</v>
      </c>
      <c r="J97" s="341" t="s">
        <v>1257</v>
      </c>
      <c r="K97" s="341" t="s">
        <v>1394</v>
      </c>
    </row>
    <row r="98" spans="6:11" x14ac:dyDescent="0.25">
      <c r="F98" s="53" t="s">
        <v>194</v>
      </c>
      <c r="G98" s="53" t="s">
        <v>160</v>
      </c>
      <c r="H98" s="291">
        <v>43101</v>
      </c>
      <c r="I98" s="341" t="s">
        <v>1395</v>
      </c>
      <c r="J98" s="341" t="s">
        <v>1240</v>
      </c>
      <c r="K98" s="341" t="s">
        <v>1396</v>
      </c>
    </row>
    <row r="99" spans="6:11" x14ac:dyDescent="0.25">
      <c r="F99" s="53" t="s">
        <v>195</v>
      </c>
      <c r="G99" s="53" t="s">
        <v>160</v>
      </c>
      <c r="H99" s="291">
        <v>43101</v>
      </c>
      <c r="I99" s="284" t="s">
        <v>1397</v>
      </c>
      <c r="J99" s="284" t="s">
        <v>1239</v>
      </c>
      <c r="K99" s="284" t="s">
        <v>1398</v>
      </c>
    </row>
    <row r="100" spans="6:11" x14ac:dyDescent="0.25">
      <c r="F100" s="53" t="s">
        <v>196</v>
      </c>
      <c r="G100" s="53" t="s">
        <v>160</v>
      </c>
      <c r="H100" s="291">
        <v>43101</v>
      </c>
      <c r="I100" s="284" t="s">
        <v>1397</v>
      </c>
      <c r="J100" s="284" t="s">
        <v>1239</v>
      </c>
      <c r="K100" s="284" t="s">
        <v>1398</v>
      </c>
    </row>
    <row r="101" spans="6:11" x14ac:dyDescent="0.25">
      <c r="F101" s="53" t="s">
        <v>197</v>
      </c>
      <c r="G101" s="53" t="s">
        <v>160</v>
      </c>
      <c r="H101" s="291">
        <v>43101</v>
      </c>
      <c r="I101" s="284" t="s">
        <v>1399</v>
      </c>
      <c r="J101" s="284" t="s">
        <v>1239</v>
      </c>
      <c r="K101" s="284" t="s">
        <v>1400</v>
      </c>
    </row>
    <row r="102" spans="6:11" x14ac:dyDescent="0.25">
      <c r="F102" s="53" t="s">
        <v>198</v>
      </c>
      <c r="G102" s="53" t="s">
        <v>160</v>
      </c>
      <c r="H102" s="291">
        <v>43101</v>
      </c>
      <c r="I102" s="284" t="s">
        <v>1401</v>
      </c>
      <c r="J102" s="284" t="s">
        <v>1239</v>
      </c>
      <c r="K102" s="284" t="s">
        <v>1402</v>
      </c>
    </row>
    <row r="103" spans="6:11" x14ac:dyDescent="0.25">
      <c r="F103" s="53" t="s">
        <v>199</v>
      </c>
      <c r="G103" s="53" t="s">
        <v>160</v>
      </c>
      <c r="H103" s="291">
        <v>43101</v>
      </c>
      <c r="I103" s="284" t="s">
        <v>1403</v>
      </c>
      <c r="J103" s="284" t="s">
        <v>1239</v>
      </c>
      <c r="K103" s="284" t="s">
        <v>1404</v>
      </c>
    </row>
    <row r="104" spans="6:11" x14ac:dyDescent="0.25">
      <c r="F104" s="53" t="s">
        <v>200</v>
      </c>
      <c r="G104" s="53" t="s">
        <v>160</v>
      </c>
      <c r="H104" s="291">
        <v>43101</v>
      </c>
      <c r="I104" s="284" t="s">
        <v>1405</v>
      </c>
      <c r="J104" s="284" t="s">
        <v>1239</v>
      </c>
      <c r="K104" s="284" t="s">
        <v>1406</v>
      </c>
    </row>
    <row r="105" spans="6:11" x14ac:dyDescent="0.25">
      <c r="F105" s="53" t="s">
        <v>201</v>
      </c>
      <c r="G105" s="53" t="s">
        <v>1003</v>
      </c>
      <c r="H105" s="291">
        <v>43101</v>
      </c>
      <c r="I105" s="284" t="s">
        <v>1407</v>
      </c>
      <c r="J105" s="284" t="s">
        <v>285</v>
      </c>
      <c r="K105" s="284" t="s">
        <v>1407</v>
      </c>
    </row>
    <row r="106" spans="6:11" x14ac:dyDescent="0.25">
      <c r="G106" s="158"/>
    </row>
    <row r="110" spans="6:11" x14ac:dyDescent="0.25">
      <c r="F110" s="158"/>
    </row>
    <row r="111" spans="6:11" x14ac:dyDescent="0.25">
      <c r="F111" s="158"/>
    </row>
    <row r="112" spans="6:11" x14ac:dyDescent="0.25">
      <c r="F112" s="158"/>
    </row>
    <row r="113" spans="6:6" x14ac:dyDescent="0.25">
      <c r="F113" s="158"/>
    </row>
    <row r="114" spans="6:6" x14ac:dyDescent="0.25">
      <c r="F114" s="158"/>
    </row>
    <row r="115" spans="6:6" x14ac:dyDescent="0.25">
      <c r="F115" s="158"/>
    </row>
    <row r="116" spans="6:6" x14ac:dyDescent="0.25">
      <c r="F116" s="158"/>
    </row>
    <row r="117" spans="6:6" x14ac:dyDescent="0.25">
      <c r="F117" s="158"/>
    </row>
    <row r="118" spans="6:6" x14ac:dyDescent="0.25">
      <c r="F118" s="158"/>
    </row>
  </sheetData>
  <mergeCells count="1">
    <mergeCell ref="F5:G5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C4:L74"/>
  <sheetViews>
    <sheetView topLeftCell="G52" workbookViewId="0" zoomScale="85" zoomScaleNormal="85">
      <selection activeCell="I63" sqref="I63:K74"/>
    </sheetView>
  </sheetViews>
  <sheetFormatPr defaultRowHeight="15" x14ac:dyDescent="0.25"/>
  <cols>
    <col min="3" max="3" bestFit="true" customWidth="true" width="20.28515625" collapsed="true"/>
    <col min="5" max="5" bestFit="true" customWidth="true" width="46.42578125" collapsed="true"/>
    <col min="6" max="6" bestFit="true" customWidth="true" width="54.5703125" collapsed="true"/>
    <col min="7" max="7" bestFit="true" customWidth="true" width="45.28515625" collapsed="true"/>
    <col min="8" max="8" bestFit="true" customWidth="true" width="43.5703125" collapsed="true"/>
    <col min="9" max="9" bestFit="true" customWidth="true" width="46.85546875" collapsed="true"/>
    <col min="10" max="10" bestFit="true" customWidth="true" width="45.85546875" collapsed="true"/>
    <col min="11" max="11" customWidth="true" width="15.5703125" collapsed="true"/>
  </cols>
  <sheetData>
    <row r="4" spans="3:10" x14ac:dyDescent="0.25">
      <c r="C4" s="158"/>
      <c r="D4" s="158"/>
      <c r="E4" s="68" t="s">
        <v>1339</v>
      </c>
      <c r="F4" s="68"/>
      <c r="G4" s="40"/>
      <c r="H4" s="403"/>
      <c r="I4" s="59"/>
      <c r="J4" s="158"/>
    </row>
    <row ht="15.75" r="5" spans="3:10" x14ac:dyDescent="0.3">
      <c r="C5" s="35" t="s">
        <v>106</v>
      </c>
      <c r="D5" s="42"/>
      <c r="E5" s="30" t="s">
        <v>105</v>
      </c>
      <c r="F5" s="29" t="s">
        <v>105</v>
      </c>
      <c r="G5" s="184" t="s">
        <v>1323</v>
      </c>
      <c r="H5" s="184" t="s">
        <v>1324</v>
      </c>
      <c r="I5" s="184" t="s">
        <v>1325</v>
      </c>
      <c r="J5" s="404" t="s">
        <v>1326</v>
      </c>
    </row>
    <row r="6" spans="3:10" x14ac:dyDescent="0.25">
      <c r="C6" s="158"/>
      <c r="D6" s="158"/>
      <c r="E6" s="30" t="s">
        <v>103</v>
      </c>
      <c r="F6" s="29" t="s">
        <v>103</v>
      </c>
      <c r="G6" s="189" t="s">
        <v>280</v>
      </c>
      <c r="H6" s="189" t="s">
        <v>280</v>
      </c>
      <c r="I6" s="189" t="s">
        <v>280</v>
      </c>
      <c r="J6" s="405" t="s">
        <v>280</v>
      </c>
    </row>
    <row r="7" spans="3:10" x14ac:dyDescent="0.25">
      <c r="C7" s="158"/>
      <c r="D7" s="158"/>
      <c r="E7" s="30" t="s">
        <v>10</v>
      </c>
      <c r="F7" s="29" t="s">
        <v>10</v>
      </c>
      <c r="G7" s="196">
        <v>43466</v>
      </c>
      <c r="H7" s="196">
        <v>43466</v>
      </c>
      <c r="I7" s="196">
        <v>43466</v>
      </c>
      <c r="J7" s="406">
        <v>43466</v>
      </c>
    </row>
    <row r="8" spans="3:10" x14ac:dyDescent="0.25">
      <c r="C8" s="158"/>
      <c r="D8" s="158"/>
      <c r="E8" s="30" t="s">
        <v>1170</v>
      </c>
      <c r="F8" s="29" t="s">
        <v>1170</v>
      </c>
      <c r="G8" s="196"/>
      <c r="H8" s="196"/>
      <c r="I8" s="196"/>
      <c r="J8" s="406"/>
    </row>
    <row r="9" spans="3:10" x14ac:dyDescent="0.25">
      <c r="C9" s="158"/>
      <c r="D9" s="158"/>
      <c r="E9" s="30" t="s">
        <v>931</v>
      </c>
      <c r="F9" s="29" t="s">
        <v>932</v>
      </c>
      <c r="G9" s="194" t="s">
        <v>1152</v>
      </c>
      <c r="H9" s="194" t="s">
        <v>1152</v>
      </c>
      <c r="I9" s="194" t="s">
        <v>1327</v>
      </c>
      <c r="J9" s="407" t="s">
        <v>1328</v>
      </c>
    </row>
    <row r="10" spans="3:10" x14ac:dyDescent="0.25">
      <c r="C10" s="158"/>
      <c r="D10" s="158"/>
      <c r="E10" s="30" t="s">
        <v>101</v>
      </c>
      <c r="F10" s="29" t="s">
        <v>101</v>
      </c>
      <c r="G10" s="189" t="s">
        <v>1001</v>
      </c>
      <c r="H10" s="189" t="s">
        <v>1001</v>
      </c>
      <c r="I10" s="189" t="s">
        <v>151</v>
      </c>
      <c r="J10" s="405" t="s">
        <v>151</v>
      </c>
    </row>
    <row r="11" spans="3:10" x14ac:dyDescent="0.25">
      <c r="C11" s="158"/>
      <c r="D11" s="158"/>
      <c r="E11" s="30" t="s">
        <v>153</v>
      </c>
      <c r="F11" s="29" t="s">
        <v>153</v>
      </c>
      <c r="G11" s="189" t="s">
        <v>160</v>
      </c>
      <c r="H11" s="189" t="s">
        <v>1038</v>
      </c>
      <c r="I11" s="189" t="s">
        <v>1003</v>
      </c>
      <c r="J11" s="405" t="s">
        <v>1003</v>
      </c>
    </row>
    <row r="12" spans="3:10" x14ac:dyDescent="0.25">
      <c r="C12" s="158"/>
      <c r="D12" s="158"/>
      <c r="E12" s="30" t="s">
        <v>100</v>
      </c>
      <c r="F12" s="29" t="s">
        <v>100</v>
      </c>
      <c r="G12" s="189">
        <v>1</v>
      </c>
      <c r="H12" s="189">
        <v>1</v>
      </c>
      <c r="I12" s="189">
        <v>1</v>
      </c>
      <c r="J12" s="405">
        <v>1</v>
      </c>
    </row>
    <row r="13" spans="3:10" x14ac:dyDescent="0.25">
      <c r="C13" s="158"/>
      <c r="D13" s="158"/>
      <c r="E13" s="30" t="s">
        <v>99</v>
      </c>
      <c r="F13" s="29" t="s">
        <v>99</v>
      </c>
      <c r="G13" s="189"/>
      <c r="H13" s="189"/>
      <c r="I13" s="189"/>
      <c r="J13" s="405"/>
    </row>
    <row r="14" spans="3:10" x14ac:dyDescent="0.25">
      <c r="C14" s="158"/>
      <c r="D14" s="158"/>
      <c r="E14" s="30" t="s">
        <v>97</v>
      </c>
      <c r="F14" s="29" t="s">
        <v>97</v>
      </c>
      <c r="G14" s="189" t="s">
        <v>96</v>
      </c>
      <c r="H14" s="189" t="s">
        <v>96</v>
      </c>
      <c r="I14" s="189" t="s">
        <v>96</v>
      </c>
      <c r="J14" s="405" t="s">
        <v>249</v>
      </c>
    </row>
    <row r="15" spans="3:10" x14ac:dyDescent="0.25">
      <c r="C15" s="158"/>
      <c r="D15" s="158"/>
      <c r="E15" s="30" t="s">
        <v>95</v>
      </c>
      <c r="F15" s="29" t="s">
        <v>95</v>
      </c>
      <c r="G15" s="189">
        <v>0</v>
      </c>
      <c r="H15" s="189">
        <v>0</v>
      </c>
      <c r="I15" s="189">
        <v>0</v>
      </c>
      <c r="J15" s="405">
        <v>1692.86</v>
      </c>
    </row>
    <row r="16" spans="3:10" x14ac:dyDescent="0.25">
      <c r="C16" s="158"/>
      <c r="D16" s="158"/>
      <c r="E16" s="30" t="s">
        <v>94</v>
      </c>
      <c r="F16" s="29" t="s">
        <v>94</v>
      </c>
      <c r="G16" s="189">
        <v>0</v>
      </c>
      <c r="H16" s="189">
        <v>0</v>
      </c>
      <c r="I16" s="189">
        <v>0</v>
      </c>
      <c r="J16" s="405">
        <v>1692.86</v>
      </c>
    </row>
    <row r="17" spans="3:10" x14ac:dyDescent="0.25">
      <c r="C17" s="158"/>
      <c r="D17" s="158"/>
      <c r="E17" s="30" t="s">
        <v>154</v>
      </c>
      <c r="F17" s="29" t="s">
        <v>154</v>
      </c>
      <c r="G17" s="207"/>
      <c r="H17" s="207"/>
      <c r="I17" s="207"/>
      <c r="J17" s="408"/>
    </row>
    <row ht="15.75" r="18" spans="3:10" x14ac:dyDescent="0.3">
      <c r="C18" s="35" t="s">
        <v>93</v>
      </c>
      <c r="D18" s="34"/>
      <c r="E18" s="37" t="s">
        <v>92</v>
      </c>
      <c r="F18" s="36" t="s">
        <v>92</v>
      </c>
      <c r="G18" s="194">
        <v>1</v>
      </c>
      <c r="H18" s="194">
        <v>1</v>
      </c>
      <c r="I18" s="194">
        <v>1</v>
      </c>
      <c r="J18" s="409">
        <v>1</v>
      </c>
    </row>
    <row r="19" spans="3:10" x14ac:dyDescent="0.25">
      <c r="C19" s="158"/>
      <c r="D19" s="158"/>
      <c r="E19" s="30" t="s">
        <v>91</v>
      </c>
      <c r="F19" s="29" t="s">
        <v>91</v>
      </c>
      <c r="G19" s="189" t="s">
        <v>147</v>
      </c>
      <c r="H19" s="189" t="s">
        <v>147</v>
      </c>
      <c r="I19" s="189" t="s">
        <v>250</v>
      </c>
      <c r="J19" s="405" t="s">
        <v>250</v>
      </c>
    </row>
    <row r="20" spans="3:10" x14ac:dyDescent="0.25">
      <c r="C20" s="158"/>
      <c r="D20" s="158"/>
      <c r="E20" s="30" t="s">
        <v>90</v>
      </c>
      <c r="F20" s="29" t="s">
        <v>90</v>
      </c>
      <c r="G20" s="203"/>
      <c r="H20" s="189"/>
      <c r="I20" s="189" t="s">
        <v>1006</v>
      </c>
      <c r="J20" s="405" t="s">
        <v>1006</v>
      </c>
    </row>
    <row r="21" spans="3:10" x14ac:dyDescent="0.25">
      <c r="C21" s="158"/>
      <c r="D21" s="158"/>
      <c r="E21" s="30" t="s">
        <v>1204</v>
      </c>
      <c r="F21" s="29" t="s">
        <v>1204</v>
      </c>
      <c r="G21" s="203"/>
      <c r="H21" s="189"/>
      <c r="I21" s="189">
        <v>1000</v>
      </c>
      <c r="J21" s="405">
        <v>1000</v>
      </c>
    </row>
    <row r="22" spans="3:10" x14ac:dyDescent="0.25">
      <c r="C22" s="158"/>
      <c r="D22" s="158"/>
      <c r="E22" s="30" t="s">
        <v>89</v>
      </c>
      <c r="F22" s="29" t="s">
        <v>89</v>
      </c>
      <c r="G22" s="189" t="s">
        <v>1004</v>
      </c>
      <c r="H22" s="189"/>
      <c r="I22" s="217" t="s">
        <v>149</v>
      </c>
      <c r="J22" s="410" t="s">
        <v>149</v>
      </c>
    </row>
    <row r="23" spans="3:10" x14ac:dyDescent="0.25">
      <c r="C23" s="158"/>
      <c r="D23" s="158"/>
      <c r="E23" s="30" t="s">
        <v>87</v>
      </c>
      <c r="F23" s="29" t="s">
        <v>87</v>
      </c>
      <c r="G23" s="411"/>
      <c r="H23" s="411" t="s">
        <v>1205</v>
      </c>
      <c r="I23" s="189" t="s">
        <v>162</v>
      </c>
      <c r="J23" s="405" t="s">
        <v>162</v>
      </c>
    </row>
    <row r="24" spans="3:10" x14ac:dyDescent="0.25">
      <c r="C24" s="158"/>
      <c r="D24" s="158"/>
      <c r="E24" s="30" t="s">
        <v>86</v>
      </c>
      <c r="F24" s="29" t="s">
        <v>86</v>
      </c>
      <c r="G24" s="203"/>
      <c r="H24" s="189"/>
      <c r="I24" s="189" t="s">
        <v>1005</v>
      </c>
      <c r="J24" s="405" t="s">
        <v>1005</v>
      </c>
    </row>
    <row r="25" spans="3:10" x14ac:dyDescent="0.25">
      <c r="C25" s="158"/>
      <c r="D25" s="158"/>
      <c r="E25" s="30" t="s">
        <v>1329</v>
      </c>
      <c r="F25" s="29" t="s">
        <v>1329</v>
      </c>
      <c r="G25" s="203"/>
      <c r="H25" s="189"/>
      <c r="I25" s="189">
        <v>2000</v>
      </c>
      <c r="J25" s="405">
        <v>2000</v>
      </c>
    </row>
    <row r="26" spans="3:10" x14ac:dyDescent="0.25">
      <c r="C26" s="158"/>
      <c r="D26" s="158"/>
      <c r="E26" s="30" t="s">
        <v>84</v>
      </c>
      <c r="F26" s="29" t="s">
        <v>84</v>
      </c>
      <c r="G26" s="189">
        <v>7500</v>
      </c>
      <c r="H26" s="189">
        <v>7500</v>
      </c>
      <c r="I26" s="189">
        <v>2500</v>
      </c>
      <c r="J26" s="405">
        <v>2500</v>
      </c>
    </row>
    <row r="27" spans="3:10" x14ac:dyDescent="0.25">
      <c r="C27" s="158"/>
      <c r="D27" s="158"/>
      <c r="E27" s="30" t="s">
        <v>83</v>
      </c>
      <c r="F27" s="29" t="s">
        <v>83</v>
      </c>
      <c r="G27" s="207">
        <v>400</v>
      </c>
      <c r="H27" s="207">
        <v>500</v>
      </c>
      <c r="I27" s="207">
        <v>500</v>
      </c>
      <c r="J27" s="408">
        <v>500</v>
      </c>
    </row>
    <row ht="15.75" r="28" spans="3:10" x14ac:dyDescent="0.3">
      <c r="C28" s="35" t="s">
        <v>82</v>
      </c>
      <c r="D28" s="34"/>
      <c r="E28" s="33" t="s">
        <v>975</v>
      </c>
      <c r="F28" s="32" t="s">
        <v>81</v>
      </c>
      <c r="G28" s="194" t="s">
        <v>80</v>
      </c>
      <c r="H28" s="194" t="s">
        <v>80</v>
      </c>
      <c r="I28" s="194" t="s">
        <v>80</v>
      </c>
      <c r="J28" s="409" t="s">
        <v>80</v>
      </c>
    </row>
    <row r="29" spans="3:10" x14ac:dyDescent="0.25">
      <c r="C29" s="158"/>
      <c r="D29" s="158"/>
      <c r="E29" s="39" t="s">
        <v>976</v>
      </c>
      <c r="F29" s="38" t="s">
        <v>79</v>
      </c>
      <c r="G29" s="196">
        <v>23816</v>
      </c>
      <c r="H29" s="196">
        <v>26527</v>
      </c>
      <c r="I29" s="196">
        <v>36355</v>
      </c>
      <c r="J29" s="406">
        <v>36355</v>
      </c>
    </row>
    <row r="30" spans="3:10" x14ac:dyDescent="0.25">
      <c r="C30" s="158"/>
      <c r="D30" s="158"/>
      <c r="E30" s="39" t="s">
        <v>977</v>
      </c>
      <c r="F30" s="38" t="s">
        <v>78</v>
      </c>
      <c r="G30" s="189" t="s">
        <v>1142</v>
      </c>
      <c r="H30" s="189" t="s">
        <v>1144</v>
      </c>
      <c r="I30" s="189" t="s">
        <v>1144</v>
      </c>
      <c r="J30" s="405" t="s">
        <v>1144</v>
      </c>
    </row>
    <row r="31" spans="3:10" x14ac:dyDescent="0.25">
      <c r="C31" s="158"/>
      <c r="D31" s="158"/>
      <c r="E31" s="39" t="s">
        <v>978</v>
      </c>
      <c r="F31" s="38" t="s">
        <v>150</v>
      </c>
      <c r="G31" s="189"/>
      <c r="H31" s="189"/>
      <c r="I31" s="189"/>
      <c r="J31" s="405"/>
    </row>
    <row r="32" spans="3:10" x14ac:dyDescent="0.25">
      <c r="C32" s="158"/>
      <c r="D32" s="158"/>
      <c r="E32" s="39" t="s">
        <v>979</v>
      </c>
      <c r="F32" s="38" t="s">
        <v>77</v>
      </c>
      <c r="G32" s="226" t="s">
        <v>272</v>
      </c>
      <c r="H32" s="226" t="s">
        <v>272</v>
      </c>
      <c r="I32" s="226" t="s">
        <v>272</v>
      </c>
      <c r="J32" s="412" t="s">
        <v>272</v>
      </c>
    </row>
    <row r="33" spans="3:10" x14ac:dyDescent="0.25">
      <c r="C33" s="158"/>
      <c r="D33" s="158"/>
      <c r="E33" s="39" t="s">
        <v>1085</v>
      </c>
      <c r="F33" s="38" t="s">
        <v>1085</v>
      </c>
      <c r="G33" s="189"/>
      <c r="H33" s="189"/>
      <c r="I33" s="189"/>
      <c r="J33" s="405"/>
    </row>
    <row r="34" spans="3:10" x14ac:dyDescent="0.25">
      <c r="C34" s="158"/>
      <c r="D34" s="158"/>
      <c r="E34" s="39" t="s">
        <v>1086</v>
      </c>
      <c r="F34" s="38" t="s">
        <v>1086</v>
      </c>
      <c r="G34" s="189"/>
      <c r="H34" s="189"/>
      <c r="I34" s="189"/>
      <c r="J34" s="405"/>
    </row>
    <row r="35" spans="3:10" x14ac:dyDescent="0.25">
      <c r="C35" s="158"/>
      <c r="D35" s="158"/>
      <c r="E35" s="39" t="s">
        <v>1087</v>
      </c>
      <c r="F35" s="38" t="s">
        <v>1087</v>
      </c>
      <c r="G35" s="189"/>
      <c r="H35" s="189"/>
      <c r="I35" s="189"/>
      <c r="J35" s="405"/>
    </row>
    <row r="36" spans="3:10" x14ac:dyDescent="0.25">
      <c r="C36" s="158"/>
      <c r="D36" s="158"/>
      <c r="E36" s="39" t="s">
        <v>1091</v>
      </c>
      <c r="F36" s="38" t="s">
        <v>1091</v>
      </c>
      <c r="G36" s="226"/>
      <c r="H36" s="226"/>
      <c r="I36" s="226"/>
      <c r="J36" s="412"/>
    </row>
    <row r="37" spans="3:10" x14ac:dyDescent="0.25">
      <c r="C37" s="158"/>
      <c r="D37" s="158"/>
      <c r="E37" s="39" t="s">
        <v>1092</v>
      </c>
      <c r="F37" s="38" t="s">
        <v>1092</v>
      </c>
      <c r="G37" s="226"/>
      <c r="H37" s="226"/>
      <c r="I37" s="226"/>
      <c r="J37" s="412"/>
    </row>
    <row r="38" spans="3:10" x14ac:dyDescent="0.25">
      <c r="C38" s="158"/>
      <c r="D38" s="158"/>
      <c r="E38" s="39" t="s">
        <v>1093</v>
      </c>
      <c r="F38" s="38" t="s">
        <v>1093</v>
      </c>
      <c r="G38" s="231"/>
      <c r="H38" s="231"/>
      <c r="I38" s="231"/>
      <c r="J38" s="413"/>
    </row>
    <row ht="15.75" r="39" spans="3:10" x14ac:dyDescent="0.3">
      <c r="C39" s="35" t="s">
        <v>55</v>
      </c>
      <c r="D39" s="34"/>
      <c r="E39" s="37" t="s">
        <v>266</v>
      </c>
      <c r="F39" s="36" t="s">
        <v>54</v>
      </c>
      <c r="G39" s="194" t="s">
        <v>1330</v>
      </c>
      <c r="H39" s="194" t="s">
        <v>1331</v>
      </c>
      <c r="I39" s="194" t="s">
        <v>1332</v>
      </c>
      <c r="J39" s="409" t="s">
        <v>1332</v>
      </c>
    </row>
    <row r="40" spans="3:10" x14ac:dyDescent="0.25">
      <c r="C40" s="158"/>
      <c r="D40" s="158"/>
      <c r="E40" s="30" t="s">
        <v>263</v>
      </c>
      <c r="F40" s="29" t="s">
        <v>52</v>
      </c>
      <c r="G40" s="189">
        <v>28</v>
      </c>
      <c r="H40" s="189"/>
      <c r="I40" s="189">
        <v>26</v>
      </c>
      <c r="J40" s="405">
        <v>26</v>
      </c>
    </row>
    <row r="41" spans="3:10" x14ac:dyDescent="0.25">
      <c r="C41" s="158"/>
      <c r="D41" s="158"/>
      <c r="E41" s="30" t="s">
        <v>264</v>
      </c>
      <c r="F41" s="29" t="s">
        <v>51</v>
      </c>
      <c r="G41" s="189">
        <v>19000</v>
      </c>
      <c r="H41" s="189">
        <v>4400</v>
      </c>
      <c r="I41" s="189">
        <v>17600</v>
      </c>
      <c r="J41" s="405">
        <v>17600</v>
      </c>
    </row>
    <row r="42" spans="3:10" x14ac:dyDescent="0.25">
      <c r="C42" s="158"/>
      <c r="D42" s="158"/>
      <c r="E42" s="30" t="s">
        <v>265</v>
      </c>
      <c r="F42" s="29" t="s">
        <v>50</v>
      </c>
      <c r="G42" s="207">
        <v>2</v>
      </c>
      <c r="H42" s="207">
        <v>1</v>
      </c>
      <c r="I42" s="207">
        <v>2</v>
      </c>
      <c r="J42" s="408">
        <v>2</v>
      </c>
    </row>
    <row ht="15.75" r="43" spans="3:10" x14ac:dyDescent="0.3">
      <c r="C43" s="35" t="s">
        <v>49</v>
      </c>
      <c r="D43" s="40"/>
      <c r="E43" s="37" t="s">
        <v>964</v>
      </c>
      <c r="F43" s="36" t="s">
        <v>937</v>
      </c>
      <c r="G43" s="236" t="s">
        <v>1333</v>
      </c>
      <c r="H43" s="236" t="s">
        <v>1334</v>
      </c>
      <c r="I43" s="236" t="s">
        <v>1335</v>
      </c>
      <c r="J43" s="414" t="s">
        <v>1335</v>
      </c>
    </row>
    <row r="44" spans="3:10" x14ac:dyDescent="0.25">
      <c r="C44" s="158"/>
      <c r="D44" s="158"/>
      <c r="E44" s="30" t="s">
        <v>965</v>
      </c>
      <c r="F44" s="29" t="s">
        <v>947</v>
      </c>
      <c r="G44" s="243">
        <v>245</v>
      </c>
      <c r="H44" s="243">
        <v>164</v>
      </c>
      <c r="I44" s="243">
        <v>80</v>
      </c>
      <c r="J44" s="415">
        <v>80</v>
      </c>
    </row>
    <row r="45" spans="3:10" x14ac:dyDescent="0.25">
      <c r="C45" s="158"/>
      <c r="D45" s="158"/>
      <c r="E45" s="30" t="s">
        <v>1171</v>
      </c>
      <c r="F45" s="29" t="s">
        <v>1150</v>
      </c>
      <c r="G45" s="243"/>
      <c r="H45" s="243"/>
      <c r="I45" s="243"/>
      <c r="J45" s="415"/>
    </row>
    <row r="46" spans="3:10" x14ac:dyDescent="0.25">
      <c r="C46" s="158"/>
      <c r="D46" s="158"/>
      <c r="E46" s="30" t="s">
        <v>966</v>
      </c>
      <c r="F46" s="29" t="s">
        <v>938</v>
      </c>
      <c r="G46" s="189"/>
      <c r="H46" s="189"/>
      <c r="I46" s="189"/>
      <c r="J46" s="405"/>
    </row>
    <row r="47" spans="3:10" x14ac:dyDescent="0.25">
      <c r="C47" s="158"/>
      <c r="D47" s="158"/>
      <c r="E47" s="30" t="s">
        <v>967</v>
      </c>
      <c r="F47" s="29" t="s">
        <v>945</v>
      </c>
      <c r="G47" s="196"/>
      <c r="H47" s="196"/>
      <c r="I47" s="196"/>
      <c r="J47" s="406"/>
    </row>
    <row r="48" spans="3:10" x14ac:dyDescent="0.25">
      <c r="C48" s="158"/>
      <c r="D48" s="158"/>
      <c r="E48" s="27" t="s">
        <v>968</v>
      </c>
      <c r="F48" s="26" t="s">
        <v>941</v>
      </c>
      <c r="G48" s="207"/>
      <c r="H48" s="207"/>
      <c r="I48" s="207"/>
      <c r="J48" s="408"/>
    </row>
    <row r="49" spans="3:11" x14ac:dyDescent="0.25">
      <c r="C49" s="158"/>
      <c r="D49" s="158"/>
      <c r="E49" s="30" t="s">
        <v>1172</v>
      </c>
      <c r="F49" s="29" t="s">
        <v>1154</v>
      </c>
      <c r="G49" s="194"/>
      <c r="H49" s="194"/>
      <c r="I49" s="194"/>
      <c r="J49" s="409"/>
    </row>
    <row r="50" spans="3:11" x14ac:dyDescent="0.25">
      <c r="C50" s="158"/>
      <c r="D50" s="158"/>
      <c r="E50" s="30" t="s">
        <v>969</v>
      </c>
      <c r="F50" s="29" t="s">
        <v>939</v>
      </c>
      <c r="G50" s="189"/>
      <c r="H50" s="189"/>
      <c r="I50" s="189"/>
      <c r="J50" s="405"/>
    </row>
    <row r="51" spans="3:11" x14ac:dyDescent="0.25">
      <c r="C51" s="158"/>
      <c r="D51" s="158"/>
      <c r="E51" s="30" t="s">
        <v>970</v>
      </c>
      <c r="F51" s="29" t="s">
        <v>944</v>
      </c>
      <c r="G51" s="196"/>
      <c r="H51" s="196"/>
      <c r="I51" s="196"/>
      <c r="J51" s="406"/>
    </row>
    <row r="52" spans="3:11" x14ac:dyDescent="0.25">
      <c r="C52" s="158"/>
      <c r="D52" s="158"/>
      <c r="E52" s="27" t="s">
        <v>971</v>
      </c>
      <c r="F52" s="26" t="s">
        <v>943</v>
      </c>
      <c r="G52" s="207"/>
      <c r="H52" s="207"/>
      <c r="I52" s="207"/>
      <c r="J52" s="408"/>
    </row>
    <row r="53" spans="3:11" x14ac:dyDescent="0.25">
      <c r="C53" s="158"/>
      <c r="D53" s="158"/>
      <c r="E53" s="158"/>
      <c r="F53" s="158"/>
      <c r="G53" s="158" t="s">
        <v>1336</v>
      </c>
      <c r="H53" s="362" t="s">
        <v>1337</v>
      </c>
      <c r="I53" s="158" t="s">
        <v>1338</v>
      </c>
      <c r="J53" s="158" t="s">
        <v>1338</v>
      </c>
    </row>
    <row r="58" spans="3:11" x14ac:dyDescent="0.25">
      <c r="E58" s="57" t="s">
        <v>1340</v>
      </c>
      <c r="F58" s="57"/>
      <c r="G58" s="57"/>
      <c r="H58" s="58"/>
      <c r="I58" s="58"/>
      <c r="J58" s="158"/>
    </row>
    <row r="59" spans="3:11" x14ac:dyDescent="0.25">
      <c r="E59" s="60" t="s">
        <v>3</v>
      </c>
      <c r="F59" s="60" t="s">
        <v>6</v>
      </c>
      <c r="G59" s="60">
        <v>4</v>
      </c>
      <c r="H59" s="60"/>
      <c r="I59" s="60"/>
      <c r="J59" s="60"/>
    </row>
    <row ht="15.75" r="60" spans="3:11" x14ac:dyDescent="0.3">
      <c r="E60" s="2" t="s">
        <v>1</v>
      </c>
      <c r="F60" s="159" t="s">
        <v>1098</v>
      </c>
      <c r="G60" s="159" t="s">
        <v>1343</v>
      </c>
      <c r="H60" s="159" t="s">
        <v>1245</v>
      </c>
      <c r="I60" s="159" t="s">
        <v>1234</v>
      </c>
      <c r="J60" s="159" t="s">
        <v>1235</v>
      </c>
      <c r="K60" s="159" t="s">
        <v>1208</v>
      </c>
    </row>
    <row ht="15.75" r="61" spans="3:11" x14ac:dyDescent="0.3">
      <c r="E61" s="62" t="s">
        <v>1341</v>
      </c>
      <c r="F61" s="63"/>
      <c r="H61" s="63"/>
      <c r="I61" s="63"/>
      <c r="J61" s="63"/>
      <c r="K61" s="63"/>
    </row>
    <row ht="54" r="62" spans="3:11" x14ac:dyDescent="0.25">
      <c r="E62" s="160" t="s">
        <v>2</v>
      </c>
      <c r="F62" s="160" t="s">
        <v>1099</v>
      </c>
      <c r="G62" s="80" t="s">
        <v>1344</v>
      </c>
      <c r="H62" s="160" t="s">
        <v>1345</v>
      </c>
      <c r="I62" s="47" t="s">
        <v>1236</v>
      </c>
      <c r="J62" s="47" t="s">
        <v>1237</v>
      </c>
      <c r="K62" s="47" t="s">
        <v>1238</v>
      </c>
    </row>
    <row r="63" spans="3:11" x14ac:dyDescent="0.25">
      <c r="E63" s="417" t="s">
        <v>1323</v>
      </c>
      <c r="F63" s="420" t="s">
        <v>160</v>
      </c>
      <c r="G63" s="296">
        <v>43101</v>
      </c>
      <c r="H63" s="296">
        <v>43101</v>
      </c>
      <c r="I63" s="416" t="s">
        <v>285</v>
      </c>
      <c r="J63" s="416" t="s">
        <v>285</v>
      </c>
      <c r="K63" s="416" t="s">
        <v>285</v>
      </c>
    </row>
    <row r="64" spans="3:11" x14ac:dyDescent="0.25">
      <c r="E64" s="417" t="s">
        <v>1324</v>
      </c>
      <c r="F64" s="420" t="s">
        <v>1038</v>
      </c>
      <c r="G64" s="296">
        <v>43101</v>
      </c>
      <c r="H64" s="296">
        <v>43101</v>
      </c>
      <c r="I64" s="416" t="s">
        <v>1377</v>
      </c>
      <c r="J64" s="416" t="s">
        <v>285</v>
      </c>
      <c r="K64" s="416" t="s">
        <v>1377</v>
      </c>
    </row>
    <row r="65" spans="5:11" x14ac:dyDescent="0.25">
      <c r="E65" s="417" t="s">
        <v>1325</v>
      </c>
      <c r="F65" s="420" t="s">
        <v>1003</v>
      </c>
      <c r="G65" s="296">
        <v>43101</v>
      </c>
      <c r="H65" s="296">
        <v>43101</v>
      </c>
      <c r="I65" s="416" t="s">
        <v>1378</v>
      </c>
      <c r="J65" s="416" t="s">
        <v>1342</v>
      </c>
      <c r="K65" s="416" t="s">
        <v>1379</v>
      </c>
    </row>
    <row r="66" spans="5:11" x14ac:dyDescent="0.25">
      <c r="E66" s="418" t="s">
        <v>1326</v>
      </c>
      <c r="F66" s="421" t="s">
        <v>1003</v>
      </c>
      <c r="G66" s="297">
        <v>43101</v>
      </c>
      <c r="H66" s="297">
        <v>43101</v>
      </c>
      <c r="I66" s="419" t="s">
        <v>1378</v>
      </c>
      <c r="J66" s="419" t="s">
        <v>1342</v>
      </c>
      <c r="K66" s="419" t="s">
        <v>1379</v>
      </c>
    </row>
    <row r="67" spans="5:11" x14ac:dyDescent="0.25">
      <c r="E67" s="417" t="s">
        <v>1323</v>
      </c>
      <c r="F67" s="420" t="s">
        <v>160</v>
      </c>
      <c r="G67" s="296">
        <v>43494</v>
      </c>
      <c r="H67" s="296">
        <v>43494</v>
      </c>
      <c r="I67" s="416" t="s">
        <v>285</v>
      </c>
      <c r="J67" s="416" t="s">
        <v>285</v>
      </c>
      <c r="K67" s="416" t="s">
        <v>285</v>
      </c>
    </row>
    <row r="68" spans="5:11" x14ac:dyDescent="0.25">
      <c r="E68" s="417" t="s">
        <v>1324</v>
      </c>
      <c r="F68" s="420" t="s">
        <v>1038</v>
      </c>
      <c r="G68" s="296">
        <v>43494</v>
      </c>
      <c r="H68" s="296">
        <v>43494</v>
      </c>
      <c r="I68" s="416" t="s">
        <v>1377</v>
      </c>
      <c r="J68" s="416" t="s">
        <v>285</v>
      </c>
      <c r="K68" s="416" t="s">
        <v>1377</v>
      </c>
    </row>
    <row r="69" spans="5:11" x14ac:dyDescent="0.25">
      <c r="E69" s="417" t="s">
        <v>1325</v>
      </c>
      <c r="F69" s="420" t="s">
        <v>1003</v>
      </c>
      <c r="G69" s="296">
        <v>43494</v>
      </c>
      <c r="H69" s="296">
        <v>43494</v>
      </c>
      <c r="I69" s="416" t="s">
        <v>1378</v>
      </c>
      <c r="J69" s="416" t="s">
        <v>1342</v>
      </c>
      <c r="K69" s="416" t="s">
        <v>1379</v>
      </c>
    </row>
    <row r="70" spans="5:11" x14ac:dyDescent="0.25">
      <c r="E70" s="418" t="s">
        <v>1326</v>
      </c>
      <c r="F70" s="421" t="s">
        <v>1003</v>
      </c>
      <c r="G70" s="297">
        <v>43494</v>
      </c>
      <c r="H70" s="297">
        <v>43494</v>
      </c>
      <c r="I70" s="419" t="s">
        <v>1378</v>
      </c>
      <c r="J70" s="419" t="s">
        <v>1342</v>
      </c>
      <c r="K70" s="419" t="s">
        <v>1379</v>
      </c>
    </row>
    <row r="71" spans="5:11" x14ac:dyDescent="0.25">
      <c r="E71" s="417" t="s">
        <v>1323</v>
      </c>
      <c r="F71" s="420" t="s">
        <v>160</v>
      </c>
      <c r="G71" s="296">
        <v>43496</v>
      </c>
      <c r="H71" s="296">
        <v>43496</v>
      </c>
      <c r="I71" s="416" t="s">
        <v>285</v>
      </c>
      <c r="J71" s="416" t="s">
        <v>285</v>
      </c>
      <c r="K71" s="416" t="s">
        <v>285</v>
      </c>
    </row>
    <row r="72" spans="5:11" x14ac:dyDescent="0.25">
      <c r="E72" s="417" t="s">
        <v>1324</v>
      </c>
      <c r="F72" s="420" t="s">
        <v>1038</v>
      </c>
      <c r="G72" s="296">
        <v>43496</v>
      </c>
      <c r="H72" s="296">
        <v>43496</v>
      </c>
      <c r="I72" s="416" t="s">
        <v>1377</v>
      </c>
      <c r="J72" s="416" t="s">
        <v>285</v>
      </c>
      <c r="K72" s="416" t="s">
        <v>1377</v>
      </c>
    </row>
    <row r="73" spans="5:11" x14ac:dyDescent="0.25">
      <c r="E73" s="417" t="s">
        <v>1325</v>
      </c>
      <c r="F73" s="420" t="s">
        <v>1003</v>
      </c>
      <c r="G73" s="296">
        <v>43496</v>
      </c>
      <c r="H73" s="296">
        <v>43496</v>
      </c>
      <c r="I73" s="416" t="s">
        <v>1378</v>
      </c>
      <c r="J73" s="416" t="s">
        <v>1342</v>
      </c>
      <c r="K73" s="416" t="s">
        <v>1379</v>
      </c>
    </row>
    <row r="74" spans="5:11" x14ac:dyDescent="0.25">
      <c r="E74" s="418" t="s">
        <v>1326</v>
      </c>
      <c r="F74" s="421" t="s">
        <v>1003</v>
      </c>
      <c r="G74" s="297">
        <v>43496</v>
      </c>
      <c r="H74" s="297">
        <v>43496</v>
      </c>
      <c r="I74" s="419" t="s">
        <v>1378</v>
      </c>
      <c r="J74" s="419" t="s">
        <v>1342</v>
      </c>
      <c r="K74" s="419" t="s">
        <v>1379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16"/>
  <sheetViews>
    <sheetView workbookViewId="0">
      <selection activeCell="C2" sqref="C2"/>
    </sheetView>
  </sheetViews>
  <sheetFormatPr defaultRowHeight="15" x14ac:dyDescent="0.25"/>
  <cols>
    <col min="1" max="1" bestFit="true" customWidth="true" style="144" width="11.85546875" collapsed="true"/>
    <col min="2" max="2" bestFit="true" customWidth="true" style="147" width="9.7109375" collapsed="true"/>
    <col min="3" max="3" customWidth="true" style="147" width="59.28515625" collapsed="true"/>
    <col min="4" max="4" bestFit="true" customWidth="true" style="143" width="6.7109375" collapsed="true"/>
  </cols>
  <sheetData>
    <row r="1" spans="1:4" x14ac:dyDescent="0.25">
      <c r="A1" s="144" t="s">
        <v>164</v>
      </c>
      <c r="B1" s="147" t="s">
        <v>43</v>
      </c>
      <c r="C1" s="147" t="s">
        <v>44</v>
      </c>
      <c r="D1" s="143" t="s">
        <v>45</v>
      </c>
    </row>
    <row r="2" spans="1:4" x14ac:dyDescent="0.25">
      <c r="A2" s="145">
        <v>43326</v>
      </c>
      <c r="B2" s="147" t="s">
        <v>135</v>
      </c>
      <c r="C2" s="147" t="s">
        <v>46</v>
      </c>
      <c r="D2" s="143">
        <v>1</v>
      </c>
    </row>
    <row r="3" spans="1:4" x14ac:dyDescent="0.25">
      <c r="A3" s="145">
        <v>43328</v>
      </c>
      <c r="B3" s="147" t="s">
        <v>135</v>
      </c>
      <c r="C3" s="147" t="s">
        <v>109</v>
      </c>
      <c r="D3" s="143">
        <v>2</v>
      </c>
    </row>
    <row r="4" spans="1:4" x14ac:dyDescent="0.25">
      <c r="A4" s="145">
        <v>43329</v>
      </c>
      <c r="B4" s="147" t="s">
        <v>135</v>
      </c>
      <c r="C4" s="147" t="s">
        <v>128</v>
      </c>
      <c r="D4" s="143">
        <v>3</v>
      </c>
    </row>
    <row r="5" spans="1:4" x14ac:dyDescent="0.25">
      <c r="A5" s="145">
        <v>43335</v>
      </c>
      <c r="B5" s="147" t="s">
        <v>135</v>
      </c>
      <c r="C5" s="147" t="s">
        <v>136</v>
      </c>
      <c r="D5" s="143">
        <v>4</v>
      </c>
    </row>
    <row r="6" spans="1:4" x14ac:dyDescent="0.25">
      <c r="A6" s="145">
        <v>43354</v>
      </c>
      <c r="B6" s="147" t="s">
        <v>135</v>
      </c>
      <c r="C6" s="147" t="s">
        <v>165</v>
      </c>
      <c r="D6" s="143">
        <v>5</v>
      </c>
    </row>
    <row r="7" spans="1:4" x14ac:dyDescent="0.25">
      <c r="A7" s="145">
        <v>43361</v>
      </c>
      <c r="B7" s="147" t="s">
        <v>135</v>
      </c>
      <c r="C7" s="147" t="s">
        <v>262</v>
      </c>
      <c r="D7" s="143">
        <v>6</v>
      </c>
    </row>
    <row r="8" spans="1:4" x14ac:dyDescent="0.25">
      <c r="A8" s="145" t="s">
        <v>278</v>
      </c>
      <c r="B8" s="147" t="s">
        <v>276</v>
      </c>
      <c r="C8" s="147" t="s">
        <v>277</v>
      </c>
      <c r="D8" s="143">
        <v>7</v>
      </c>
    </row>
    <row r="9" spans="1:4" x14ac:dyDescent="0.25">
      <c r="A9" s="146">
        <v>43110</v>
      </c>
      <c r="B9" s="147" t="s">
        <v>276</v>
      </c>
      <c r="C9" s="147" t="s">
        <v>936</v>
      </c>
      <c r="D9" s="143">
        <v>8</v>
      </c>
    </row>
    <row r="10" spans="1:4" x14ac:dyDescent="0.25">
      <c r="A10" s="146">
        <v>43353</v>
      </c>
      <c r="B10" s="147" t="s">
        <v>276</v>
      </c>
      <c r="C10" s="147" t="s">
        <v>1000</v>
      </c>
      <c r="D10" s="143">
        <v>9</v>
      </c>
    </row>
    <row r="11" spans="1:4" x14ac:dyDescent="0.25">
      <c r="A11" s="144" t="s">
        <v>1094</v>
      </c>
      <c r="B11" s="147" t="s">
        <v>276</v>
      </c>
      <c r="C11" s="147" t="s">
        <v>1095</v>
      </c>
      <c r="D11" s="143">
        <v>10</v>
      </c>
    </row>
    <row r="12" spans="1:4" x14ac:dyDescent="0.25">
      <c r="A12" s="144" t="s">
        <v>1094</v>
      </c>
      <c r="B12" s="147" t="s">
        <v>135</v>
      </c>
      <c r="C12" s="147" t="s">
        <v>1106</v>
      </c>
      <c r="D12" s="143">
        <v>11</v>
      </c>
    </row>
    <row r="13" spans="1:4" x14ac:dyDescent="0.25">
      <c r="A13" s="146">
        <v>43293</v>
      </c>
      <c r="B13" s="147" t="s">
        <v>1231</v>
      </c>
      <c r="C13" s="147" t="s">
        <v>1232</v>
      </c>
      <c r="D13" s="143">
        <v>12</v>
      </c>
    </row>
    <row r="14" spans="1:4" x14ac:dyDescent="0.25">
      <c r="A14" s="146">
        <v>43446</v>
      </c>
      <c r="B14" s="147" t="s">
        <v>1231</v>
      </c>
      <c r="C14" s="147" t="s">
        <v>1247</v>
      </c>
      <c r="D14" s="143">
        <v>13</v>
      </c>
    </row>
    <row r="15" spans="1:4" x14ac:dyDescent="0.25">
      <c r="A15" s="146">
        <v>43453</v>
      </c>
      <c r="B15" s="147" t="s">
        <v>1231</v>
      </c>
      <c r="C15" s="147" t="s">
        <v>1321</v>
      </c>
      <c r="D15" s="143">
        <v>14</v>
      </c>
    </row>
    <row r="16" spans="1:4" x14ac:dyDescent="0.25">
      <c r="A16" s="146">
        <v>43454</v>
      </c>
      <c r="B16" s="147" t="s">
        <v>1231</v>
      </c>
      <c r="C16" s="315" t="s">
        <v>1322</v>
      </c>
      <c r="D16" s="143">
        <v>15</v>
      </c>
    </row>
  </sheetData>
  <pageMargins bottom="0.75" footer="0.3" header="0.3" left="0.7" right="0.7" top="0.75"/>
  <pageSetup orientation="portrait" r:id="rId1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C6:AY12"/>
  <sheetViews>
    <sheetView topLeftCell="AB4" workbookViewId="0">
      <selection activeCell="G16" sqref="G16"/>
    </sheetView>
  </sheetViews>
  <sheetFormatPr customHeight="1" defaultRowHeight="15" x14ac:dyDescent="0.25"/>
  <cols>
    <col min="3" max="3" customWidth="true" width="35.28515625" collapsed="true"/>
    <col min="4" max="4" customWidth="true" width="15.5703125" collapsed="true"/>
    <col min="5" max="5" customWidth="true" width="20.7109375" collapsed="true"/>
    <col min="6" max="6" customWidth="true" width="21.42578125" collapsed="true"/>
    <col min="7" max="7" customWidth="true" width="21.140625" collapsed="true"/>
    <col min="8" max="8" customWidth="true" width="19.140625" collapsed="true"/>
    <col min="12" max="12" customWidth="true" width="15.28515625" collapsed="true"/>
    <col min="18" max="18" customWidth="true" width="22.5703125" collapsed="true"/>
    <col min="19" max="19" customWidth="true" width="10.0" collapsed="true"/>
    <col min="20" max="20" customWidth="true" width="44.7109375" collapsed="true"/>
    <col min="21" max="21" customWidth="true" width="20.5703125" collapsed="true"/>
    <col min="22" max="22" customWidth="true" width="24.7109375" collapsed="true"/>
    <col min="27" max="27" customWidth="true" width="12.7109375" collapsed="true"/>
    <col min="37" max="37" customWidth="true" width="18.5703125" collapsed="true"/>
  </cols>
  <sheetData>
    <row customHeight="1" ht="15" r="6" spans="3:50" x14ac:dyDescent="0.25">
      <c r="C6" s="424" t="s">
        <v>1348</v>
      </c>
    </row>
    <row customHeight="1" ht="15" r="7" spans="3:50" x14ac:dyDescent="0.25">
      <c r="C7" s="435" t="s">
        <v>105</v>
      </c>
      <c r="D7" s="435" t="s">
        <v>103</v>
      </c>
      <c r="E7" s="435" t="s">
        <v>10</v>
      </c>
      <c r="F7" s="435" t="s">
        <v>1170</v>
      </c>
      <c r="G7" s="435" t="s">
        <v>931</v>
      </c>
      <c r="H7" s="435" t="s">
        <v>101</v>
      </c>
      <c r="I7" s="435" t="s">
        <v>153</v>
      </c>
      <c r="J7" s="435" t="s">
        <v>100</v>
      </c>
      <c r="K7" s="435" t="s">
        <v>99</v>
      </c>
      <c r="L7" s="435" t="s">
        <v>97</v>
      </c>
      <c r="M7" s="435" t="s">
        <v>95</v>
      </c>
      <c r="N7" s="435" t="s">
        <v>94</v>
      </c>
      <c r="O7" s="435" t="s">
        <v>154</v>
      </c>
      <c r="P7" s="435" t="s">
        <v>92</v>
      </c>
      <c r="Q7" s="435" t="s">
        <v>91</v>
      </c>
      <c r="R7" s="435" t="s">
        <v>90</v>
      </c>
      <c r="S7" s="435" t="s">
        <v>1204</v>
      </c>
      <c r="T7" s="435" t="s">
        <v>89</v>
      </c>
      <c r="U7" s="435" t="s">
        <v>87</v>
      </c>
      <c r="V7" s="435" t="s">
        <v>86</v>
      </c>
      <c r="W7" s="435" t="s">
        <v>1329</v>
      </c>
      <c r="X7" s="435" t="s">
        <v>84</v>
      </c>
      <c r="Y7" s="435" t="s">
        <v>83</v>
      </c>
      <c r="Z7" s="436" t="s">
        <v>975</v>
      </c>
      <c r="AA7" s="436" t="s">
        <v>976</v>
      </c>
      <c r="AB7" s="436" t="s">
        <v>977</v>
      </c>
      <c r="AC7" s="436" t="s">
        <v>978</v>
      </c>
      <c r="AD7" s="436" t="s">
        <v>979</v>
      </c>
      <c r="AE7" s="436" t="s">
        <v>1085</v>
      </c>
      <c r="AF7" s="436" t="s">
        <v>1086</v>
      </c>
      <c r="AG7" s="436" t="s">
        <v>1087</v>
      </c>
      <c r="AH7" s="436" t="s">
        <v>1091</v>
      </c>
      <c r="AI7" s="436" t="s">
        <v>1092</v>
      </c>
      <c r="AJ7" s="436" t="s">
        <v>1093</v>
      </c>
      <c r="AK7" s="435" t="s">
        <v>266</v>
      </c>
      <c r="AL7" s="435" t="s">
        <v>263</v>
      </c>
      <c r="AM7" s="435" t="s">
        <v>264</v>
      </c>
      <c r="AN7" s="435" t="s">
        <v>265</v>
      </c>
      <c r="AO7" s="435" t="s">
        <v>964</v>
      </c>
      <c r="AP7" s="435" t="s">
        <v>965</v>
      </c>
      <c r="AQ7" s="435" t="s">
        <v>1171</v>
      </c>
      <c r="AR7" s="435" t="s">
        <v>966</v>
      </c>
      <c r="AS7" s="435" t="s">
        <v>967</v>
      </c>
      <c r="AT7" s="435" t="s">
        <v>968</v>
      </c>
      <c r="AU7" s="435" t="s">
        <v>1172</v>
      </c>
      <c r="AV7" s="435" t="s">
        <v>969</v>
      </c>
      <c r="AW7" s="435" t="s">
        <v>970</v>
      </c>
      <c r="AX7" s="435" t="s">
        <v>971</v>
      </c>
    </row>
    <row customHeight="1" ht="15" r="8" spans="3:50" x14ac:dyDescent="0.25">
      <c r="C8" s="437" t="s">
        <v>105</v>
      </c>
      <c r="D8" s="437" t="s">
        <v>103</v>
      </c>
      <c r="E8" s="437" t="s">
        <v>10</v>
      </c>
      <c r="F8" s="437" t="s">
        <v>1170</v>
      </c>
      <c r="G8" s="437" t="s">
        <v>932</v>
      </c>
      <c r="H8" s="437" t="s">
        <v>101</v>
      </c>
      <c r="I8" s="437" t="s">
        <v>153</v>
      </c>
      <c r="J8" s="437" t="s">
        <v>100</v>
      </c>
      <c r="K8" s="437" t="s">
        <v>99</v>
      </c>
      <c r="L8" s="437" t="s">
        <v>97</v>
      </c>
      <c r="M8" s="437" t="s">
        <v>95</v>
      </c>
      <c r="N8" s="437" t="s">
        <v>94</v>
      </c>
      <c r="O8" s="437" t="s">
        <v>154</v>
      </c>
      <c r="P8" s="437" t="s">
        <v>92</v>
      </c>
      <c r="Q8" s="437" t="s">
        <v>91</v>
      </c>
      <c r="R8" s="437" t="s">
        <v>90</v>
      </c>
      <c r="S8" s="437" t="s">
        <v>1204</v>
      </c>
      <c r="T8" s="437" t="s">
        <v>89</v>
      </c>
      <c r="U8" s="437" t="s">
        <v>87</v>
      </c>
      <c r="V8" s="437" t="s">
        <v>86</v>
      </c>
      <c r="W8" s="437" t="s">
        <v>1329</v>
      </c>
      <c r="X8" s="437" t="s">
        <v>84</v>
      </c>
      <c r="Y8" s="437" t="s">
        <v>83</v>
      </c>
      <c r="Z8" s="438" t="s">
        <v>81</v>
      </c>
      <c r="AA8" s="438" t="s">
        <v>79</v>
      </c>
      <c r="AB8" s="438" t="s">
        <v>78</v>
      </c>
      <c r="AC8" s="438" t="s">
        <v>150</v>
      </c>
      <c r="AD8" s="438" t="s">
        <v>77</v>
      </c>
      <c r="AE8" s="438" t="s">
        <v>1085</v>
      </c>
      <c r="AF8" s="438" t="s">
        <v>1086</v>
      </c>
      <c r="AG8" s="438" t="s">
        <v>1087</v>
      </c>
      <c r="AH8" s="438" t="s">
        <v>1091</v>
      </c>
      <c r="AI8" s="438" t="s">
        <v>1092</v>
      </c>
      <c r="AJ8" s="438" t="s">
        <v>1093</v>
      </c>
      <c r="AK8" s="437" t="s">
        <v>54</v>
      </c>
      <c r="AL8" s="437" t="s">
        <v>52</v>
      </c>
      <c r="AM8" s="437" t="s">
        <v>51</v>
      </c>
      <c r="AN8" s="437" t="s">
        <v>50</v>
      </c>
      <c r="AO8" s="437" t="s">
        <v>937</v>
      </c>
      <c r="AP8" s="437" t="s">
        <v>947</v>
      </c>
      <c r="AQ8" s="437" t="s">
        <v>1150</v>
      </c>
      <c r="AR8" s="437" t="s">
        <v>938</v>
      </c>
      <c r="AS8" s="437" t="s">
        <v>945</v>
      </c>
      <c r="AT8" s="437" t="s">
        <v>941</v>
      </c>
      <c r="AU8" s="437" t="s">
        <v>1154</v>
      </c>
      <c r="AV8" s="437" t="s">
        <v>939</v>
      </c>
      <c r="AW8" s="437" t="s">
        <v>944</v>
      </c>
      <c r="AX8" s="437" t="s">
        <v>943</v>
      </c>
    </row>
    <row customHeight="1" ht="15" r="9" spans="3:50" x14ac:dyDescent="0.25">
      <c r="C9" s="425" t="s">
        <v>1323</v>
      </c>
      <c r="D9" s="425" t="s">
        <v>280</v>
      </c>
      <c r="E9" s="426">
        <v>43466</v>
      </c>
      <c r="F9" s="426"/>
      <c r="G9" s="425" t="s">
        <v>1152</v>
      </c>
      <c r="H9" s="425" t="s">
        <v>1001</v>
      </c>
      <c r="I9" s="425" t="s">
        <v>160</v>
      </c>
      <c r="J9" s="425">
        <v>1</v>
      </c>
      <c r="K9" s="425"/>
      <c r="L9" s="425" t="s">
        <v>96</v>
      </c>
      <c r="M9" s="425">
        <v>0</v>
      </c>
      <c r="N9" s="425">
        <v>0</v>
      </c>
      <c r="O9" s="425"/>
      <c r="P9" s="425">
        <v>1</v>
      </c>
      <c r="Q9" s="425" t="s">
        <v>147</v>
      </c>
      <c r="R9" s="427"/>
      <c r="S9" s="427"/>
      <c r="T9" s="428" t="s">
        <v>1004</v>
      </c>
      <c r="U9" s="429"/>
      <c r="V9" s="427"/>
      <c r="W9" s="430"/>
      <c r="X9" s="425">
        <v>7500</v>
      </c>
      <c r="Y9" s="425">
        <v>400</v>
      </c>
      <c r="Z9" s="425" t="s">
        <v>80</v>
      </c>
      <c r="AA9" s="426">
        <v>23816</v>
      </c>
      <c r="AB9" s="425" t="s">
        <v>1142</v>
      </c>
      <c r="AC9" s="425"/>
      <c r="AD9" s="431" t="s">
        <v>272</v>
      </c>
      <c r="AE9" s="425"/>
      <c r="AF9" s="425"/>
      <c r="AG9" s="425"/>
      <c r="AH9" s="431"/>
      <c r="AI9" s="431"/>
      <c r="AJ9" s="431"/>
      <c r="AK9" s="425" t="s">
        <v>1330</v>
      </c>
      <c r="AL9" s="425">
        <v>28</v>
      </c>
      <c r="AM9" s="425">
        <v>19000</v>
      </c>
      <c r="AN9" s="425">
        <v>2</v>
      </c>
      <c r="AO9" s="432" t="s">
        <v>1333</v>
      </c>
      <c r="AP9" s="433">
        <v>245</v>
      </c>
      <c r="AQ9" s="433"/>
      <c r="AR9" s="425"/>
      <c r="AS9" s="426"/>
      <c r="AT9" s="425"/>
      <c r="AU9" s="425"/>
      <c r="AV9" s="425"/>
      <c r="AW9" s="426"/>
      <c r="AX9" s="425"/>
    </row>
    <row customHeight="1" ht="15" r="10" spans="3:50" x14ac:dyDescent="0.25">
      <c r="C10" s="425" t="s">
        <v>1324</v>
      </c>
      <c r="D10" s="425" t="s">
        <v>280</v>
      </c>
      <c r="E10" s="426">
        <v>43466</v>
      </c>
      <c r="F10" s="426"/>
      <c r="G10" s="425" t="s">
        <v>1152</v>
      </c>
      <c r="H10" s="425" t="s">
        <v>1001</v>
      </c>
      <c r="I10" s="425" t="s">
        <v>1038</v>
      </c>
      <c r="J10" s="425">
        <v>1</v>
      </c>
      <c r="K10" s="425"/>
      <c r="L10" s="425" t="s">
        <v>96</v>
      </c>
      <c r="M10" s="425">
        <v>0</v>
      </c>
      <c r="N10" s="425">
        <v>0</v>
      </c>
      <c r="O10" s="425"/>
      <c r="P10" s="425">
        <v>1</v>
      </c>
      <c r="Q10" s="425" t="s">
        <v>147</v>
      </c>
      <c r="R10" s="428"/>
      <c r="S10" s="428"/>
      <c r="T10" s="428"/>
      <c r="U10" s="429" t="s">
        <v>1205</v>
      </c>
      <c r="V10" s="428"/>
      <c r="W10" s="425"/>
      <c r="X10" s="425">
        <v>7500</v>
      </c>
      <c r="Y10" s="425">
        <v>500</v>
      </c>
      <c r="Z10" s="425" t="s">
        <v>80</v>
      </c>
      <c r="AA10" s="426">
        <v>26527</v>
      </c>
      <c r="AB10" s="425" t="s">
        <v>1144</v>
      </c>
      <c r="AC10" s="425"/>
      <c r="AD10" s="431" t="s">
        <v>272</v>
      </c>
      <c r="AE10" s="425"/>
      <c r="AF10" s="425"/>
      <c r="AG10" s="425"/>
      <c r="AH10" s="431"/>
      <c r="AI10" s="431"/>
      <c r="AJ10" s="431"/>
      <c r="AK10" s="425" t="s">
        <v>1331</v>
      </c>
      <c r="AL10" s="425"/>
      <c r="AM10" s="425">
        <v>4400</v>
      </c>
      <c r="AN10" s="425">
        <v>1</v>
      </c>
      <c r="AO10" s="432" t="s">
        <v>1334</v>
      </c>
      <c r="AP10" s="433">
        <v>164</v>
      </c>
      <c r="AQ10" s="433"/>
      <c r="AR10" s="425"/>
      <c r="AS10" s="426"/>
      <c r="AT10" s="425"/>
      <c r="AU10" s="425"/>
      <c r="AV10" s="425"/>
      <c r="AW10" s="426"/>
      <c r="AX10" s="425"/>
    </row>
    <row customHeight="1" ht="15" r="11" spans="3:50" x14ac:dyDescent="0.25">
      <c r="C11" s="425" t="s">
        <v>1325</v>
      </c>
      <c r="D11" s="425" t="s">
        <v>280</v>
      </c>
      <c r="E11" s="426">
        <v>43466</v>
      </c>
      <c r="F11" s="426"/>
      <c r="G11" s="425" t="s">
        <v>1327</v>
      </c>
      <c r="H11" s="425" t="s">
        <v>151</v>
      </c>
      <c r="I11" s="425" t="s">
        <v>1003</v>
      </c>
      <c r="J11" s="425">
        <v>1</v>
      </c>
      <c r="K11" s="425"/>
      <c r="L11" s="425" t="s">
        <v>96</v>
      </c>
      <c r="M11" s="425">
        <v>0</v>
      </c>
      <c r="N11" s="425">
        <v>0</v>
      </c>
      <c r="O11" s="425"/>
      <c r="P11" s="425">
        <v>1</v>
      </c>
      <c r="Q11" s="425" t="s">
        <v>250</v>
      </c>
      <c r="R11" s="425" t="s">
        <v>1006</v>
      </c>
      <c r="S11" s="425">
        <v>1000</v>
      </c>
      <c r="T11" s="434" t="s">
        <v>149</v>
      </c>
      <c r="U11" s="428" t="s">
        <v>162</v>
      </c>
      <c r="V11" s="428" t="s">
        <v>1005</v>
      </c>
      <c r="W11" s="425">
        <v>2000</v>
      </c>
      <c r="X11" s="425">
        <v>2500</v>
      </c>
      <c r="Y11" s="425">
        <v>500</v>
      </c>
      <c r="Z11" s="425" t="s">
        <v>80</v>
      </c>
      <c r="AA11" s="426">
        <v>36355</v>
      </c>
      <c r="AB11" s="425" t="s">
        <v>1144</v>
      </c>
      <c r="AC11" s="425"/>
      <c r="AD11" s="431" t="s">
        <v>272</v>
      </c>
      <c r="AE11" s="425"/>
      <c r="AF11" s="425"/>
      <c r="AG11" s="425"/>
      <c r="AH11" s="431"/>
      <c r="AI11" s="431"/>
      <c r="AJ11" s="431"/>
      <c r="AK11" s="425" t="s">
        <v>1332</v>
      </c>
      <c r="AL11" s="425">
        <v>26</v>
      </c>
      <c r="AM11" s="425">
        <v>17600</v>
      </c>
      <c r="AN11" s="425">
        <v>2</v>
      </c>
      <c r="AO11" s="432" t="s">
        <v>1335</v>
      </c>
      <c r="AP11" s="433">
        <v>80</v>
      </c>
      <c r="AQ11" s="433"/>
      <c r="AR11" s="425"/>
      <c r="AS11" s="426"/>
      <c r="AT11" s="425"/>
      <c r="AU11" s="425"/>
      <c r="AV11" s="425"/>
      <c r="AW11" s="426"/>
      <c r="AX11" s="425"/>
    </row>
    <row customHeight="1" ht="15" r="12" spans="3:50" x14ac:dyDescent="0.25">
      <c r="C12" s="425" t="s">
        <v>1326</v>
      </c>
      <c r="D12" s="425" t="s">
        <v>280</v>
      </c>
      <c r="E12" s="426">
        <v>43466</v>
      </c>
      <c r="F12" s="426"/>
      <c r="G12" s="425" t="s">
        <v>1328</v>
      </c>
      <c r="H12" s="425" t="s">
        <v>151</v>
      </c>
      <c r="I12" s="425" t="s">
        <v>1003</v>
      </c>
      <c r="J12" s="425">
        <v>1</v>
      </c>
      <c r="K12" s="425"/>
      <c r="L12" s="425" t="s">
        <v>249</v>
      </c>
      <c r="M12" s="425">
        <v>1692.86</v>
      </c>
      <c r="N12" s="425">
        <v>1692.86</v>
      </c>
      <c r="O12" s="425"/>
      <c r="P12" s="425">
        <v>1</v>
      </c>
      <c r="Q12" s="425" t="s">
        <v>250</v>
      </c>
      <c r="R12" s="425" t="s">
        <v>1006</v>
      </c>
      <c r="S12" s="425">
        <v>1000</v>
      </c>
      <c r="T12" s="434" t="s">
        <v>149</v>
      </c>
      <c r="U12" s="428" t="s">
        <v>162</v>
      </c>
      <c r="V12" s="428" t="s">
        <v>1005</v>
      </c>
      <c r="W12" s="425">
        <v>2000</v>
      </c>
      <c r="X12" s="425">
        <v>2500</v>
      </c>
      <c r="Y12" s="425">
        <v>500</v>
      </c>
      <c r="Z12" s="425" t="s">
        <v>80</v>
      </c>
      <c r="AA12" s="426">
        <v>36355</v>
      </c>
      <c r="AB12" s="425" t="s">
        <v>1144</v>
      </c>
      <c r="AC12" s="425"/>
      <c r="AD12" s="431" t="s">
        <v>272</v>
      </c>
      <c r="AE12" s="425"/>
      <c r="AF12" s="425"/>
      <c r="AG12" s="425"/>
      <c r="AH12" s="431"/>
      <c r="AI12" s="431"/>
      <c r="AJ12" s="431"/>
      <c r="AK12" s="425" t="s">
        <v>1332</v>
      </c>
      <c r="AL12" s="425">
        <v>26</v>
      </c>
      <c r="AM12" s="425">
        <v>17600</v>
      </c>
      <c r="AN12" s="425">
        <v>2</v>
      </c>
      <c r="AO12" s="432" t="s">
        <v>1335</v>
      </c>
      <c r="AP12" s="433">
        <v>80</v>
      </c>
      <c r="AQ12" s="433"/>
      <c r="AR12" s="425"/>
      <c r="AS12" s="426"/>
      <c r="AT12" s="425"/>
      <c r="AU12" s="425"/>
      <c r="AV12" s="425"/>
      <c r="AW12" s="426"/>
      <c r="AX12" s="425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C4:J12"/>
  <sheetViews>
    <sheetView workbookViewId="0">
      <selection activeCell="H19" sqref="H19"/>
    </sheetView>
  </sheetViews>
  <sheetFormatPr defaultRowHeight="15" x14ac:dyDescent="0.25"/>
  <cols>
    <col min="3" max="3" customWidth="true" width="28.140625" collapsed="true"/>
    <col min="4" max="4" customWidth="true" width="19.85546875" collapsed="true"/>
    <col min="5" max="5" customWidth="true" width="20.5703125" collapsed="true"/>
    <col min="6" max="6" customWidth="true" width="25.5703125" collapsed="true"/>
    <col min="7" max="7" customWidth="true" width="16.85546875" collapsed="true"/>
    <col min="8" max="8" customWidth="true" width="28.28515625" collapsed="true"/>
    <col min="9" max="9" customWidth="true" width="22.7109375" collapsed="true"/>
  </cols>
  <sheetData>
    <row r="4" spans="3:9" x14ac:dyDescent="0.25">
      <c r="C4" s="57" t="s">
        <v>1349</v>
      </c>
      <c r="D4" s="57"/>
      <c r="E4" s="57"/>
      <c r="F4" s="58"/>
      <c r="G4" s="58"/>
      <c r="H4" s="158"/>
      <c r="I4" s="158"/>
    </row>
    <row r="5" spans="3:9" x14ac:dyDescent="0.25">
      <c r="C5" s="60" t="s">
        <v>3</v>
      </c>
      <c r="D5" s="60" t="s">
        <v>6</v>
      </c>
      <c r="E5" s="60">
        <v>4</v>
      </c>
      <c r="F5" s="60"/>
      <c r="G5" s="60"/>
      <c r="H5" s="60"/>
      <c r="I5" s="158"/>
    </row>
    <row r="6" spans="3:9" x14ac:dyDescent="0.25">
      <c r="C6" s="159" t="s">
        <v>1</v>
      </c>
      <c r="D6" s="159" t="s">
        <v>1098</v>
      </c>
      <c r="E6" s="159" t="s">
        <v>1343</v>
      </c>
      <c r="F6" s="159" t="s">
        <v>1245</v>
      </c>
      <c r="G6" s="159" t="s">
        <v>1234</v>
      </c>
      <c r="H6" s="159" t="s">
        <v>1235</v>
      </c>
      <c r="I6" s="159" t="s">
        <v>1208</v>
      </c>
    </row>
    <row r="7" spans="3:9" x14ac:dyDescent="0.25">
      <c r="C7" s="63" t="s">
        <v>1350</v>
      </c>
      <c r="D7" s="63"/>
      <c r="E7" s="158"/>
      <c r="F7" s="63"/>
      <c r="G7" s="63"/>
      <c r="H7" s="63"/>
      <c r="I7" s="63"/>
    </row>
    <row customHeight="1" ht="16.5" r="8" spans="3:9" x14ac:dyDescent="0.25">
      <c r="C8" s="160" t="s">
        <v>2</v>
      </c>
      <c r="D8" s="160" t="s">
        <v>1099</v>
      </c>
      <c r="E8" s="80" t="s">
        <v>1344</v>
      </c>
      <c r="F8" s="160" t="s">
        <v>1345</v>
      </c>
      <c r="G8" s="47" t="s">
        <v>1236</v>
      </c>
      <c r="H8" s="47" t="s">
        <v>1237</v>
      </c>
      <c r="I8" s="47" t="s">
        <v>1238</v>
      </c>
    </row>
    <row r="9" spans="3:9" x14ac:dyDescent="0.25">
      <c r="C9" s="417" t="s">
        <v>1323</v>
      </c>
      <c r="D9" s="420" t="s">
        <v>160</v>
      </c>
      <c r="E9" s="296">
        <v>43101</v>
      </c>
      <c r="F9" s="296">
        <v>43101</v>
      </c>
      <c r="G9" s="416" t="s">
        <v>285</v>
      </c>
      <c r="H9" s="416" t="s">
        <v>285</v>
      </c>
      <c r="I9" s="416" t="s">
        <v>285</v>
      </c>
    </row>
    <row r="10" spans="3:9" x14ac:dyDescent="0.25">
      <c r="C10" s="417" t="s">
        <v>1324</v>
      </c>
      <c r="D10" s="420" t="s">
        <v>1038</v>
      </c>
      <c r="E10" s="296">
        <v>43101</v>
      </c>
      <c r="F10" s="296">
        <v>43101</v>
      </c>
      <c r="G10" s="416" t="s">
        <v>1377</v>
      </c>
      <c r="H10" s="416" t="s">
        <v>285</v>
      </c>
      <c r="I10" s="416" t="s">
        <v>1377</v>
      </c>
    </row>
    <row r="11" spans="3:9" x14ac:dyDescent="0.25">
      <c r="C11" s="417" t="s">
        <v>1325</v>
      </c>
      <c r="D11" s="420" t="s">
        <v>1003</v>
      </c>
      <c r="E11" s="296">
        <v>43101</v>
      </c>
      <c r="F11" s="296">
        <v>43101</v>
      </c>
      <c r="G11" s="416" t="s">
        <v>1378</v>
      </c>
      <c r="H11" s="416" t="s">
        <v>1342</v>
      </c>
      <c r="I11" s="416" t="s">
        <v>1379</v>
      </c>
    </row>
    <row r="12" spans="3:9" x14ac:dyDescent="0.25">
      <c r="C12" s="418" t="s">
        <v>1326</v>
      </c>
      <c r="D12" s="421" t="s">
        <v>1003</v>
      </c>
      <c r="E12" s="297">
        <v>43101</v>
      </c>
      <c r="F12" s="297">
        <v>43101</v>
      </c>
      <c r="G12" s="419" t="s">
        <v>1378</v>
      </c>
      <c r="H12" s="419" t="s">
        <v>1342</v>
      </c>
      <c r="I12" s="419" t="s">
        <v>1379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Test Table</vt:lpstr>
      <vt:lpstr>Variations Tests</vt:lpstr>
      <vt:lpstr>Tests</vt:lpstr>
      <vt:lpstr>Run tables</vt:lpstr>
      <vt:lpstr>Environment</vt:lpstr>
      <vt:lpstr>21 data set</vt:lpstr>
      <vt:lpstr>SIT test</vt:lpstr>
      <vt:lpstr>Hist</vt:lpstr>
      <vt:lpstr>SIT2 inputs</vt:lpstr>
      <vt:lpstr>SIT2 outputs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2018-02-01T12:49:21Z</dcterms:created>
  <dc:creator>Yanina Sanko</dc:creator>
  <cp:lastModifiedBy>Maryia Kobets</cp:lastModifiedBy>
  <dcterms:modified xsi:type="dcterms:W3CDTF">2019-02-05T00:26:16Z</dcterms:modified>
</cp:coreProperties>
</file>