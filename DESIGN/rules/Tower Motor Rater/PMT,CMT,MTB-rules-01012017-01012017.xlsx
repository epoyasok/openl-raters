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0490" windowHeight="7590" tabRatio="868" firstSheet="2" activeTab="11"/>
  </bookViews>
  <sheets>
    <sheet name="Algorithm" sheetId="5" r:id="rId1"/>
    <sheet name="Interpolation - AgeGender" sheetId="4" r:id="rId2"/>
    <sheet name="Excess" sheetId="13" r:id="rId3"/>
    <sheet name="Interpolation - SumInsured" sheetId="9" r:id="rId4"/>
    <sheet name="Interpolation - NCD" sheetId="21" r:id="rId5"/>
    <sheet name="Factors" sheetId="6" r:id="rId6"/>
    <sheet name="Multiplicative rules" sheetId="7" r:id="rId7"/>
    <sheet name="Additive rules" sheetId="3" r:id="rId8"/>
    <sheet name="Adjustments" sheetId="12" r:id="rId9"/>
    <sheet name="Accessory" sheetId="11" r:id="rId10"/>
    <sheet name="CapCup" sheetId="23" r:id="rId11"/>
    <sheet name="Taxes and Fees" sheetId="26" r:id="rId12"/>
    <sheet name="Discounts" sheetId="20" r:id="rId13"/>
    <sheet name="Plan-&gt;Component" sheetId="8" state="hidden" r:id="rId14"/>
    <sheet name="Policy+DXP Variations" sheetId="25" r:id="rId15"/>
    <sheet name="Environment" sheetId="10" r:id="rId16"/>
    <sheet name="Hist" sheetId="18" r:id="rId17"/>
  </sheets>
  <externalReferences>
    <externalReference r:id="rId18"/>
  </externalReferences>
  <definedNames>
    <definedName name="AuthorisedDriversMotor">'[1]List Data Motor'!$Y$5:$Y$7</definedName>
    <definedName name="PaymentFrequencyMotor">'[1]List Data Motor'!$W$5:$W$8</definedName>
    <definedName name="PostCodeMotor">'[1]Modifiers Motor'!$BL$5:$BL$1067</definedName>
  </definedNames>
  <calcPr calcId="145621"/>
</workbook>
</file>

<file path=xl/calcChain.xml><?xml version="1.0" encoding="utf-8"?>
<calcChain xmlns="http://schemas.openxmlformats.org/spreadsheetml/2006/main">
  <c r="L62" i="4" l="1"/>
  <c r="K62" i="4"/>
  <c r="G62" i="4"/>
  <c r="H62" i="4" s="1"/>
  <c r="D69" i="4" l="1"/>
</calcChain>
</file>

<file path=xl/comments1.xml><?xml version="1.0" encoding="utf-8"?>
<comments xmlns="http://schemas.openxmlformats.org/spreadsheetml/2006/main">
  <authors>
    <author>Maryia Kobets</author>
  </authors>
  <commentList>
    <comment ref="C29" authorId="0">
      <text>
        <r>
          <rPr>
            <sz val="9"/>
            <color indexed="81"/>
            <rFont val="Tahoma"/>
            <family val="2"/>
          </rPr>
          <t xml:space="preserve">Multiplicative base, 
Sum insured factor, 
Age-gender factor, Multiplicative rules
</t>
        </r>
      </text>
    </comment>
    <comment ref="C32" authorId="0">
      <text>
        <r>
          <rPr>
            <sz val="9"/>
            <color indexed="81"/>
            <rFont val="Tahoma"/>
            <family val="2"/>
          </rPr>
          <t>VehicleGlassFactor, TrailerFactor, RentalVehicleFactor</t>
        </r>
      </text>
    </comment>
  </commentList>
</comments>
</file>

<file path=xl/sharedStrings.xml><?xml version="1.0" encoding="utf-8"?>
<sst xmlns="http://schemas.openxmlformats.org/spreadsheetml/2006/main" count="1856" uniqueCount="1287">
  <si>
    <t>Environment</t>
  </si>
  <si>
    <t>dependency</t>
  </si>
  <si>
    <t>Third Party Only</t>
  </si>
  <si>
    <t>Comprehensive</t>
  </si>
  <si>
    <t>Step</t>
  </si>
  <si>
    <t>Formula</t>
  </si>
  <si>
    <t>Policy</t>
  </si>
  <si>
    <t>= PolicyID</t>
  </si>
  <si>
    <t>MultiplicativeBase</t>
  </si>
  <si>
    <t>AgeGenderFactor</t>
  </si>
  <si>
    <t>SumInsuredFactor</t>
  </si>
  <si>
    <t>Coverage Name</t>
  </si>
  <si>
    <t>Base</t>
  </si>
  <si>
    <t>Fire and Theft</t>
  </si>
  <si>
    <t>C1</t>
  </si>
  <si>
    <t>C2</t>
  </si>
  <si>
    <t>RET1</t>
  </si>
  <si>
    <t>Age From</t>
  </si>
  <si>
    <t>Age To</t>
  </si>
  <si>
    <t>HC1</t>
  </si>
  <si>
    <t>HC2</t>
  </si>
  <si>
    <t>gender</t>
  </si>
  <si>
    <t>Gender</t>
  </si>
  <si>
    <t>Double</t>
  </si>
  <si>
    <t>RETURN</t>
  </si>
  <si>
    <t>InitialCall</t>
  </si>
  <si>
    <t>= $InitialCall.factor</t>
  </si>
  <si>
    <t>InterpolationFactor</t>
  </si>
  <si>
    <t>Integer minAge</t>
  </si>
  <si>
    <t>Integer maxAge</t>
  </si>
  <si>
    <t>floorValue</t>
  </si>
  <si>
    <t>Double factor</t>
  </si>
  <si>
    <t>FloorFactor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</si>
  <si>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</si>
  <si>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</si>
  <si>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</si>
  <si>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</si>
  <si>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</si>
  <si>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</si>
  <si>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</si>
  <si>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</si>
  <si>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</si>
  <si>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</si>
  <si>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</si>
  <si>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</si>
  <si>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34-35</t>
  </si>
  <si>
    <t>36-37</t>
  </si>
  <si>
    <t>38-39</t>
  </si>
  <si>
    <t>40-41</t>
  </si>
  <si>
    <t>42-43</t>
  </si>
  <si>
    <t>44-45</t>
  </si>
  <si>
    <t>46-47</t>
  </si>
  <si>
    <t>48-49</t>
  </si>
  <si>
    <t>50-51</t>
  </si>
  <si>
    <t>52-53</t>
  </si>
  <si>
    <t>54-55</t>
  </si>
  <si>
    <t>56-57</t>
  </si>
  <si>
    <t>58-59</t>
  </si>
  <si>
    <t xml:space="preserve">CarGroup </t>
  </si>
  <si>
    <t>Region</t>
  </si>
  <si>
    <t>Factor</t>
  </si>
  <si>
    <t>Plan Name</t>
  </si>
  <si>
    <t>AMA</t>
  </si>
  <si>
    <t>C3</t>
  </si>
  <si>
    <t>planName</t>
  </si>
  <si>
    <t>PlanName</t>
  </si>
  <si>
    <t>Exclude Under 25s?</t>
  </si>
  <si>
    <t>Yes</t>
  </si>
  <si>
    <t>No</t>
  </si>
  <si>
    <t>Parking type</t>
  </si>
  <si>
    <t>AMG</t>
  </si>
  <si>
    <t>License Years</t>
  </si>
  <si>
    <t>CarGroupFactor</t>
  </si>
  <si>
    <t>RegionFactor</t>
  </si>
  <si>
    <t>CoverTypeFactor</t>
  </si>
  <si>
    <t>ExcludeUnder25sFactor</t>
  </si>
  <si>
    <t xml:space="preserve">ParkingTypeFactor </t>
  </si>
  <si>
    <t>Third party cover</t>
  </si>
  <si>
    <t>Fire and theft cover</t>
  </si>
  <si>
    <t>AMB</t>
  </si>
  <si>
    <t>AMS</t>
  </si>
  <si>
    <t>+</t>
  </si>
  <si>
    <t>AMA : Car Comprehensive agreed value</t>
  </si>
  <si>
    <t>AMB : Car Third party only</t>
  </si>
  <si>
    <t>AMG : Car Comprehensive market value</t>
  </si>
  <si>
    <t>AMS : Car Third party fire &amp; theft</t>
  </si>
  <si>
    <t>Plan/Cover</t>
  </si>
  <si>
    <t>SumInsured</t>
  </si>
  <si>
    <t>= vehicleValue * sumInsuredPercent</t>
  </si>
  <si>
    <t>Sum Insured From</t>
  </si>
  <si>
    <t>Sum Insured To</t>
  </si>
  <si>
    <t>coverageName</t>
  </si>
  <si>
    <t>CoverageName</t>
  </si>
  <si>
    <t>ComponentFacror</t>
  </si>
  <si>
    <t>PercentOfUse</t>
  </si>
  <si>
    <t>Premium</t>
  </si>
  <si>
    <t>Accessory</t>
  </si>
  <si>
    <t>AdjustedBaseRate</t>
  </si>
  <si>
    <t>MultiplicativeRules</t>
  </si>
  <si>
    <t>= product ( $MultiplicativeBase:$MultiplicativeRules )</t>
  </si>
  <si>
    <t>AdditiveComponents</t>
  </si>
  <si>
    <t xml:space="preserve">UndiscountedPremiumBeforeAdjustments </t>
  </si>
  <si>
    <t>DaysSinceBaseDate</t>
  </si>
  <si>
    <t>Inflation factor</t>
  </si>
  <si>
    <t>= max ( 1,  pow ( 1 + 0.035, $DaysSinceBaseDate/365) )</t>
  </si>
  <si>
    <t>Payment Frequency</t>
  </si>
  <si>
    <t xml:space="preserve">PaymentFrequencyFactor </t>
  </si>
  <si>
    <t>Agent adjustment</t>
  </si>
  <si>
    <t>AgentAdjustment</t>
  </si>
  <si>
    <t>Agent</t>
  </si>
  <si>
    <t>Marketing factor</t>
  </si>
  <si>
    <t>MarketingFactor</t>
  </si>
  <si>
    <t>OptimisationFactor</t>
  </si>
  <si>
    <t>CeilingFactor</t>
  </si>
  <si>
    <t>= ( 1 - $InterpolationFactor ) * $FloorFactor + $InterpolationFactor * $CeilingFactor</t>
  </si>
  <si>
    <t>ceilingValue</t>
  </si>
  <si>
    <t>= ( $SumInsured - $floorValue ) / ( $ceilingValue - $floorValue )</t>
  </si>
  <si>
    <t>Comprehensive cover</t>
  </si>
  <si>
    <t>Comprehensive cover/
Own damage cover</t>
  </si>
  <si>
    <t>Rating steps</t>
  </si>
  <si>
    <t>Multiplicative base</t>
  </si>
  <si>
    <t>Age-gender factor</t>
  </si>
  <si>
    <t>Multiplicative rules</t>
  </si>
  <si>
    <t>Sum insured factor</t>
  </si>
  <si>
    <t>Additive components of cover</t>
  </si>
  <si>
    <t>Accessories</t>
  </si>
  <si>
    <t>Undiscounted premium before further adjustments</t>
  </si>
  <si>
    <t>Optimisation factor</t>
  </si>
  <si>
    <t>Excess factor</t>
  </si>
  <si>
    <t>NCB factor</t>
  </si>
  <si>
    <t>Payment frequency factor</t>
  </si>
  <si>
    <t>Undiscounted company premium</t>
  </si>
  <si>
    <t>FSL</t>
  </si>
  <si>
    <t>GST</t>
  </si>
  <si>
    <t>Undiscounted customer premium</t>
  </si>
  <si>
    <t>Promotional discount</t>
  </si>
  <si>
    <t>Package discount</t>
  </si>
  <si>
    <t>Total discount amount</t>
  </si>
  <si>
    <t>Discounted customer premium</t>
  </si>
  <si>
    <t>4 = 1 + 2 + 3</t>
  </si>
  <si>
    <t>6 = 4 * 5</t>
  </si>
  <si>
    <t>9 = 6 + 7 + 8</t>
  </si>
  <si>
    <t>11 = 9 -10</t>
  </si>
  <si>
    <t>Sum Insured</t>
  </si>
  <si>
    <t>floorValueSumInsured</t>
  </si>
  <si>
    <t>ceilingValueSumInsured</t>
  </si>
  <si>
    <t>SI1_E1</t>
  </si>
  <si>
    <t>SI2_E1</t>
  </si>
  <si>
    <t>SI1_E2</t>
  </si>
  <si>
    <t>SI2_E2</t>
  </si>
  <si>
    <t>floorValueExcess</t>
  </si>
  <si>
    <t>ceilingValueExcess</t>
  </si>
  <si>
    <t>SIInterpolationFactor</t>
  </si>
  <si>
    <t>ExcessIInterpolationFactor</t>
  </si>
  <si>
    <t>= ( sumInsured - $floorValueSumInsured ) / ( $ceilingValueSumInsured - $floorValueSumInsured )</t>
  </si>
  <si>
    <t>= ( excess - $floorValueExcess ) / ( $ceilingValueExcess - $floorValueExcess )</t>
  </si>
  <si>
    <t>SI_E1</t>
  </si>
  <si>
    <t>SI_E2</t>
  </si>
  <si>
    <t>= $SI1_E2 * ( 1 - $SIInterpolationFactor ) + $SI2_E2 * $SIInterpolationFactor</t>
  </si>
  <si>
    <t>= $SI1_E1 * ( 1 - $SIInterpolationFactor ) + $SI2_E1 * $SIInterpolationFactor</t>
  </si>
  <si>
    <t>= 1 - ( $SI_E1 * ( 1 - $ExcessIInterpolationFactor ) + $SI_E2 * $ExcessIInterpolationFactor )</t>
  </si>
  <si>
    <t>sumInsured &gt;= floorSumInsured</t>
  </si>
  <si>
    <t>excess &gt;= floorExcess</t>
  </si>
  <si>
    <t>excess &lt; ceilingExcess</t>
  </si>
  <si>
    <t>sumInsured &lt; ceilingSumInsured</t>
  </si>
  <si>
    <t>Double ceilingSumInsured</t>
  </si>
  <si>
    <t>Double floorSumInsured</t>
  </si>
  <si>
    <t>Double minSumInsured</t>
  </si>
  <si>
    <t>Double maxSumInsured</t>
  </si>
  <si>
    <t>Integer floorExcess</t>
  </si>
  <si>
    <t>Integer ceilingExcess</t>
  </si>
  <si>
    <t>= $InitialCall.floorValue1</t>
  </si>
  <si>
    <t>= $InitialCall.ceilingValue1</t>
  </si>
  <si>
    <t>= $InitialCall.floorValue2</t>
  </si>
  <si>
    <t>= $InitialCall.ceilingValue2</t>
  </si>
  <si>
    <t>= getValues ( AMACompNames )</t>
  </si>
  <si>
    <t>Return List</t>
  </si>
  <si>
    <t>= getValues ( AMBCompNames )</t>
  </si>
  <si>
    <t>= getValues ( AMGCompNames )</t>
  </si>
  <si>
    <t>= getValues ( AMSCompNames )</t>
  </si>
  <si>
    <t>= CoverList ( planName )</t>
  </si>
  <si>
    <t>ListOfPremiumComponents</t>
  </si>
  <si>
    <t>ComponentsPremium</t>
  </si>
  <si>
    <t>currentAge</t>
  </si>
  <si>
    <t>= yearDiff ( policyEffectiveDate , driverDateOfBirth )</t>
  </si>
  <si>
    <r>
      <t xml:space="preserve">SimpleRules Double </t>
    </r>
    <r>
      <rPr>
        <b/>
        <sz val="11"/>
        <rFont val="Franklin Gothic Book"/>
        <family val="2"/>
      </rPr>
      <t>PaymentFrequencyFactor</t>
    </r>
    <r>
      <rPr>
        <sz val="10"/>
        <color theme="0" tint="-0.499984740745262"/>
        <rFont val="Franklin Gothic Book"/>
        <family val="2"/>
      </rPr>
      <t xml:space="preserve"> ( PaymentPlan paymentPlan )</t>
    </r>
  </si>
  <si>
    <t>sumInsured &gt;= minSumInsured</t>
  </si>
  <si>
    <t>sumInsured &lt; maxSumInsured</t>
  </si>
  <si>
    <t>new InterpolationFactor ( null, null, $C1.minAge, $C2.maxAge, factor  )</t>
  </si>
  <si>
    <t>new InterpolationFactor ( $C1.minSumInsured, $C2.maxSumInsured, null, null, factor  )</t>
  </si>
  <si>
    <t>new InterpolationFactor ($C1.floorSumInsured, $C2.ceilingSumInsured, $HC1.floorExcess, $HC2.ceilingExcess, factor)</t>
  </si>
  <si>
    <t>= PaymentFrequencyFactor ( paymentPlan )</t>
  </si>
  <si>
    <t>&gt;1.08</t>
  </si>
  <si>
    <t>Sum Insured % From To</t>
  </si>
  <si>
    <t>(1 .. 1.02]</t>
  </si>
  <si>
    <t>(1.02 .. 1.04]</t>
  </si>
  <si>
    <t>(1.04 .. 1.06]</t>
  </si>
  <si>
    <t>(1.06 .. 1.08]</t>
  </si>
  <si>
    <t>0 - 4</t>
  </si>
  <si>
    <t>5 - 9</t>
  </si>
  <si>
    <t>10 -19</t>
  </si>
  <si>
    <t>20 - 29</t>
  </si>
  <si>
    <t>30 - 39</t>
  </si>
  <si>
    <t>40 - 49</t>
  </si>
  <si>
    <t>50 - 59</t>
  </si>
  <si>
    <t>60 - 69</t>
  </si>
  <si>
    <t>70 - 79</t>
  </si>
  <si>
    <t>80 - 89</t>
  </si>
  <si>
    <t>90 - 94</t>
  </si>
  <si>
    <t>95 - 99</t>
  </si>
  <si>
    <t>Car Perturbation Bucket</t>
  </si>
  <si>
    <t>Duration</t>
  </si>
  <si>
    <t xml:space="preserve">NCBFactor </t>
  </si>
  <si>
    <t>date</t>
  </si>
  <si>
    <t>who</t>
  </si>
  <si>
    <t>description</t>
  </si>
  <si>
    <t>version</t>
  </si>
  <si>
    <t>current status</t>
  </si>
  <si>
    <t>UndiscountedCompanyPremium</t>
  </si>
  <si>
    <t>Payment Frequency Factor</t>
  </si>
  <si>
    <t>Adjusted Company Premium</t>
  </si>
  <si>
    <t>Multiplicative rules (3 covers) + bug fixing</t>
  </si>
  <si>
    <t>InflationFactor</t>
  </si>
  <si>
    <r>
      <t xml:space="preserve">Spreadsheet Double </t>
    </r>
    <r>
      <rPr>
        <b/>
        <sz val="11"/>
        <rFont val="Franklin Gothic Book"/>
        <family val="2"/>
      </rPr>
      <t>InflationFactor</t>
    </r>
    <r>
      <rPr>
        <sz val="10"/>
        <color theme="0" tint="-0.499984740745262"/>
        <rFont val="Franklin Gothic Book"/>
        <family val="2"/>
      </rPr>
      <t xml:space="preserve"> ( Date policyEffectiveDate )</t>
    </r>
  </si>
  <si>
    <t>ExcessFactor</t>
  </si>
  <si>
    <t>= InflationFactor ( policyEffectiveDate )</t>
  </si>
  <si>
    <t>DetermineVehiclePremium fix</t>
  </si>
  <si>
    <t>&lt;= 1</t>
  </si>
  <si>
    <t xml:space="preserve"> 8+</t>
  </si>
  <si>
    <t>Tuning</t>
  </si>
  <si>
    <t>Boolean</t>
  </si>
  <si>
    <t>IntRange</t>
  </si>
  <si>
    <t>0 - 1</t>
  </si>
  <si>
    <t>2 - 3</t>
  </si>
  <si>
    <r>
      <rPr>
        <sz val="10"/>
        <color theme="0" tint="-0.34998626667073579"/>
        <rFont val="Franklin Gothic Book"/>
        <family val="2"/>
      </rPr>
      <t>SimpleRules Double</t>
    </r>
    <r>
      <rPr>
        <b/>
        <sz val="10"/>
        <rFont val="Franklin Gothic Book"/>
        <family val="2"/>
      </rPr>
      <t xml:space="preserve"> CoverTypeFactor</t>
    </r>
    <r>
      <rPr>
        <sz val="10"/>
        <color theme="0" tint="-0.34998626667073579"/>
        <rFont val="Franklin Gothic Book"/>
        <family val="2"/>
      </rPr>
      <t xml:space="preserve"> ( PlanName planName, Double sumInsuredPercent, CoverageName coverageName )</t>
    </r>
  </si>
  <si>
    <t>= CoverTypeFactor ( planName, sumInsuredPercent, coverageName )</t>
  </si>
  <si>
    <t>PerturbationFactor</t>
  </si>
  <si>
    <t>DistanceFactor</t>
  </si>
  <si>
    <t>currentAge &lt; maxAge</t>
  </si>
  <si>
    <t xml:space="preserve">currentAge &gt;= minAge </t>
  </si>
  <si>
    <t>Merge with Masha</t>
  </si>
  <si>
    <t>DurationFactor</t>
  </si>
  <si>
    <t>MultiplicativeBase updated for Comprehensive</t>
  </si>
  <si>
    <t>Duration_DWI</t>
  </si>
  <si>
    <t>= DistanceFactor ( distanceDriven, coverageName )</t>
  </si>
  <si>
    <t>Maria</t>
  </si>
  <si>
    <t xml:space="preserve">Added complex output </t>
  </si>
  <si>
    <t>= round ( product ( $UndiscountedPremiumBeforeAdjustments:$PaymentFrequencyFactor) , 2)</t>
  </si>
  <si>
    <t xml:space="preserve">added default Underwriting Price Adjuster </t>
  </si>
  <si>
    <t xml:space="preserve">= dayDiff ( policyEffectiveDate, toDate ("6/20/2019") ) </t>
  </si>
  <si>
    <t>Inflation Base date defaulted to 6/20/2019</t>
  </si>
  <si>
    <t>PolicyPremium</t>
  </si>
  <si>
    <t>PolicyPremium extended for testing</t>
  </si>
  <si>
    <t>Agent Adjustment lookup + / 100</t>
  </si>
  <si>
    <t>Calc</t>
  </si>
  <si>
    <t>var</t>
  </si>
  <si>
    <t>String</t>
  </si>
  <si>
    <t>Add Variations; update the body of DeterminePolicyPremium</t>
  </si>
  <si>
    <t xml:space="preserve">add monthly pemium </t>
  </si>
  <si>
    <t>Vyacheslav</t>
  </si>
  <si>
    <t>add cup/cap</t>
  </si>
  <si>
    <t>UndiscountedCustomerPremium</t>
  </si>
  <si>
    <t>PackageDiscount</t>
  </si>
  <si>
    <t>PackageDiscountAmount</t>
  </si>
  <si>
    <t>TotalDiscountAmount</t>
  </si>
  <si>
    <t>= round ( $UndiscountedCustomerPremium - $TotalDiscountAmount, 2 )</t>
  </si>
  <si>
    <t xml:space="preserve">PreviousAnnualisedCustomerPremium </t>
  </si>
  <si>
    <t>PreviousDeltaAmount</t>
  </si>
  <si>
    <t>PreviousDeltaPercent</t>
  </si>
  <si>
    <t>PremDeltaMinAmount</t>
  </si>
  <si>
    <t>PremDeltaMaxAmount</t>
  </si>
  <si>
    <t>DeltaAdjustmentMinAmount</t>
  </si>
  <si>
    <t>DeltaAdjustmentMaxAmount</t>
  </si>
  <si>
    <t>DeltaAdjustment</t>
  </si>
  <si>
    <t>PrevUndiscountedCustomerPremium</t>
  </si>
  <si>
    <t>NewUndiscountedPremium</t>
  </si>
  <si>
    <t>CapCup</t>
  </si>
  <si>
    <r>
      <rPr>
        <sz val="10"/>
        <color theme="0" tint="-0.34998626667073579"/>
        <rFont val="Franklin Gothic Book"/>
        <family val="2"/>
      </rPr>
      <t>SimpleLookup Double</t>
    </r>
    <r>
      <rPr>
        <b/>
        <sz val="10"/>
        <rFont val="Franklin Gothic Book"/>
        <family val="2"/>
      </rPr>
      <t xml:space="preserve"> CupCapAdj</t>
    </r>
    <r>
      <rPr>
        <sz val="10"/>
        <color theme="0" tint="-0.34998626667073579"/>
        <rFont val="Franklin Gothic Book"/>
        <family val="2"/>
      </rPr>
      <t xml:space="preserve"> ( double exp_Prem_DDIFF, double exp_Prem_PDIFF, String type )</t>
    </r>
  </si>
  <si>
    <t>EXP_PREM_DDIFF from to</t>
  </si>
  <si>
    <t>EXP_PREM_PDIFF from to</t>
  </si>
  <si>
    <t>DiffMin</t>
  </si>
  <si>
    <t>DiffMax</t>
  </si>
  <si>
    <t>TargetMin</t>
  </si>
  <si>
    <t>TargetMax</t>
  </si>
  <si>
    <t>&lt;=  -750</t>
  </si>
  <si>
    <t>[ 0 .. 10 )</t>
  </si>
  <si>
    <t>( -750 .. -500 ]</t>
  </si>
  <si>
    <t>( -500  .. -200 ]</t>
  </si>
  <si>
    <t>( -200 .. -31 ]</t>
  </si>
  <si>
    <t>( -31 .. -10 ]</t>
  </si>
  <si>
    <t>( -10  .. 25 )</t>
  </si>
  <si>
    <t>[ 25 .. 200 )</t>
  </si>
  <si>
    <t>[ 200 .. 500 )</t>
  </si>
  <si>
    <t>[ 500 .. 750 )</t>
  </si>
  <si>
    <t>750+</t>
  </si>
  <si>
    <t>[ 10 .. 50 )</t>
  </si>
  <si>
    <t>[ 50 .. 100 )</t>
  </si>
  <si>
    <t>[ 100 .. 200 )</t>
  </si>
  <si>
    <t>200+</t>
  </si>
  <si>
    <t>Campaign code</t>
  </si>
  <si>
    <t>pressy1701</t>
  </si>
  <si>
    <t>pressy1706</t>
  </si>
  <si>
    <t>Packages Held</t>
  </si>
  <si>
    <t>3+</t>
  </si>
  <si>
    <t>GARAGE</t>
  </si>
  <si>
    <t>Comp_Agreed</t>
  </si>
  <si>
    <t>Comp_Market</t>
  </si>
  <si>
    <t>TPFT</t>
  </si>
  <si>
    <r>
      <t xml:space="preserve">SimpleRules Double </t>
    </r>
    <r>
      <rPr>
        <b/>
        <sz val="11"/>
        <rFont val="Franklin Gothic Book"/>
        <family val="2"/>
      </rPr>
      <t>DefaultFactorNoDrivers</t>
    </r>
    <r>
      <rPr>
        <sz val="10"/>
        <color theme="0" tint="-0.499984740745262"/>
        <rFont val="Franklin Gothic Book"/>
        <family val="2"/>
      </rPr>
      <t xml:space="preserve"> ( CoverageName coverageName )</t>
    </r>
  </si>
  <si>
    <t>DurationDWI</t>
  </si>
  <si>
    <t>= DurationFactor ( duration_DWI, coverageName )</t>
  </si>
  <si>
    <r>
      <rPr>
        <sz val="10"/>
        <color theme="0" tint="-0.34998626667073579"/>
        <rFont val="Franklin Gothic Book"/>
        <family val="2"/>
      </rPr>
      <t>SimpleRules Double</t>
    </r>
    <r>
      <rPr>
        <b/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MarketingFactorDWI</t>
    </r>
    <r>
      <rPr>
        <sz val="10"/>
        <color theme="0" tint="-0.34998626667073579"/>
        <rFont val="Franklin Gothic Book"/>
        <family val="2"/>
      </rPr>
      <t xml:space="preserve"> ( Integer durationDWI )</t>
    </r>
  </si>
  <si>
    <t>TypeOfUseFactor</t>
  </si>
  <si>
    <t>Product</t>
  </si>
  <si>
    <t>Type of use</t>
  </si>
  <si>
    <t>UseFactor</t>
  </si>
  <si>
    <t>CMT</t>
  </si>
  <si>
    <t>RDSLSP</t>
  </si>
  <si>
    <t>OFSWRK</t>
  </si>
  <si>
    <t>TRDPRS</t>
  </si>
  <si>
    <t>DRVEDU</t>
  </si>
  <si>
    <t>HCCSHS</t>
  </si>
  <si>
    <t>SPTEVT</t>
  </si>
  <si>
    <t>TXIUBR</t>
  </si>
  <si>
    <t>DLVRDR</t>
  </si>
  <si>
    <t>RMVLST</t>
  </si>
  <si>
    <t>OFFRDS</t>
  </si>
  <si>
    <t>OTHER</t>
  </si>
  <si>
    <r>
      <t xml:space="preserve">SimpleRules Double </t>
    </r>
    <r>
      <rPr>
        <b/>
        <sz val="11"/>
        <rFont val="Franklin Gothic Book"/>
        <family val="2"/>
      </rPr>
      <t>TypeOfUseFactor</t>
    </r>
    <r>
      <rPr>
        <sz val="10"/>
        <color theme="0" tint="-0.499984740745262"/>
        <rFont val="Franklin Gothic Book"/>
        <family val="2"/>
      </rPr>
      <t xml:space="preserve"> ( PolicyType policyType, TypeOfUse typeOfUse )</t>
    </r>
  </si>
  <si>
    <t>= TypeOfUseFactor ( policyType, typeOfUse )</t>
  </si>
  <si>
    <r>
      <t xml:space="preserve">SimpleRules Double </t>
    </r>
    <r>
      <rPr>
        <b/>
        <sz val="11"/>
        <rFont val="Franklin Gothic Book"/>
        <family val="2"/>
      </rPr>
      <t>CampaignDiscountPercent</t>
    </r>
    <r>
      <rPr>
        <sz val="10"/>
        <color theme="0" tint="-0.499984740745262"/>
        <rFont val="Franklin Gothic Book"/>
        <family val="2"/>
      </rPr>
      <t xml:space="preserve"> ( String campaignCode )</t>
    </r>
  </si>
  <si>
    <t>pressy1801cash</t>
  </si>
  <si>
    <r>
      <t xml:space="preserve">SimpleRules Double </t>
    </r>
    <r>
      <rPr>
        <b/>
        <sz val="11"/>
        <rFont val="Franklin Gothic Book"/>
        <family val="2"/>
      </rPr>
      <t>CampaignDiscountAbsolute</t>
    </r>
    <r>
      <rPr>
        <sz val="10"/>
        <color theme="0" tint="-0.499984740745262"/>
        <rFont val="Franklin Gothic Book"/>
        <family val="2"/>
      </rPr>
      <t xml:space="preserve"> ( String campaignCode )</t>
    </r>
  </si>
  <si>
    <t>= CampaignDiscountAbsolute ( campaignCode )</t>
  </si>
  <si>
    <t>= round ( $UndiscountedCompanyPremium + $FSL + $GST, 2 )</t>
  </si>
  <si>
    <t>Discount %</t>
  </si>
  <si>
    <t>Discount $</t>
  </si>
  <si>
    <t>= CampaignDiscountPercent ( campaignCode )</t>
  </si>
  <si>
    <t>Aged Claims from</t>
  </si>
  <si>
    <t>Aged Claims to</t>
  </si>
  <si>
    <t>NCD</t>
  </si>
  <si>
    <t>agedClaims &gt;= minAgedClaims</t>
  </si>
  <si>
    <t>Double minAgedClaims</t>
  </si>
  <si>
    <t>agedClaims &lt; maxAgedClaims</t>
  </si>
  <si>
    <t>Double maxAgedClaims</t>
  </si>
  <si>
    <t>new InterpolationFactor ( $C1.minAgedClaims, $C2.maxAgedClaims, null, null, factor  )</t>
  </si>
  <si>
    <t>AgedClaims</t>
  </si>
  <si>
    <t>NCBFactor</t>
  </si>
  <si>
    <t>= round ( $NCBFactor, 4 )</t>
  </si>
  <si>
    <t>= round ( $AdjustedBaseRate, 2)</t>
  </si>
  <si>
    <t>ClaimsFloorValue</t>
  </si>
  <si>
    <t>ClaimsCeilingValue</t>
  </si>
  <si>
    <t>= ( agedClaims - $ClaimsFloorValue ) / ( $ClaimsCeilingValue - $ClaimsFloorValue )</t>
  </si>
  <si>
    <t>NCDFloorValue</t>
  </si>
  <si>
    <t>NCDCeilingValue</t>
  </si>
  <si>
    <t>TotalClaimsYear1</t>
  </si>
  <si>
    <t>TotalClaimsYear2</t>
  </si>
  <si>
    <t>TotalClaimsYear3</t>
  </si>
  <si>
    <t>= ( $NCDCeilingValue - $NCDFloorValue) * $InterpolationFactor + $NCDFloorValue</t>
  </si>
  <si>
    <r>
      <t xml:space="preserve">Spreadsheet Double </t>
    </r>
    <r>
      <rPr>
        <b/>
        <sz val="11"/>
        <rFont val="Franklin Gothic Book"/>
        <family val="2"/>
      </rPr>
      <t>NCDInterpolation</t>
    </r>
    <r>
      <rPr>
        <sz val="10"/>
        <color theme="0" tint="-0.499984740745262"/>
        <rFont val="Franklin Gothic Book"/>
        <family val="2"/>
      </rPr>
      <t xml:space="preserve"> ( Double agedClaims )</t>
    </r>
  </si>
  <si>
    <t>= NCDInterpolationCalc ( agedClaims )</t>
  </si>
  <si>
    <r>
      <rPr>
        <sz val="10"/>
        <color theme="0" tint="-0.34998626667073579"/>
        <rFont val="Franklin Gothic Book"/>
        <family val="2"/>
      </rPr>
      <t>Rules InterpolationFactor</t>
    </r>
    <r>
      <rPr>
        <b/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NCDInterpolationCalc</t>
    </r>
    <r>
      <rPr>
        <sz val="10"/>
        <color theme="0" tint="-0.34998626667073579"/>
        <rFont val="Franklin Gothic Book"/>
        <family val="2"/>
      </rPr>
      <t xml:space="preserve"> ( Double agedClaims )</t>
    </r>
  </si>
  <si>
    <t>= NCDInterpolationCalc ( $ClaimsCeilingValue ).factor</t>
  </si>
  <si>
    <t>TotalPromotionalDiscounts</t>
  </si>
  <si>
    <t>AgentCampaignDiscounts</t>
  </si>
  <si>
    <t>TotalPromotionalDiscountsAmount</t>
  </si>
  <si>
    <t>= round ( $TotalPromotionalDiscounts * $UndiscountedCustomerPremium, 2 )</t>
  </si>
  <si>
    <t>CustomerPremiumAfterDiscount</t>
  </si>
  <si>
    <r>
      <t xml:space="preserve">contains (optionalCoverages.coverageName, </t>
    </r>
    <r>
      <rPr>
        <b/>
        <sz val="10"/>
        <color theme="0" tint="-0.499984740745262"/>
        <rFont val="Franklin Gothic Book"/>
        <family val="2"/>
      </rPr>
      <t>"VehicleRoadWiseBenefit")</t>
    </r>
  </si>
  <si>
    <t>Has RoadWise Coverage?</t>
  </si>
  <si>
    <t>policyType</t>
  </si>
  <si>
    <t>PolicyType</t>
  </si>
  <si>
    <r>
      <rPr>
        <sz val="10"/>
        <color theme="0" tint="-0.34998626667073579"/>
        <rFont val="Franklin Gothic Book"/>
        <family val="2"/>
      </rPr>
      <t xml:space="preserve">Rules Double </t>
    </r>
    <r>
      <rPr>
        <b/>
        <sz val="11"/>
        <rFont val="Franklin Gothic Book"/>
        <family val="2"/>
      </rPr>
      <t>RoadWiseFactor</t>
    </r>
    <r>
      <rPr>
        <b/>
        <sz val="10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OptionalCoverage[] optionalCoverages, PolicyType policyType )</t>
    </r>
  </si>
  <si>
    <t>PMT</t>
  </si>
  <si>
    <t>Roadside</t>
  </si>
  <si>
    <t>= round ( $Roadside, 2)</t>
  </si>
  <si>
    <t>TotalUndiscountedCustomerPremium</t>
  </si>
  <si>
    <t>TotalCustomerPremiumAfterDiscount</t>
  </si>
  <si>
    <t>GrossCustomerPremiumAfterCappingCupping</t>
  </si>
  <si>
    <t>NetPremiumAfterCapCup</t>
  </si>
  <si>
    <t>= RoadWiseFactor ( vehicle.optionalCoverages, policyType )</t>
  </si>
  <si>
    <t>PremiumAfterCapCupNetOfTaxesAndLevies</t>
  </si>
  <si>
    <t>= round ( $NetPremiumAfterCapCup, 4 )</t>
  </si>
  <si>
    <t>full demo5 changes</t>
  </si>
  <si>
    <t>Tax/Fee Name</t>
  </si>
  <si>
    <t>UndiscountedCoveragePremium</t>
  </si>
  <si>
    <t>PromotionalDiscountAmount</t>
  </si>
  <si>
    <t>= round ( $UndiscountedCompanyPremium + $GST, 2 )</t>
  </si>
  <si>
    <t>= $UndiscountedCoveragePremium * totalPromotionalDiscounts</t>
  </si>
  <si>
    <t>= round ( packageDiscount * $UndiscountedCoveragePremium, 2 )</t>
  </si>
  <si>
    <t>= round ( $PromotionalDiscountAmount + $PackageDiscountAmount, 2 )</t>
  </si>
  <si>
    <t>= round ( $UndiscountedCoveragePremium - $TotalDiscountAmount, 2 )</t>
  </si>
  <si>
    <t>= DetermineMainCoveragePremium ( policy, vehicle )</t>
  </si>
  <si>
    <r>
      <t xml:space="preserve">Spreadsheet SpreadsheetResult </t>
    </r>
    <r>
      <rPr>
        <b/>
        <sz val="11"/>
        <rFont val="Franklin Gothic Book"/>
        <family val="2"/>
      </rPr>
      <t>DetermineMainCoveragePremium</t>
    </r>
    <r>
      <rPr>
        <sz val="10"/>
        <color theme="0" tint="-0.499984740745262"/>
        <rFont val="Franklin Gothic Book"/>
        <family val="2"/>
      </rPr>
      <t xml:space="preserve"> ( Policy policy, Vehicle vehicle )</t>
    </r>
  </si>
  <si>
    <t>Main</t>
  </si>
  <si>
    <t>= round ( $Formula$CustomerPremiumAfterDiscount ( $Main ) + $Formula$CustomerPremiumAfterDiscount ( $Roadside ), 2 )</t>
  </si>
  <si>
    <t>= round ( $Formula$UndiscountedCustomerPremium ( $Main ) + $Formula$UndiscountedCoveragePremium ( $Roadside ), 2 )</t>
  </si>
  <si>
    <r>
      <t xml:space="preserve">Spreadsheet SpreadsheetResult </t>
    </r>
    <r>
      <rPr>
        <b/>
        <sz val="11"/>
        <rFont val="Franklin Gothic Book"/>
        <family val="2"/>
      </rPr>
      <t>DetermineRoadsideCoveragePremium</t>
    </r>
    <r>
      <rPr>
        <sz val="10"/>
        <color theme="0" tint="-0.499984740745262"/>
        <rFont val="Franklin Gothic Book"/>
        <family val="2"/>
      </rPr>
      <t xml:space="preserve"> ( Policy policy, Vehicle vehicle, Double totalPromotionalDiscounts, Double packageDiscount )</t>
    </r>
  </si>
  <si>
    <t>= DetermineRoadsideCoveragePremium ( policy, vehicle, $Formula$TotalPromotionalDiscounts ( $Main ), $Formula$PackageDiscount ( $Main ) )</t>
  </si>
  <si>
    <t>= round ( deltaAdjustment, 2 )</t>
  </si>
  <si>
    <t xml:space="preserve">= round ( newUndiscountedPremium, 2) </t>
  </si>
  <si>
    <t>TPO</t>
  </si>
  <si>
    <t>13/09/2018</t>
  </si>
  <si>
    <t>Optimised algo</t>
  </si>
  <si>
    <t>Distance Code</t>
  </si>
  <si>
    <t>18/09/2018</t>
  </si>
  <si>
    <t>Remove applyCupCap attribute</t>
  </si>
  <si>
    <t>PMT, MTB</t>
  </si>
  <si>
    <r>
      <t xml:space="preserve">SimpleRules Double </t>
    </r>
    <r>
      <rPr>
        <b/>
        <sz val="11"/>
        <rFont val="Franklin Gothic Book"/>
        <family val="2"/>
      </rPr>
      <t>PackageDiscount</t>
    </r>
    <r>
      <rPr>
        <sz val="10"/>
        <color theme="0" tint="-0.499984740745262"/>
        <rFont val="Franklin Gothic Book"/>
        <family val="2"/>
      </rPr>
      <t xml:space="preserve"> ( PolicyType policyType, Integer policyCount )</t>
    </r>
  </si>
  <si>
    <t>review CoverList(), distanceDriven (now codes), package discount, interpolations by product</t>
  </si>
  <si>
    <r>
      <t xml:space="preserve">Spreadsheet Double </t>
    </r>
    <r>
      <rPr>
        <b/>
        <sz val="11"/>
        <rFont val="Franklin Gothic Book"/>
        <family val="2"/>
      </rPr>
      <t>SumInsuredFactor</t>
    </r>
    <r>
      <rPr>
        <sz val="10"/>
        <color theme="0" tint="-0.499984740745262"/>
        <rFont val="Franklin Gothic Book"/>
        <family val="2"/>
      </rPr>
      <t xml:space="preserve"> ( Double vehicleValue, Double sumInsuredPercent, CoverageName coverageName, PolicyType policyType )</t>
    </r>
  </si>
  <si>
    <t>= SumInsuredFactorCalc ( $SumInsured, coverageName, policyType )</t>
  </si>
  <si>
    <t>= SumInsuredFactorCalc ( $ceilingValue, coverageName, policyType ).factor</t>
  </si>
  <si>
    <r>
      <rPr>
        <sz val="10"/>
        <color theme="0" tint="-0.34998626667073579"/>
        <rFont val="Franklin Gothic Book"/>
        <family val="2"/>
      </rPr>
      <t>Rules InterpolationFactor</t>
    </r>
    <r>
      <rPr>
        <b/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SumInsuredFactorCalc</t>
    </r>
    <r>
      <rPr>
        <sz val="10"/>
        <color theme="0" tint="-0.34998626667073579"/>
        <rFont val="Franklin Gothic Book"/>
        <family val="2"/>
      </rPr>
      <t xml:space="preserve"> ( Double sumInsured, CoverageName coverageName, PolicyType policyType )</t>
    </r>
  </si>
  <si>
    <t>PMT, CMT</t>
  </si>
  <si>
    <r>
      <t xml:space="preserve">Spreadsheet Double </t>
    </r>
    <r>
      <rPr>
        <b/>
        <sz val="11"/>
        <rFont val="Franklin Gothic Book"/>
        <family val="2"/>
      </rPr>
      <t>ExcessFactor</t>
    </r>
    <r>
      <rPr>
        <sz val="10"/>
        <color theme="0" tint="-0.499984740745262"/>
        <rFont val="Franklin Gothic Book"/>
        <family val="2"/>
      </rPr>
      <t xml:space="preserve"> ( Double sumInsured, Integer excess, PolicyType policyType )</t>
    </r>
  </si>
  <si>
    <t xml:space="preserve">= SIExcessInteraction ( $ceilingValueSumInsured, $floorValueExcess, policyType ).factor </t>
  </si>
  <si>
    <t xml:space="preserve">= SIExcessInteraction  ( $floorValueSumInsured, $ceilingValueExcess, policyType ).factor </t>
  </si>
  <si>
    <t xml:space="preserve">= SIExcessInteraction  ( $ceilingValueSumInsured, $ceilingValueExcess, policyType ).factor </t>
  </si>
  <si>
    <r>
      <t>Rules InterpolationFactor</t>
    </r>
    <r>
      <rPr>
        <b/>
        <sz val="10"/>
        <rFont val="Franklin Gothic Book"/>
        <family val="2"/>
      </rPr>
      <t xml:space="preserve"> SIExcessInteraction</t>
    </r>
    <r>
      <rPr>
        <sz val="10"/>
        <color theme="0" tint="-0.499984740745262"/>
        <rFont val="Franklin Gothic Book"/>
        <family val="2"/>
      </rPr>
      <t xml:space="preserve">  ( Double sumInsured, Integer excess, PolicyType policyType ) </t>
    </r>
  </si>
  <si>
    <t>PolicyType[]</t>
  </si>
  <si>
    <t>= SIExcessInteraction ( sumInsured, excess, policyType )</t>
  </si>
  <si>
    <t>= ExcessFactor ( vehicleBlob.VehVal * sumInsuredPercent, excess, policyType )</t>
  </si>
  <si>
    <t>= round ( $UndiscountedCustomerPremium * $PackageDiscount, 2 )</t>
  </si>
  <si>
    <t>= round ( 1 -  PackageDiscount ( policyType, policyCount ), 4 )</t>
  </si>
  <si>
    <t>001</t>
  </si>
  <si>
    <t>002</t>
  </si>
  <si>
    <t>003</t>
  </si>
  <si>
    <t>004</t>
  </si>
  <si>
    <t>005</t>
  </si>
  <si>
    <t>Is AccessoriesAndModifications added?</t>
  </si>
  <si>
    <t xml:space="preserve">Limit </t>
  </si>
  <si>
    <t>= Accessory ( optionalCoverages [select first having coverageName == "AccessoriesAndModifications" ] )</t>
  </si>
  <si>
    <r>
      <rPr>
        <sz val="10"/>
        <color theme="0" tint="-0.34998626667073579"/>
        <rFont val="Franklin Gothic Book"/>
        <family val="2"/>
      </rPr>
      <t>Rules Double</t>
    </r>
    <r>
      <rPr>
        <b/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Accessory</t>
    </r>
    <r>
      <rPr>
        <sz val="10"/>
        <color theme="0" tint="-0.34998626667073579"/>
        <rFont val="Franklin Gothic Book"/>
        <family val="2"/>
      </rPr>
      <t xml:space="preserve"> ( OptionalCoverage accessoryCoverage )</t>
    </r>
  </si>
  <si>
    <t>accessoryCoverage != null</t>
  </si>
  <si>
    <t xml:space="preserve">26/09/2018 </t>
  </si>
  <si>
    <t>ANNUAL</t>
  </si>
  <si>
    <t>NONANN</t>
  </si>
  <si>
    <r>
      <rPr>
        <sz val="10"/>
        <color theme="0" tint="-0.34998626667073579"/>
        <rFont val="Franklin Gothic Book"/>
        <family val="2"/>
      </rPr>
      <t xml:space="preserve">SimpleRules Double </t>
    </r>
    <r>
      <rPr>
        <b/>
        <sz val="10"/>
        <rFont val="Franklin Gothic Book"/>
        <family val="2"/>
      </rPr>
      <t xml:space="preserve">LicenseYearsFactor </t>
    </r>
    <r>
      <rPr>
        <sz val="10"/>
        <color theme="0" tint="-0.34998626667073579"/>
        <rFont val="Franklin Gothic Book"/>
        <family val="2"/>
      </rPr>
      <t>( LicenseYears licenseYears, CoverageName coverageName )</t>
    </r>
  </si>
  <si>
    <t>= copy ( origin )</t>
  </si>
  <si>
    <t xml:space="preserve">LicenseYearsFactor was updated, accessory logic was added, variations are updated  </t>
  </si>
  <si>
    <t>twr_phone</t>
  </si>
  <si>
    <t>twr_online</t>
  </si>
  <si>
    <t>tsb_palmerstonnorth</t>
  </si>
  <si>
    <t>27/09/2018</t>
  </si>
  <si>
    <t xml:space="preserve">Changed agen-&gt; producerCd; updated TaxFeeValue rule; updated step LicenseYearsFactor </t>
  </si>
  <si>
    <t>= $Formula$GrossCustomerPremiumAfterCappingCupping ( $CapCup )</t>
  </si>
  <si>
    <t>GrossCustomerPremiumAfterCapCup</t>
  </si>
  <si>
    <t>MainNetOfTaxesAndLevies</t>
  </si>
  <si>
    <t>RoadsideExclGST</t>
  </si>
  <si>
    <t>CampaignDiscount</t>
  </si>
  <si>
    <t>= $CampaignDiscount + $AgentCampaignDiscounts</t>
  </si>
  <si>
    <t>CampaignDiscountAbsolute</t>
  </si>
  <si>
    <t>Agent Adjustment</t>
  </si>
  <si>
    <t>= 1 - AgentDiscount ( producerCd, "Agent Adjustment" )</t>
  </si>
  <si>
    <t>Agent Discount</t>
  </si>
  <si>
    <t>In the algorithm used as 
… * (1 - Agent Adjustment) * …</t>
  </si>
  <si>
    <r>
      <t xml:space="preserve">SimpleLookup Double </t>
    </r>
    <r>
      <rPr>
        <b/>
        <sz val="11"/>
        <rFont val="Franklin Gothic Book"/>
        <family val="2"/>
      </rPr>
      <t>AgentDiscount</t>
    </r>
    <r>
      <rPr>
        <sz val="10"/>
        <color theme="0" tint="-0.499984740745262"/>
        <rFont val="Franklin Gothic Book"/>
        <family val="2"/>
      </rPr>
      <t xml:space="preserve"> ( String producerCd, String typeOfFactor )</t>
    </r>
  </si>
  <si>
    <t xml:space="preserve">= AgentDiscount ( producerCd, "Agent Discount"  ) </t>
  </si>
  <si>
    <t>NumberOfDrivers</t>
  </si>
  <si>
    <t>= $NumberOfDrivers == 0 ? 0 : 1/$NumberOfDrivers</t>
  </si>
  <si>
    <t>PercentOfUse equals 0?</t>
  </si>
  <si>
    <t>= DefaultFactorNoDrivers ( coverageName )</t>
  </si>
  <si>
    <t>percentOfUse == 0</t>
  </si>
  <si>
    <t>AgentDiscount, sgeGender</t>
  </si>
  <si>
    <r>
      <rPr>
        <sz val="10"/>
        <color theme="0" tint="-0.34998626667073579"/>
        <rFont val="Franklin Gothic Book"/>
        <family val="2"/>
      </rPr>
      <t>Rules InterpolationFactor</t>
    </r>
    <r>
      <rPr>
        <b/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AgeGenderFactorCalc</t>
    </r>
    <r>
      <rPr>
        <sz val="10"/>
        <color theme="0" tint="-0.34998626667073579"/>
        <rFont val="Franklin Gothic Book"/>
        <family val="2"/>
      </rPr>
      <t xml:space="preserve"> ( Integer currentAge, CoverageName coverageName, Gender gender )</t>
    </r>
  </si>
  <si>
    <t>= AgeGenderFactorCalc ( $currentAge, coverageName, gender )</t>
  </si>
  <si>
    <r>
      <t xml:space="preserve">Spreadsheet Double </t>
    </r>
    <r>
      <rPr>
        <b/>
        <sz val="11"/>
        <rFont val="Franklin Gothic Book"/>
        <family val="2"/>
      </rPr>
      <t>AgeGenderFactor</t>
    </r>
    <r>
      <rPr>
        <sz val="10"/>
        <color theme="0" tint="-0.499984740745262"/>
        <rFont val="Franklin Gothic Book"/>
        <family val="2"/>
      </rPr>
      <t xml:space="preserve"> ( Driver driver, CoverageName coverageName, Double percentOfUse, Date policyEffectiveDate )</t>
    </r>
  </si>
  <si>
    <t>= AgeGenderFactorCalc ( $ceilingValue, coverageName, gender ).factor</t>
  </si>
  <si>
    <t>updated Complex Output</t>
  </si>
  <si>
    <t>setPlan</t>
  </si>
  <si>
    <t>ByPlan</t>
  </si>
  <si>
    <r>
      <rPr>
        <sz val="10"/>
        <color theme="0" tint="-0.34998626667073579"/>
        <rFont val="Franklin Gothic Book"/>
        <family val="2"/>
      </rPr>
      <t>Spreadsheet SpreadsheetResult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PolicyPremium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)</t>
    </r>
  </si>
  <si>
    <t>LicenseYears</t>
  </si>
  <si>
    <t>DriversInitialization</t>
  </si>
  <si>
    <t>= $ComponentFacror * percentOfUse</t>
  </si>
  <si>
    <t>updated RETRN step in AgeGender Factor</t>
  </si>
  <si>
    <t>MTB</t>
  </si>
  <si>
    <t>updated SumInsuredFactorCalc to have MTB product</t>
  </si>
  <si>
    <t xml:space="preserve">In the algorithm used  
for case when age was not set up for driver in CM </t>
  </si>
  <si>
    <t xml:space="preserve">updated LicenseYearsFactor </t>
  </si>
  <si>
    <t>= length ( removeNulls ( drivers ) )</t>
  </si>
  <si>
    <t>updated all rules that use ratingRegion</t>
  </si>
  <si>
    <t>//used for AgeGender factor calculation in case when gender/DY are not filled</t>
  </si>
  <si>
    <t>= RegionFactor ( mtrRateRgn, coverageName )</t>
  </si>
  <si>
    <t>= MarketingFactorDWI ( $Duration_DWI ) * MarketingFactorRegion ( geographicBlob.mtrRateRgn )</t>
  </si>
  <si>
    <r>
      <rPr>
        <sz val="10"/>
        <color theme="0" tint="-0.34998626667073579"/>
        <rFont val="Franklin Gothic Book"/>
        <family val="2"/>
      </rPr>
      <t>SimpleRules Double</t>
    </r>
    <r>
      <rPr>
        <b/>
        <sz val="10"/>
        <rFont val="Franklin Gothic Book"/>
        <family val="2"/>
      </rPr>
      <t xml:space="preserve"> PerturbationFactor</t>
    </r>
    <r>
      <rPr>
        <sz val="10"/>
        <color theme="0" tint="-0.34998626667073579"/>
        <rFont val="Franklin Gothic Book"/>
        <family val="2"/>
      </rPr>
      <t xml:space="preserve"> ( Integer perturbtn, CoverageName coverageName )</t>
    </r>
  </si>
  <si>
    <t>= PerturbationFactor ( perturbtn, coverageName )</t>
  </si>
  <si>
    <t>used for CM also</t>
  </si>
  <si>
    <t>not calculated for day1; default value 1</t>
  </si>
  <si>
    <t>remove finity region, use for it rationg region; remove FinityRegionFactor</t>
  </si>
  <si>
    <t>included SignwritingFactor, updated the name of the first rule on Additive rules sheet</t>
  </si>
  <si>
    <t>= product ( $CarGroupFactor:$DurationFactor )</t>
  </si>
  <si>
    <t>totalUndiscCustomPrem - used for cup/cap</t>
  </si>
  <si>
    <t>grossCustomPremAfterCup - used for cup/cap</t>
  </si>
  <si>
    <t>add new step before CapCup</t>
  </si>
  <si>
    <t>= round ( ($PremiumAfterCapCupNetOfTaxesAndLevies - $MainNetOfTaxesAndLevies), 2 )</t>
  </si>
  <si>
    <t>= round ( totalUndiscountedCustomerPremium - $PrevUndiscountedCustomerPremium, 2 )</t>
  </si>
  <si>
    <t>= transactionType == "New Business" ? 0 : previousAnnualisedCustomerPremium</t>
  </si>
  <si>
    <r>
      <t xml:space="preserve">Spreadsheet SpreadsheetResult </t>
    </r>
    <r>
      <rPr>
        <b/>
        <sz val="11"/>
        <rFont val="Franklin Gothic Book"/>
        <family val="2"/>
      </rPr>
      <t>DetermineCapCup</t>
    </r>
    <r>
      <rPr>
        <sz val="10"/>
        <color theme="0" tint="-0.499984740745262"/>
        <rFont val="Franklin Gothic Book"/>
        <family val="2"/>
      </rPr>
      <t xml:space="preserve"> ( Double previousAnnualisedCustomerPremium, Double totalUndiscountedCustomerPremium, Double previousUndiscountedCustomerPremium,  Double totalCustomerPremiumAfterDiscount, TransactionType transactionType )</t>
    </r>
  </si>
  <si>
    <t>= transactionType == "Renewal" ? 0 : previousUndiscountedCustomerPremium</t>
  </si>
  <si>
    <t>= $PreviousAnnualisedCustomerPremium == 0 ? totalCustomerPremiumAfterDiscount : $PreviousAnnualisedCustomerPremium  + $CapCup</t>
  </si>
  <si>
    <t>moved geoblon on vehicle level</t>
  </si>
  <si>
    <r>
      <t xml:space="preserve">Spreadsheet Double </t>
    </r>
    <r>
      <rPr>
        <b/>
        <sz val="11"/>
        <rFont val="Franklin Gothic Book"/>
        <family val="2"/>
      </rPr>
      <t>MultiplicativeRules</t>
    </r>
    <r>
      <rPr>
        <sz val="10"/>
        <color theme="0" tint="-0.499984740745262"/>
        <rFont val="Franklin Gothic Book"/>
        <family val="2"/>
      </rPr>
      <t xml:space="preserve"> ( CoverageName coverageName, PlanName planName, Vehicle vehicle, Driver[] drivers, GeographicBlob geographicBlob, Integer duration_DWI, Integer numberOfDrivers )</t>
    </r>
  </si>
  <si>
    <t>= MultiplicativeRules ( coverageName, planName, vehicle, drivers, geographicBlob, duration_DWI, $NumberOfDrivers )</t>
  </si>
  <si>
    <t>= DetermineComponentPremium ( $ListOfPremiumComponents, planName, vehicle, geographicBlob, policyEffectiveDate, $Duration_DWI, policyType, drivers )</t>
  </si>
  <si>
    <r>
      <t xml:space="preserve">Spreadsheet Double </t>
    </r>
    <r>
      <rPr>
        <b/>
        <sz val="11"/>
        <rFont val="Franklin Gothic Book"/>
        <family val="2"/>
      </rPr>
      <t>DetermineComponentPremium</t>
    </r>
    <r>
      <rPr>
        <sz val="10"/>
        <color theme="0" tint="-0.499984740745262"/>
        <rFont val="Franklin Gothic Book"/>
        <family val="2"/>
      </rPr>
      <t xml:space="preserve"> ( CoverageName coverageName, PlanName planName, Vehicle vehicle, GeographicBlob geographicBlob, Date policyEffectiveDate, Integer duration_DWI, PolicyType policyType, Driver[] drivers )</t>
    </r>
  </si>
  <si>
    <t>moved drivers on Policy level</t>
  </si>
  <si>
    <t xml:space="preserve">fixed RoadWiseFactor </t>
  </si>
  <si>
    <t>= round ( min  (1, previousAnnualisedCustomerPremium /prevUndiscountedCustomerPremium) * newUndiscountedPremium, 2)</t>
  </si>
  <si>
    <t>Third Party Only, Fire and Theft</t>
  </si>
  <si>
    <t>updated CoverTypeFactor</t>
  </si>
  <si>
    <t>updated accessory rule</t>
  </si>
  <si>
    <t xml:space="preserve">fixed SIExcessInteraction </t>
  </si>
  <si>
    <t>FilterDWI</t>
  </si>
  <si>
    <t>fixed Duration_DWI and Optimisation</t>
  </si>
  <si>
    <r>
      <t xml:space="preserve">Spreadsheet SpreadsheetResult  </t>
    </r>
    <r>
      <rPr>
        <b/>
        <sz val="11"/>
        <rFont val="Franklin Gothic Book"/>
        <family val="2"/>
      </rPr>
      <t>DriversInitialization</t>
    </r>
    <r>
      <rPr>
        <sz val="10"/>
        <color theme="0" tint="-0.499984740745262"/>
        <rFont val="Franklin Gothic Book"/>
        <family val="2"/>
      </rPr>
      <t xml:space="preserve"> ( Driver driver )</t>
    </r>
  </si>
  <si>
    <t>= DriversInitialization ( drivers )</t>
  </si>
  <si>
    <t>Updated DriversInitialization ( drivers )</t>
  </si>
  <si>
    <t>16/10/2018</t>
  </si>
  <si>
    <t>ClaimsCurrentYear_1</t>
  </si>
  <si>
    <t>ClaimsPreviousYear_2</t>
  </si>
  <si>
    <t>18/10/2018</t>
  </si>
  <si>
    <t>added claims count</t>
  </si>
  <si>
    <t>ClaimsPreviousYear_3</t>
  </si>
  <si>
    <t>= length ( lossDamages [select all having ( lossDamageYear == year ( policyEffectiveDate ) ) and driverLossExcessPaid ] )</t>
  </si>
  <si>
    <t>= length ( lossDamages [select all having ( lossDamageYear == year ( policyEffectiveDate ) - 1 ) and driverLossExcessPaid ] )</t>
  </si>
  <si>
    <t>= length ( lossDamages [ select all having ( lossDamageYear == year ( policyEffectiveDate ) - 2 ) and driverLossExcessPaid ] )</t>
  </si>
  <si>
    <r>
      <t xml:space="preserve">Spreadsheet SpreadsheetResult  </t>
    </r>
    <r>
      <rPr>
        <b/>
        <sz val="11"/>
        <rFont val="Franklin Gothic Book"/>
        <family val="2"/>
      </rPr>
      <t>ClaimsCount</t>
    </r>
    <r>
      <rPr>
        <sz val="10"/>
        <color theme="0" tint="-0.499984740745262"/>
        <rFont val="Franklin Gothic Book"/>
        <family val="2"/>
      </rPr>
      <t xml:space="preserve"> ( Driver driver, Date policyEffectiveDate )</t>
    </r>
  </si>
  <si>
    <t>= ClaimsCount ( drivers, policyEffectiveDate )</t>
  </si>
  <si>
    <t>= NCBFactor ( drivers, policyEffectiveDate )</t>
  </si>
  <si>
    <t xml:space="preserve">ClaimsCount </t>
  </si>
  <si>
    <r>
      <t xml:space="preserve">Spreadsheet Double </t>
    </r>
    <r>
      <rPr>
        <b/>
        <sz val="11"/>
        <rFont val="Franklin Gothic Book"/>
        <family val="2"/>
      </rPr>
      <t>NCBFactor</t>
    </r>
    <r>
      <rPr>
        <sz val="10"/>
        <color theme="0" tint="-0.499984740745262"/>
        <rFont val="Franklin Gothic Book"/>
        <family val="2"/>
      </rPr>
      <t xml:space="preserve"> ( Driver[] drivers, Date policyEffectiveDate )</t>
    </r>
  </si>
  <si>
    <t>= sum ( $Formula$ClaimsCurrentYear_1 ( $ClaimsCount  ) )</t>
  </si>
  <si>
    <t>= sum ( $Formula$ClaimsPreviousYear_2 ( $ClaimsCount  ) )</t>
  </si>
  <si>
    <t>= sum ( $Formula$ClaimsPreviousYear_3 ( $ClaimsCount  ) )</t>
  </si>
  <si>
    <t>Limit</t>
  </si>
  <si>
    <t>// protection or case if limit will not come</t>
  </si>
  <si>
    <r>
      <t>optionalCoverages[select first having coverageName == "</t>
    </r>
    <r>
      <rPr>
        <b/>
        <sz val="10"/>
        <color theme="0" tint="-0.499984740745262"/>
        <rFont val="Franklin Gothic Book"/>
        <family val="2"/>
      </rPr>
      <t>VehicleSignwritingCoverage</t>
    </r>
    <r>
      <rPr>
        <sz val="10"/>
        <color theme="0" tint="-0.499984740745262"/>
        <rFont val="Franklin Gothic Book"/>
        <family val="2"/>
      </rPr>
      <t>"].limit</t>
    </r>
  </si>
  <si>
    <t>22/10/2018</t>
  </si>
  <si>
    <t xml:space="preserve">add call of claims count rule; updated SignwritingFactor rule </t>
  </si>
  <si>
    <t xml:space="preserve">limitDisplay </t>
  </si>
  <si>
    <t xml:space="preserve">LimitDisplay </t>
  </si>
  <si>
    <t>Policy Type</t>
  </si>
  <si>
    <t>Plan Names</t>
  </si>
  <si>
    <t>Comp_Agreed, Comp_Market, TPFT, TPO</t>
  </si>
  <si>
    <t>Comp_Market, TPO</t>
  </si>
  <si>
    <t>ByCoverage</t>
  </si>
  <si>
    <r>
      <t xml:space="preserve">SimpleRules PlanName[] </t>
    </r>
    <r>
      <rPr>
        <b/>
        <sz val="10"/>
        <rFont val="Franklin Gothic Book"/>
        <family val="2"/>
      </rPr>
      <t>getPlanNames</t>
    </r>
    <r>
      <rPr>
        <sz val="10"/>
        <color theme="0" tint="-0.34998626667073579"/>
        <rFont val="Franklin Gothic Book"/>
        <family val="2"/>
      </rPr>
      <t xml:space="preserve"> (PolicyType type)</t>
    </r>
  </si>
  <si>
    <t>Limit Display</t>
  </si>
  <si>
    <t>Comp_Agreed, Comp_Market, TPFT</t>
  </si>
  <si>
    <r>
      <t xml:space="preserve">SmartRules Collect OptionalCoverage[] </t>
    </r>
    <r>
      <rPr>
        <b/>
        <sz val="10"/>
        <rFont val="Franklin Gothic Book"/>
        <family val="2"/>
      </rPr>
      <t>getAvailableCovs</t>
    </r>
    <r>
      <rPr>
        <sz val="10"/>
        <color theme="0" tint="-0.34998626667073579"/>
        <rFont val="Franklin Gothic Book"/>
        <family val="2"/>
      </rPr>
      <t xml:space="preserve"> (PolicyType type, PlanName plan)</t>
    </r>
  </si>
  <si>
    <t>VehicleTrailers</t>
  </si>
  <si>
    <t>VehicleRoadWiseBenefit</t>
  </si>
  <si>
    <t>VehicleWindscreenAndWindowGlassExcessBuyOut</t>
  </si>
  <si>
    <t>VehicleSignwritingCoverage</t>
  </si>
  <si>
    <t>Covs</t>
  </si>
  <si>
    <t>Groups</t>
  </si>
  <si>
    <t>step</t>
  </si>
  <si>
    <t>= addIgnoreNull(covs, one)</t>
  </si>
  <si>
    <t>= covs[0]</t>
  </si>
  <si>
    <t>first</t>
  </si>
  <si>
    <t>rest</t>
  </si>
  <si>
    <t>= (OptionalCoverage[][]) remove (covs, 0)</t>
  </si>
  <si>
    <t>recurse</t>
  </si>
  <si>
    <t>initial</t>
  </si>
  <si>
    <t>= isEmpty ( covs ) ? result : combine ( $rest,  $recurse )</t>
  </si>
  <si>
    <t>= combine ($Groups, new OptionalCoverage[0][0])</t>
  </si>
  <si>
    <t>= $first[(a) transform to isEmpty(a) ? new OptionalCoverage[0] : new OptionalCoverage[]{a}]</t>
  </si>
  <si>
    <t>Combined</t>
  </si>
  <si>
    <t>rename file name</t>
  </si>
  <si>
    <t>29/10/2018</t>
  </si>
  <si>
    <t>model</t>
  </si>
  <si>
    <t>added new logic for optimisation factor</t>
  </si>
  <si>
    <t>SumInsuredPercentInitialization</t>
  </si>
  <si>
    <t xml:space="preserve">= vehicle.sumInsuredPercent = ( ( 100 + vehicle.sumInsuredPercent ) / 100 ) </t>
  </si>
  <si>
    <t>added SumInsuredPercentInitialization step</t>
  </si>
  <si>
    <t>= variatePolicyByCoverage ($ByPlan )</t>
  </si>
  <si>
    <t>= round ( $MainNetOfTaxesAndLevies + $RoadsideExclGST, 2 )</t>
  </si>
  <si>
    <t>OldestDWI</t>
  </si>
  <si>
    <t>= $FilterDWI[order by mDWIIncptn][0]</t>
  </si>
  <si>
    <t>= max ( 1, $OldestDWI.mDWIOptimFctr )</t>
  </si>
  <si>
    <t>= isEmpty ( $OldestDWI ) ? 0 : yearDiff (policyEffectiveDate, mDWIIncptn ( $OldestDWI ))</t>
  </si>
  <si>
    <t xml:space="preserve">OptimisationDurationFactor </t>
  </si>
  <si>
    <t>= $Formula$OptimisationFactor ( $OptimisationDurationFactor )</t>
  </si>
  <si>
    <t>= $Formula$Duration_DWI ( $OptimisationDurationFactor )</t>
  </si>
  <si>
    <t>= isEmpty ( drivers ) ? 0 : 1.00 * $TotalClaimsYear1 + 0.75 * $TotalClaimsYear2 + 0.25 * $TotalClaimsYear3</t>
  </si>
  <si>
    <t>= $PreviousAnnualisedCustomerPremium  == 0 ? 0 : DeltaAdjustment (totalCustomerPremiumAfterDiscount, $PreviousAnnualisedCustomerPremium)</t>
  </si>
  <si>
    <t>= CapCup ( $PrevUndiscountedCustomerPremium, $PreviousAnnualisedCustomerPremium, $NewUndiscountedPremium, $DeltaAdjustment )</t>
  </si>
  <si>
    <r>
      <t xml:space="preserve">Spreadsheet Double </t>
    </r>
    <r>
      <rPr>
        <b/>
        <sz val="11"/>
        <rFont val="Franklin Gothic Book"/>
        <family val="2"/>
      </rPr>
      <t>DeltaAdjustment</t>
    </r>
    <r>
      <rPr>
        <sz val="10"/>
        <color theme="0" tint="-0.499984740745262"/>
        <rFont val="Franklin Gothic Book"/>
        <family val="2"/>
      </rPr>
      <t xml:space="preserve"> (  Double totalCustomerPremiumAfterDiscount, Double previousAnnualisedCustomerPremium )</t>
    </r>
  </si>
  <si>
    <t>= totalCustomerPremiumAfterDiscount - previousAnnualisedCustomerPremium</t>
  </si>
  <si>
    <t>= round ( abs ( $PreviousDeltaAmount / previousAnnualisedCustomerPremium) * 100 , 2 )</t>
  </si>
  <si>
    <t>= CupCapAdj ( $PreviousDeltaAmount, $PreviousDeltaPercent, "DiffMin" )</t>
  </si>
  <si>
    <t>= CupCapAdj ( $PreviousDeltaAmount, $PreviousDeltaPercent, "DiffMax" )</t>
  </si>
  <si>
    <t>= CupCapAdj ( $PreviousDeltaAmount, $PreviousDeltaPercent, "TargetMin" )</t>
  </si>
  <si>
    <t>= CupCapAdj ( $PreviousDeltaAmount, $PreviousDeltaPercent, "TargetMax" )</t>
  </si>
  <si>
    <t>= ( $PreviousDeltaAmount - $PremDeltaMinAmount ) / ( $PremDeltaMaxAmount - $PremDeltaMinAmount) * ( $DeltaAdjustmentMaxAmount - $DeltaAdjustmentMinAmount ) + $DeltaAdjustmentMinAmount</t>
  </si>
  <si>
    <t>male</t>
  </si>
  <si>
    <t>female</t>
  </si>
  <si>
    <t>nonConforming</t>
  </si>
  <si>
    <t>nonBinary</t>
  </si>
  <si>
    <t>StaffApplied</t>
  </si>
  <si>
    <t>PackageApplied</t>
  </si>
  <si>
    <t>PromotionalApplied</t>
  </si>
  <si>
    <t>OnlineApplied</t>
  </si>
  <si>
    <t>Package</t>
  </si>
  <si>
    <t>Promotional</t>
  </si>
  <si>
    <t>Online</t>
  </si>
  <si>
    <t>AllDiscounts</t>
  </si>
  <si>
    <t>NCBApplied</t>
  </si>
  <si>
    <t>NCB</t>
  </si>
  <si>
    <t>Staff</t>
  </si>
  <si>
    <t>= $Formula$AllDiscounts ( $Main )</t>
  </si>
  <si>
    <t>SumInsuredPercentCalculation</t>
  </si>
  <si>
    <t>C4</t>
  </si>
  <si>
    <t>C5</t>
  </si>
  <si>
    <t>registryCode</t>
  </si>
  <si>
    <t>motorLength</t>
  </si>
  <si>
    <t>policyEffectiveDate &lt; conditionDate</t>
  </si>
  <si>
    <t>Date conditionDate</t>
  </si>
  <si>
    <t>Motor Length</t>
  </si>
  <si>
    <t>FEL</t>
  </si>
  <si>
    <t>MTH</t>
  </si>
  <si>
    <t>OV7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</si>
  <si>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FELRate </t>
    </r>
    <r>
      <rPr>
        <sz val="10"/>
        <color theme="0" tint="-0.499984740745262"/>
        <rFont val="Franklin Gothic Book"/>
        <family val="2"/>
      </rPr>
      <t>( Date policyEffectiveDate )</t>
    </r>
  </si>
  <si>
    <t>policyEffectiveDate &gt;= minDate</t>
  </si>
  <si>
    <t>Date minDate</t>
  </si>
  <si>
    <t>Date effective from</t>
  </si>
  <si>
    <t>FEL rate</t>
  </si>
  <si>
    <t>for dxp</t>
  </si>
  <si>
    <t>AnnualPolicy</t>
  </si>
  <si>
    <t>AnnualCalc</t>
  </si>
  <si>
    <t>OriginCalc</t>
  </si>
  <si>
    <t>NonAnnualPolicy</t>
  </si>
  <si>
    <t>NonAnnualCalc</t>
  </si>
  <si>
    <t>OriginResponse</t>
  </si>
  <si>
    <t>AnnualResponse</t>
  </si>
  <si>
    <t>NonAnnualResponse</t>
  </si>
  <si>
    <t>= new RatingResponsePolicy ( $OriginResponse, $AnnualResponse, $NonAnnualResponse, $Formula$AllDiscounts ($OriginCalc) )</t>
  </si>
  <si>
    <t>fortnightly</t>
  </si>
  <si>
    <t>monthly</t>
  </si>
  <si>
    <t>quarterly</t>
  </si>
  <si>
    <t>sixMonthly</t>
  </si>
  <si>
    <t>= new DXPPremium($Premium, $Tax)</t>
  </si>
  <si>
    <t>Tax</t>
  </si>
  <si>
    <t>= round(premium/divide, 2)</t>
  </si>
  <si>
    <t>= round(tax/divide, 2)</t>
  </si>
  <si>
    <t>Coverages</t>
  </si>
  <si>
    <t>Windscreen</t>
  </si>
  <si>
    <t>RoadWise</t>
  </si>
  <si>
    <t>Trailers</t>
  </si>
  <si>
    <t>Signwriting</t>
  </si>
  <si>
    <t>CovNames</t>
  </si>
  <si>
    <t>= new DXPCoverages ($Windscreen, $RoadWise, $Trailers, $Signwriting)</t>
  </si>
  <si>
    <t>= DXPCoverages(vehicle.optionalCoverages)</t>
  </si>
  <si>
    <r>
      <rPr>
        <sz val="10"/>
        <color theme="0" tint="-0.34998626667073579"/>
        <rFont val="Franklin Gothic Book"/>
        <family val="2"/>
      </rPr>
      <t>Spreadsheet DXPCoverages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DXPCoverages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OptionalCoverage[] coverages )</t>
    </r>
  </si>
  <si>
    <t>SignwritingWithLimit</t>
  </si>
  <si>
    <r>
      <t xml:space="preserve">Spreadsheet  Policy[]  </t>
    </r>
    <r>
      <rPr>
        <b/>
        <sz val="10"/>
        <rFont val="Franklin Gothic Book"/>
        <family val="2"/>
      </rPr>
      <t xml:space="preserve">variatePolicyByCoverage </t>
    </r>
    <r>
      <rPr>
        <sz val="10"/>
        <color theme="0" tint="-0.34998626667073579"/>
        <rFont val="Franklin Gothic Book"/>
        <family val="2"/>
      </rPr>
      <t>( Policy origin )</t>
    </r>
  </si>
  <si>
    <t>= getAvailableCovs ( policyType, planName )</t>
  </si>
  <si>
    <t>= replace($Covs, $SignwritingWithLimit)</t>
  </si>
  <si>
    <r>
      <t xml:space="preserve">Spreadsheet  OptionalCoverage[]  </t>
    </r>
    <r>
      <rPr>
        <b/>
        <sz val="10"/>
        <rFont val="Franklin Gothic Book"/>
        <family val="2"/>
      </rPr>
      <t xml:space="preserve">replace </t>
    </r>
    <r>
      <rPr>
        <sz val="10"/>
        <color theme="0" tint="-0.34998626667073579"/>
        <rFont val="Franklin Gothic Book"/>
        <family val="2"/>
      </rPr>
      <t>( OptionalCoverage[] coverages, OptionalCoverage replacement )</t>
    </r>
  </si>
  <si>
    <t>= $Formula$PolicyPremium ($OriginCalc)</t>
  </si>
  <si>
    <t>= $Formula$PolicyPremium ($AnnualCalc)</t>
  </si>
  <si>
    <t>= $Formula$PolicyPremium ($NonAnnualCalc)</t>
  </si>
  <si>
    <t>Result</t>
  </si>
  <si>
    <r>
      <rPr>
        <sz val="10"/>
        <color theme="0" tint="-0.34998626667073579"/>
        <rFont val="Franklin Gothic Book"/>
        <family val="2"/>
      </rPr>
      <t>Spreadsheet SpreadsheetResult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PolicyVariationsCalc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)</t>
    </r>
  </si>
  <si>
    <t>return PolicyVariationsCalc(policy).$Formula$Result ;</t>
  </si>
  <si>
    <t>= vehicle.optionalCoverages [select first having coverageName == "VehicleSignwritingCoverage"]</t>
  </si>
  <si>
    <t>Updated</t>
  </si>
  <si>
    <t>= $Updated [ split by coverageName ] [ (a) transform to add ( a, null ) ]</t>
  </si>
  <si>
    <r>
      <t xml:space="preserve">Spreadsheet Policy  </t>
    </r>
    <r>
      <rPr>
        <b/>
        <sz val="10"/>
        <rFont val="Franklin Gothic Book"/>
        <family val="2"/>
      </rPr>
      <t>variateByCoverage</t>
    </r>
    <r>
      <rPr>
        <sz val="10"/>
        <color theme="0" tint="-0.34998626667073579"/>
        <rFont val="Franklin Gothic Book"/>
        <family val="2"/>
      </rPr>
      <t>( Policy origin, OptionalCoverage[] covs)</t>
    </r>
  </si>
  <si>
    <t>= $setPlan; $var</t>
  </si>
  <si>
    <r>
      <t xml:space="preserve">Spreadsheet Policy  </t>
    </r>
    <r>
      <rPr>
        <b/>
        <sz val="10"/>
        <rFont val="Franklin Gothic Book"/>
        <family val="2"/>
      </rPr>
      <t>variateByPlanName</t>
    </r>
    <r>
      <rPr>
        <sz val="10"/>
        <color theme="0" tint="-0.34998626667073579"/>
        <rFont val="Franklin Gothic Book"/>
        <family val="2"/>
      </rPr>
      <t xml:space="preserve"> ( Policy origin, PlanName plan)</t>
    </r>
  </si>
  <si>
    <t>= $var.planName = plan</t>
  </si>
  <si>
    <t>= variateByPlanName (origin, getPlanNames ( policyType ) )</t>
  </si>
  <si>
    <r>
      <rPr>
        <sz val="10"/>
        <color theme="0" tint="-0.34998626667073579"/>
        <rFont val="Franklin Gothic Book"/>
        <family val="2"/>
      </rPr>
      <t>Spreadsheet SpreadsheetResult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DXPVariationsCalc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)</t>
    </r>
  </si>
  <si>
    <r>
      <t xml:space="preserve">Spreadsheet Policy[]  </t>
    </r>
    <r>
      <rPr>
        <b/>
        <sz val="10"/>
        <rFont val="Franklin Gothic Book"/>
        <family val="2"/>
      </rPr>
      <t>makeDXPVariations</t>
    </r>
    <r>
      <rPr>
        <sz val="10"/>
        <color theme="0" tint="-0.34998626667073579"/>
        <rFont val="Franklin Gothic Book"/>
        <family val="2"/>
      </rPr>
      <t xml:space="preserve"> ( Policy origin )</t>
    </r>
  </si>
  <si>
    <t>return DXPVariationsCalc(makeDXPVariations(policy)).$Formula$Result ;</t>
  </si>
  <si>
    <t>= new RatingResponseDXP  ( 
    $AnnualResponse,
    $fortnightly,
    $monthly,
    $quarterly,
    $sixMonthly,
    $Formula$AllDiscounts ($AnnualCalc),
    planName,
    $Coverages )</t>
  </si>
  <si>
    <r>
      <rPr>
        <sz val="10"/>
        <color theme="0" tint="-0.34998626667073579"/>
        <rFont val="Franklin Gothic Book"/>
        <family val="2"/>
      </rPr>
      <t>Method RatingResponsePolicy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DeterminePolicyPremiums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)</t>
    </r>
  </si>
  <si>
    <r>
      <rPr>
        <sz val="10"/>
        <color theme="0" tint="-0.34998626667073579"/>
        <rFont val="Franklin Gothic Book"/>
        <family val="2"/>
      </rPr>
      <t>Method RatingResponseDXP[]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VariatePolicyPremiums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)</t>
    </r>
  </si>
  <si>
    <t>= $Staff:$NCB</t>
  </si>
  <si>
    <t>Description</t>
  </si>
  <si>
    <t>Online discount applied</t>
  </si>
  <si>
    <t>twr_staff</t>
  </si>
  <si>
    <t>Staff discount</t>
  </si>
  <si>
    <t>twr_airnzonline</t>
  </si>
  <si>
    <t>twr_airnzphone</t>
  </si>
  <si>
    <t>twr_fintel</t>
  </si>
  <si>
    <t>twr_nzhl</t>
  </si>
  <si>
    <t>alliances_nocommission</t>
  </si>
  <si>
    <t>first_creditunion</t>
  </si>
  <si>
    <t>GRM_Unknown</t>
  </si>
  <si>
    <t>GRM_NZFSG</t>
  </si>
  <si>
    <t>GRM_Adelphi</t>
  </si>
  <si>
    <t>GRM_Apexadvice</t>
  </si>
  <si>
    <t>GRM_Mortgageexpress</t>
  </si>
  <si>
    <t>GRM_nzcreditunionem</t>
  </si>
  <si>
    <t>GRM_ICBC</t>
  </si>
  <si>
    <t>GRM_mysolutions</t>
  </si>
  <si>
    <t>GRM_advicefirst</t>
  </si>
  <si>
    <t>GRM_kepa</t>
  </si>
  <si>
    <t>GRM_movinghub</t>
  </si>
  <si>
    <t>GRM_newpark</t>
  </si>
  <si>
    <t>GRM_sharenz</t>
  </si>
  <si>
    <t>GRM_dnaadvice</t>
  </si>
  <si>
    <t>GRM_insureyoulimited</t>
  </si>
  <si>
    <t>GRM_nzbowls</t>
  </si>
  <si>
    <t>GRM_amway</t>
  </si>
  <si>
    <t>GRM_moovme</t>
  </si>
  <si>
    <t>GRM_ubt</t>
  </si>
  <si>
    <t>GRM_tap</t>
  </si>
  <si>
    <t>TMI</t>
  </si>
  <si>
    <t>Kiwibank</t>
  </si>
  <si>
    <t>Kiwibank_staff</t>
  </si>
  <si>
    <t>tsb_main</t>
  </si>
  <si>
    <t>tsb_staff</t>
  </si>
  <si>
    <t>tsb_contactcentre</t>
  </si>
  <si>
    <t>tsb_towersold</t>
  </si>
  <si>
    <t>TSB_online</t>
  </si>
  <si>
    <t>tsb_migrated</t>
  </si>
  <si>
    <t>tsb_newmarket</t>
  </si>
  <si>
    <t>tsb_takapuna</t>
  </si>
  <si>
    <t>tsb_northwest</t>
  </si>
  <si>
    <t>tsb_botany</t>
  </si>
  <si>
    <t>tsb_hamilton</t>
  </si>
  <si>
    <t>tsb_tauranga</t>
  </si>
  <si>
    <t>tsb_hastings</t>
  </si>
  <si>
    <t>tsb_napier</t>
  </si>
  <si>
    <t>tsb_wellington</t>
  </si>
  <si>
    <t>tsb_centrebranch</t>
  </si>
  <si>
    <t>tsb_moturoa</t>
  </si>
  <si>
    <t>tsb_westown</t>
  </si>
  <si>
    <t>tsb_vogeltown</t>
  </si>
  <si>
    <t>tsb_fitzroy</t>
  </si>
  <si>
    <t>tsb_bellblock</t>
  </si>
  <si>
    <t>tsb_waitara</t>
  </si>
  <si>
    <t>tsb_inglewood</t>
  </si>
  <si>
    <t>tsb_stratford</t>
  </si>
  <si>
    <t>tsb_eltham</t>
  </si>
  <si>
    <t>tsb_hawera</t>
  </si>
  <si>
    <t>tsb_opunake</t>
  </si>
  <si>
    <t>tsb_nelson</t>
  </si>
  <si>
    <t>tsb_chch</t>
  </si>
  <si>
    <t>CRPRTN</t>
  </si>
  <si>
    <t>DRWWYN</t>
  </si>
  <si>
    <t>ONSTRT</t>
  </si>
  <si>
    <t>LCKWKPM</t>
  </si>
  <si>
    <t>SCRPRK</t>
  </si>
  <si>
    <t>Producer Code</t>
  </si>
  <si>
    <t>tsb</t>
  </si>
  <si>
    <t>Producer Cd</t>
  </si>
  <si>
    <r>
      <t xml:space="preserve">SimpleRules String </t>
    </r>
    <r>
      <rPr>
        <b/>
        <sz val="12"/>
        <rFont val="Franklin Gothic Book"/>
        <family val="2"/>
      </rPr>
      <t>ProducerCode</t>
    </r>
    <r>
      <rPr>
        <sz val="10"/>
        <color theme="0" tint="-0.499984740745262"/>
        <rFont val="Franklin Gothic Book"/>
        <family val="2"/>
      </rPr>
      <t xml:space="preserve"> ( String producerCd )</t>
    </r>
  </si>
  <si>
    <t>= ProducerCode ( producerCd )</t>
  </si>
  <si>
    <t>ConvertedProducerCd</t>
  </si>
  <si>
    <t>= geographicBlob.dwi[select all having vehicleBlob.Id == mDWIVehID and $ConvertedProducerCd == ProducerCode (mDWIAgent) ]</t>
  </si>
  <si>
    <t>January Campaign 2017</t>
  </si>
  <si>
    <t>June Campaign 2017</t>
  </si>
  <si>
    <t xml:space="preserve">= producerCd </t>
  </si>
  <si>
    <t>= new Discount ( "STAFF_POLICY", "Staff discount", $StaffApplied )</t>
  </si>
  <si>
    <t>= new Discount ( "MULTI_POLICY", "Multi-policy discount", $PackageApplied )</t>
  </si>
  <si>
    <t>= new Discount ( "ONLINE_POLICY", "Online discount", $OnlineApplied )</t>
  </si>
  <si>
    <t>= new Discount ( "NO_CLAIMS_BONUS_POLICY", "No claims bonus discount", $NCBApplied )</t>
  </si>
  <si>
    <t>default value that will not be displayed on UI</t>
  </si>
  <si>
    <t xml:space="preserve">updated DiscountsApplied </t>
  </si>
  <si>
    <t>26/11/2018</t>
  </si>
  <si>
    <t xml:space="preserve">= isEmpty ( drivers ) ? 0.85 :  NCDInterpolation ( $AgedClaims ) </t>
  </si>
  <si>
    <t>OriginPolicy</t>
  </si>
  <si>
    <t>= PolicyPremium ( $OriginPolicy )</t>
  </si>
  <si>
    <t>= policy.paymentPlan = "ANNUAL"; copy (policy)</t>
  </si>
  <si>
    <t>= PolicyPremium ( $AnnualPolicy )</t>
  </si>
  <si>
    <t>= policy.paymentPlan = "NONANN"; copy (policy)</t>
  </si>
  <si>
    <t>= PolicyPremium ( $NonAnnualPolicy )</t>
  </si>
  <si>
    <t>27/11/2018</t>
  </si>
  <si>
    <t>updated PolicyVariationsCalc and DXPVariationsCalc to use copy function</t>
  </si>
  <si>
    <t>= copy (policy)</t>
  </si>
  <si>
    <t>= coverages.coverageName</t>
  </si>
  <si>
    <t>= contains ($CovNames, "VehicleWindscreenAndWindowGlassExcessBuyOut")</t>
  </si>
  <si>
    <t>= contains ($CovNames, "VehicleRoadWiseBenefit")</t>
  </si>
  <si>
    <t>= contains ($CovNames, "VehicleTrailers")</t>
  </si>
  <si>
    <t>= contains ($CovNames, "VehicleSignwritingCoverage")</t>
  </si>
  <si>
    <t>= DiscountsApplied ( producerCd, $PackageDiscount, $CampaignDiscount, $CampaignDiscountAbsolute, $NCBFactor, campaignCode )</t>
  </si>
  <si>
    <r>
      <t xml:space="preserve">Spreadsheet Discount[] </t>
    </r>
    <r>
      <rPr>
        <b/>
        <sz val="11"/>
        <rFont val="Franklin Gothic Book"/>
        <family val="2"/>
      </rPr>
      <t>DiscountsApplied</t>
    </r>
    <r>
      <rPr>
        <sz val="10"/>
        <color theme="0" tint="-0.499984740745262"/>
        <rFont val="Franklin Gothic Book"/>
        <family val="2"/>
      </rPr>
      <t xml:space="preserve"> ( String producerCd, Double packageDiscount, Double campaignDiscount, Double campaignDiscountAbsolute, Double NCBFactor, String campaignCode )</t>
    </r>
  </si>
  <si>
    <t>= new Discount ( "PROMOTIONAL_POLICY", DiscountDescription (campaignCode), $PromotionalApplied )</t>
  </si>
  <si>
    <r>
      <t xml:space="preserve">SimpleRules String </t>
    </r>
    <r>
      <rPr>
        <b/>
        <sz val="11"/>
        <rFont val="Franklin Gothic Book"/>
        <family val="2"/>
      </rPr>
      <t>DiscountDescription</t>
    </r>
    <r>
      <rPr>
        <sz val="10"/>
        <color theme="0" tint="-0.499984740745262"/>
        <rFont val="Franklin Gothic Book"/>
        <family val="2"/>
      </rPr>
      <t xml:space="preserve"> ( String campaignCode )</t>
    </r>
  </si>
  <si>
    <t>campaignCode</t>
  </si>
  <si>
    <t>= DetermineCapCup ( prevAnnualisedCustomerPremium, $TotalUndiscountedCustomerPremium, prevUndiscountedCustomerPremium, $TotalCustomerPremiumAfterDiscount, transactionType )</t>
  </si>
  <si>
    <t>January Campaign 2018</t>
  </si>
  <si>
    <t>CompanyPremium</t>
  </si>
  <si>
    <t xml:space="preserve">BillablePremium </t>
  </si>
  <si>
    <t>= $TotalCustomerPremiumAfterDiscount</t>
  </si>
  <si>
    <t>= new PolicyPremium ( $MainNetOfTaxesAndLevies, $RoadsideExclGST, $CompanyPremium, $BillablePremium, $TotalUndiscountedCustomerPremium , $GrossCustomerPremiumAfterCapCup )</t>
  </si>
  <si>
    <t>= new DXPPremium ( $Formula$CompanyPremium ($NonAnnualCalc), $Formula$BillablePremium ($NonAnnualCalc))</t>
  </si>
  <si>
    <t>= new DXPPremium ( $Formula$CompanyPremium ($AnnualCalc), $Formula$BillablePremium($AnnualCalc))</t>
  </si>
  <si>
    <t>NonAnnualCompanyPremium</t>
  </si>
  <si>
    <t>NonAnnualBillablePremium</t>
  </si>
  <si>
    <t>= $Formula$CompanyPremium ($NonAnnualCalc)</t>
  </si>
  <si>
    <t>= $Formula$BillablePremium ($NonAnnualCalc)</t>
  </si>
  <si>
    <t>= DivideDXPPremium ( $NonAnnualCompanyPremium, $NonAnnualBillablePremium, 26 )</t>
  </si>
  <si>
    <t>= DivideDXPPremium ( $NonAnnualCompanyPremium, $NonAnnualBillablePremium, 12)</t>
  </si>
  <si>
    <t>= DivideDXPPremium ( $NonAnnualCompanyPremium, $NonAnnualBillablePremium, 4)</t>
  </si>
  <si>
    <t>= DivideDXPPremium ( $NonAnnualCompanyPremium, $NonAnnualBillablePremium, 2 )</t>
  </si>
  <si>
    <r>
      <t xml:space="preserve">Spreadsheet DXPPremium </t>
    </r>
    <r>
      <rPr>
        <b/>
        <sz val="11"/>
        <rFont val="Franklin Gothic Book"/>
        <family val="2"/>
      </rPr>
      <t>DivideDXPPremium</t>
    </r>
    <r>
      <rPr>
        <sz val="10"/>
        <color theme="0" tint="-0.499984740745262"/>
        <rFont val="Franklin Gothic Book"/>
        <family val="2"/>
      </rPr>
      <t xml:space="preserve"> ( Double premium, Double tax, double divide )</t>
    </r>
  </si>
  <si>
    <t>= OptimisationDurationFactor (vehicle, policyEffectiveDate, producerCd )</t>
  </si>
  <si>
    <t>In the algorithm used as 
… Prem * (Campaign_Dscnt + Agent_Dscnt) …</t>
  </si>
  <si>
    <t>= origin.vehicle.optionalCoverages [select all having not contains ($Updated.coverageName, coverageName) ]</t>
  </si>
  <si>
    <t>CovsWOVariated</t>
  </si>
  <si>
    <t>UpdatedPolicy</t>
  </si>
  <si>
    <t>= variateByCoverage($UpdatedPolicy, $Combined )</t>
  </si>
  <si>
    <t>= copy (origin)</t>
  </si>
  <si>
    <t>Origin</t>
  </si>
  <si>
    <t>= $Origin.vehicle.optionalCoverages = $CovsWOVariated; $Origin</t>
  </si>
  <si>
    <t>= $var.vehicle.optionalCoverages = addAll ( covs, $var.vehicle.optionalCoverages)</t>
  </si>
  <si>
    <r>
      <t xml:space="preserve">Spreadsheet OptionalCoverage[] </t>
    </r>
    <r>
      <rPr>
        <b/>
        <sz val="10"/>
        <rFont val="Franklin Gothic Book"/>
        <family val="2"/>
      </rPr>
      <t>addWithoutNulls</t>
    </r>
    <r>
      <rPr>
        <sz val="10"/>
        <color theme="0" tint="-0.34998626667073579"/>
        <rFont val="Franklin Gothic Book"/>
        <family val="2"/>
      </rPr>
      <t xml:space="preserve"> ( OptionalCoverage[] covs, OptionalCoverage one )</t>
    </r>
  </si>
  <si>
    <r>
      <t xml:space="preserve">Spreadsheet OptionalCoverage[][] </t>
    </r>
    <r>
      <rPr>
        <b/>
        <sz val="10"/>
        <rFont val="Franklin Gothic Book"/>
        <family val="2"/>
      </rPr>
      <t>combine</t>
    </r>
    <r>
      <rPr>
        <sz val="10"/>
        <color theme="0" tint="-0.34998626667073579"/>
        <rFont val="Franklin Gothic Book"/>
        <family val="2"/>
      </rPr>
      <t xml:space="preserve"> ( OptionalCoverage[][] covs, OptionalCoverage[][] result )</t>
    </r>
  </si>
  <si>
    <t>= coverages[(x) transform to (replacement != null and x.coverageName == replacement.coverageName) ? replacement : x ]</t>
  </si>
  <si>
    <t xml:space="preserve">= isEmpty (result) ? $initial : addWithoutNulls (result, $first ) </t>
  </si>
  <si>
    <t>updated SIExcessInteraction</t>
  </si>
  <si>
    <t>= flatten( $ByCoverage )</t>
  </si>
  <si>
    <t>Marta</t>
  </si>
  <si>
    <t>properties</t>
  </si>
  <si>
    <t>lob</t>
  </si>
  <si>
    <t>error("Variations are not supported for MTB!"); return null;</t>
  </si>
  <si>
    <t>removed origin policy from DXP variations (makeDXPVariations spreadsheet); added method to return error for MTB that no variations are supported for MTB</t>
  </si>
  <si>
    <r>
      <rPr>
        <sz val="10"/>
        <color theme="0" tint="-0.34998626667073579"/>
        <rFont val="Franklin Gothic Book"/>
        <family val="2"/>
      </rPr>
      <t>SimpleLookup Double</t>
    </r>
    <r>
      <rPr>
        <sz val="10"/>
        <rFont val="Franklin Gothic Book"/>
        <family val="2"/>
      </rPr>
      <t xml:space="preserve"> </t>
    </r>
    <r>
      <rPr>
        <b/>
        <sz val="10"/>
        <rFont val="Franklin Gothic Book"/>
        <family val="2"/>
      </rPr>
      <t>RegionFactor</t>
    </r>
    <r>
      <rPr>
        <sz val="10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String mtrRateRgn, CoverageName coverageName )</t>
    </r>
  </si>
  <si>
    <r>
      <rPr>
        <sz val="10"/>
        <color theme="0" tint="-0.34998626667073579"/>
        <rFont val="Franklin Gothic Book"/>
        <family val="2"/>
      </rPr>
      <t>SimpleRules Double</t>
    </r>
    <r>
      <rPr>
        <b/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MarketingFactorRegion</t>
    </r>
    <r>
      <rPr>
        <sz val="10"/>
        <color theme="0" tint="-0.34998626667073579"/>
        <rFont val="Franklin Gothic Book"/>
        <family val="2"/>
      </rPr>
      <t xml:space="preserve"> ( String region )</t>
    </r>
  </si>
  <si>
    <t>removed custom datatype for mtrRateRgn</t>
  </si>
  <si>
    <t>update call of TaxFeeValue rule</t>
  </si>
  <si>
    <t>Other</t>
  </si>
  <si>
    <t>updated OtherSpecified value for limitDisplay to Other in Accessory rules</t>
  </si>
  <si>
    <t>14/12/2018</t>
  </si>
  <si>
    <t>20/12/2018</t>
  </si>
  <si>
    <t>21/12/2019</t>
  </si>
  <si>
    <t>IsVehicleTrailers</t>
  </si>
  <si>
    <t>= contains (vehicle.optionalCoverages.coverageName, "VehicleTrailers" )</t>
  </si>
  <si>
    <t>isVehicleTrailers</t>
  </si>
  <si>
    <t>SIInitialization</t>
  </si>
  <si>
    <t>= sumInsured == null ? 0 : sumInsured</t>
  </si>
  <si>
    <t>&gt;=0</t>
  </si>
  <si>
    <t>= 0</t>
  </si>
  <si>
    <r>
      <rPr>
        <sz val="10"/>
        <color theme="9" tint="-0.249977111117893"/>
        <rFont val="Franklin Gothic Book"/>
        <family val="2"/>
      </rPr>
      <t>Smart</t>
    </r>
    <r>
      <rPr>
        <sz val="10"/>
        <color theme="0" tint="-0.34998626667073579"/>
        <rFont val="Franklin Gothic Book"/>
        <family val="2"/>
      </rPr>
      <t xml:space="preserve">Rules Double </t>
    </r>
    <r>
      <rPr>
        <b/>
        <sz val="11"/>
        <rFont val="Franklin Gothic Book"/>
        <family val="2"/>
      </rPr>
      <t xml:space="preserve">CapCup </t>
    </r>
    <r>
      <rPr>
        <sz val="10"/>
        <color theme="0" tint="-0.34998626667073579"/>
        <rFont val="Franklin Gothic Book"/>
        <family val="2"/>
      </rPr>
      <t>( Double prevUndiscountedCustomerPremium, Double previousAnnualisedCustomerPremium, Double newUndiscountedPremium, Double deltaAdjustment  )</t>
    </r>
  </si>
  <si>
    <t>prevUndiscountedCustomerPremium</t>
  </si>
  <si>
    <t>previousAnnualisedCustomerPremium</t>
  </si>
  <si>
    <t>newUndiscountedPremium</t>
  </si>
  <si>
    <t>HasVehicleU25DriverExclBenefit</t>
  </si>
  <si>
    <t>= contains (vehicle.optionalCoverages.coverageName, "VehicleU25DriverExclusionBenefit")</t>
  </si>
  <si>
    <t>String covName</t>
  </si>
  <si>
    <t>VehicleRentalCarSubstituteTransport</t>
  </si>
  <si>
    <t>vehicleBlob.GlassGrp</t>
  </si>
  <si>
    <t>contains ( optionalCoverages.coverageName, covName )</t>
  </si>
  <si>
    <t>CRET1</t>
  </si>
  <si>
    <t xml:space="preserve"> </t>
  </si>
  <si>
    <r>
      <rPr>
        <sz val="10"/>
        <color theme="0" tint="-0.34998626667073579"/>
        <rFont val="Franklin Gothic Book"/>
        <family val="2"/>
      </rPr>
      <t xml:space="preserve">Rules Double[] </t>
    </r>
    <r>
      <rPr>
        <b/>
        <sz val="11"/>
        <rFont val="Franklin Gothic Book"/>
        <family val="2"/>
      </rPr>
      <t>AdditiveComponents</t>
    </r>
    <r>
      <rPr>
        <b/>
        <sz val="10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Vehicle vehicle )</t>
    </r>
  </si>
  <si>
    <t>= producerCd == "twr_staff"</t>
  </si>
  <si>
    <t>= packageDiscount != 0</t>
  </si>
  <si>
    <t xml:space="preserve">= ( ( campaignDiscount != 0) || ( campaignDiscountAbsolute !=0 ) ) </t>
  </si>
  <si>
    <t xml:space="preserve">= producerCd == "twr_online" </t>
  </si>
  <si>
    <t xml:space="preserve">= NCBFactor&lt;1 </t>
  </si>
  <si>
    <t>1) updated TaxFeeValue rule (moved IsVehicleTrailers and sumInsured initialization to spreadsheets)
2) updated CoverList, CapCup, and ExcludeUnder25sFactor to smart rules
3) refactored AdditiveComponents rule
4) removed true/false from DiscountsApplied rule</t>
  </si>
  <si>
    <r>
      <t xml:space="preserve">Spreadsheet SpreadsheetResult </t>
    </r>
    <r>
      <rPr>
        <b/>
        <sz val="11"/>
        <rFont val="Franklin Gothic Book"/>
        <family val="2"/>
      </rPr>
      <t>OptimisationDurationFactor</t>
    </r>
    <r>
      <rPr>
        <sz val="10"/>
        <color theme="0" tint="-0.499984740745262"/>
        <rFont val="Franklin Gothic Book"/>
        <family val="2"/>
      </rPr>
      <t xml:space="preserve"> ( Vehicle vehicle, Date policyEffectiveDate, String producerCd )</t>
    </r>
  </si>
  <si>
    <t>"age == null ? 1 " used for case when DOB of insured is empty</t>
  </si>
  <si>
    <t>24/01/2019</t>
  </si>
  <si>
    <t>Updated InterpolationFactor into AheGender</t>
  </si>
  <si>
    <t>% of usage * ageGender * licenseYearFactor</t>
  </si>
  <si>
    <t>LicenseYearsFactor</t>
  </si>
  <si>
    <t>= $AgeGenderFactor * $LicenseYearsFactor</t>
  </si>
  <si>
    <t>= LicenseYearsFactor ( licenseYears, coverageName )</t>
  </si>
  <si>
    <t>Updated AgeGender calculation. Added DriverFactors rule</t>
  </si>
  <si>
    <r>
      <rPr>
        <sz val="10"/>
        <color theme="0" tint="-0.34998626667073579"/>
        <rFont val="Franklin Gothic Book"/>
        <family val="2"/>
      </rPr>
      <t xml:space="preserve">Rules Double </t>
    </r>
    <r>
      <rPr>
        <b/>
        <sz val="11"/>
        <rFont val="Franklin Gothic Book"/>
        <family val="2"/>
      </rPr>
      <t>DriverFactors</t>
    </r>
    <r>
      <rPr>
        <b/>
        <sz val="10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CoverageName coverageName, Double percentOfUse, Driver[] drivers, Date policyEffectiveDate )</t>
    </r>
  </si>
  <si>
    <t xml:space="preserve">= DriverFactors ( coverageName, $PercentOfUse, drivers, policyEffectiveDate ) </t>
  </si>
  <si>
    <t>= sum ( DriverFactors  ( drivers, coverageName, percentOfUse, policyEffectiveDate ))</t>
  </si>
  <si>
    <r>
      <t xml:space="preserve">Spreadsheet Double </t>
    </r>
    <r>
      <rPr>
        <b/>
        <sz val="11"/>
        <rFont val="Franklin Gothic Book"/>
        <family val="2"/>
      </rPr>
      <t xml:space="preserve">DriverFactors </t>
    </r>
    <r>
      <rPr>
        <sz val="10"/>
        <color theme="0" tint="-0.499984740745262"/>
        <rFont val="Franklin Gothic Book"/>
        <family val="2"/>
      </rPr>
      <t>( Driver driver, CoverageName coverageName, Double percentOfUse, Date policyEffectiveDate )</t>
    </r>
  </si>
  <si>
    <t>= AgeGenderFactor ( driver, coverageName, percentOfUse, policyEffectiveDate )</t>
  </si>
  <si>
    <t>DriverFactors</t>
  </si>
  <si>
    <t>//general lever</t>
  </si>
  <si>
    <t>//driver level</t>
  </si>
  <si>
    <t>= CarGroupFactor ( vehicleBlob.CarGrp, coverageName )</t>
  </si>
  <si>
    <r>
      <rPr>
        <sz val="10"/>
        <color theme="0" tint="-0.34998626667073579"/>
        <rFont val="Franklin Gothic Book"/>
        <family val="2"/>
      </rPr>
      <t>SimpleLookup Double</t>
    </r>
    <r>
      <rPr>
        <b/>
        <sz val="10"/>
        <rFont val="Franklin Gothic Book"/>
        <family val="2"/>
      </rPr>
      <t xml:space="preserve"> CarGroupFactor </t>
    </r>
    <r>
      <rPr>
        <sz val="10"/>
        <color theme="0" tint="-0.34998626667073579"/>
        <rFont val="Franklin Gothic Book"/>
        <family val="2"/>
      </rPr>
      <t>( Integer carGroup, CoverageName coverageName )</t>
    </r>
  </si>
  <si>
    <t>Third Party Only, Fire and Theft, Comprehensive</t>
  </si>
  <si>
    <r>
      <rPr>
        <sz val="10"/>
        <color theme="0" tint="-0.34998626667073579"/>
        <rFont val="Franklin Gothic Book"/>
        <family val="2"/>
      </rPr>
      <t>SimpleLookup Double</t>
    </r>
    <r>
      <rPr>
        <b/>
        <sz val="10"/>
        <rFont val="Franklin Gothic Book"/>
        <family val="2"/>
      </rPr>
      <t xml:space="preserve"> DistanceFactor</t>
    </r>
    <r>
      <rPr>
        <sz val="10"/>
        <color theme="0" tint="-0.34998626667073579"/>
        <rFont val="Franklin Gothic Book"/>
        <family val="2"/>
      </rPr>
      <t xml:space="preserve"> ( DistanceDriven distanceDriven, CoverageName coverageName )</t>
    </r>
  </si>
  <si>
    <r>
      <rPr>
        <sz val="10"/>
        <color theme="0" tint="-0.34998626667073579"/>
        <rFont val="Franklin Gothic Book"/>
        <family val="2"/>
      </rPr>
      <t xml:space="preserve">SimpleRules Double </t>
    </r>
    <r>
      <rPr>
        <b/>
        <sz val="10"/>
        <rFont val="Franklin Gothic Book"/>
        <family val="2"/>
      </rPr>
      <t xml:space="preserve">ExcludeUnder25sFactor </t>
    </r>
    <r>
      <rPr>
        <sz val="10"/>
        <color theme="0" tint="-0.34998626667073579"/>
        <rFont val="Franklin Gothic Book"/>
        <family val="2"/>
      </rPr>
      <t>( Boolean hasVehicleU25DriverExclBenefit )</t>
    </r>
  </si>
  <si>
    <r>
      <rPr>
        <sz val="10"/>
        <color theme="0" tint="-0.34998626667073579"/>
        <rFont val="Franklin Gothic Book"/>
        <family val="2"/>
      </rPr>
      <t>SimpleLookup Double</t>
    </r>
    <r>
      <rPr>
        <b/>
        <sz val="10"/>
        <rFont val="Franklin Gothic Book"/>
        <family val="2"/>
      </rPr>
      <t xml:space="preserve"> DurationFactor</t>
    </r>
    <r>
      <rPr>
        <sz val="10"/>
        <color theme="0" tint="-0.34998626667073579"/>
        <rFont val="Franklin Gothic Book"/>
        <family val="2"/>
      </rPr>
      <t xml:space="preserve"> ( Integer duration, CoverageName coverageName )</t>
    </r>
  </si>
  <si>
    <t>= round ( sum ($ComponentsPremium ) + $AdditiveComponents + $Accessory, 2 )</t>
  </si>
  <si>
    <t>= isEmpty ( vehicle.sumInsuredPercent ) ? (vehicle.sumInsuredPercent = (vehicle.agreedValue - vehicle.marketValue) / vehicle.marketValue * 100) : vehicle.sumInsuredPercent</t>
  </si>
  <si>
    <t xml:space="preserve">= round ( $PremiumAfterCapCupNetOfTaxesAndLevies - min ( $Formula$Roadside ($Roadside), $Formula$CustomerPremiumAfterDiscount ($Roadside) / (1 + TaxFeeValue ( "GST", policyType, vehicle.length, planName, $Formula$IsVehicleTrailers($Main), $Formula$SIInitialization($Main), policyEffectiveDate )) ), 2 ) </t>
  </si>
  <si>
    <t>= round ( sum ( AdditiveComponents ( vehicle ) ), 2 )</t>
  </si>
  <si>
    <t>= TaxFeeValue ( "FEL", policyType, vehicle.length, planName, $IsVehicleTrailers, $SIInitialization, policyEffectiveDate )</t>
  </si>
  <si>
    <t>= round ( TaxFeeValue ( "GST", policyType, vehicle.length, planName, $IsVehicleTrailers, $SIInitialization, policyEffectiveDate ) * ( $UndiscountedCompanyPremium + $FSL ), 2 )</t>
  </si>
  <si>
    <t>= round ( $TotalPromotionalDiscountsAmount + $PackageDiscountAmount + $CampaignDiscountAbsolute  * ( 1 + TaxFeeValue ( "GST", policyType, vehicle.length, planName, $IsVehicleTrailers, $SIInitialization, policyEffectiveDate  )), 2 )</t>
  </si>
  <si>
    <t>= round ( TaxFeeValue ( "GST", policyType, vehicle.length, planName, $IsVehicleTrailers, $SIInitialization, policyEffectiveDate ) * $UndiscountedCompanyPremium, 2 )</t>
  </si>
  <si>
    <r>
      <rPr>
        <sz val="10"/>
        <color theme="0" tint="-0.34998626667073579"/>
        <rFont val="Franklin Gothic Book"/>
        <family val="2"/>
      </rPr>
      <t xml:space="preserve">SmartRules String[] </t>
    </r>
    <r>
      <rPr>
        <b/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CoverList</t>
    </r>
    <r>
      <rPr>
        <b/>
        <sz val="10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PlanName planName )</t>
    </r>
  </si>
  <si>
    <t>= isEmpty ( gender ) ? ( gender = "nonConforming" ) : gender</t>
  </si>
  <si>
    <t>= isEmpty ( licenseYears ) ? ( licenseYears = "001" ) : licenseYears</t>
  </si>
  <si>
    <t>= $currentAge == null ? 1 : ( $currentAge - $floorValue ) / ( $ceilingValue - $floorValue )</t>
  </si>
  <si>
    <t>= ExcludeUnder25sFactor ( $HasVehicleU25DriverExclBenefit )</t>
  </si>
  <si>
    <t>//need to save this rule for future</t>
  </si>
  <si>
    <t xml:space="preserve">//in current logic we don't have TPO and FireTheft under Comp_Agreed plan </t>
  </si>
  <si>
    <r>
      <rPr>
        <sz val="10"/>
        <color theme="0" tint="-0.34998626667073579"/>
        <rFont val="Franklin Gothic Book"/>
        <family val="2"/>
      </rPr>
      <t xml:space="preserve">SimpleRules Double </t>
    </r>
    <r>
      <rPr>
        <b/>
        <sz val="10"/>
        <rFont val="Franklin Gothic Book"/>
        <family val="2"/>
      </rPr>
      <t xml:space="preserve">ParkingTypeFactor </t>
    </r>
    <r>
      <rPr>
        <sz val="10"/>
        <color theme="0" tint="-0.34998626667073579"/>
        <rFont val="Franklin Gothic Book"/>
        <family val="2"/>
      </rPr>
      <t>( ParkingType parkingType, PlanName planName )</t>
    </r>
  </si>
  <si>
    <t>= ParkingTypeFactor ( parkingType, planName )</t>
  </si>
  <si>
    <t xml:space="preserve">= $GrossCustomerPremiumAfterCapCup - $Formula$FSL ( $Main ) - ( $GrossCustomerPremiumAfterCapCup - $GrossCustomerPremiumAfterCapCup / (1 + TaxFeeValue ( "GST", policyType, vehicle.length, planName, $Formula$IsVehicleTrailers ($Main), $Formula$SIInitialization ($Main), policyEffectiveDate )) ) </t>
  </si>
  <si>
    <r>
      <t xml:space="preserve">Rules Double </t>
    </r>
    <r>
      <rPr>
        <b/>
        <sz val="10"/>
        <rFont val="Franklin Gothic Book"/>
        <family val="2"/>
      </rPr>
      <t>TaxFeeValue</t>
    </r>
    <r>
      <rPr>
        <sz val="10"/>
        <color theme="0" tint="-0.499984740745262"/>
        <rFont val="Franklin Gothic Book"/>
        <family val="2"/>
      </rPr>
      <t xml:space="preserve"> ( String registryCode, PolicyType policyType, String motorLength, PlanName planName,</t>
    </r>
    <r>
      <rPr>
        <sz val="10"/>
        <color theme="9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Boolean isVehicleTrailers, Double sumInsured, Date policyEffectiveDate  )</t>
    </r>
  </si>
  <si>
    <t>= sumInsured * FELRate ( policyEffectiveDate )  / 10000</t>
  </si>
  <si>
    <t>!!!will be updated</t>
  </si>
  <si>
    <r>
      <t xml:space="preserve">= coverageName == "Third Party Only" ? </t>
    </r>
    <r>
      <rPr>
        <sz val="10"/>
        <color rgb="FF00B050"/>
        <rFont val="Franklin Gothic Book"/>
        <family val="2"/>
      </rPr>
      <t>411.95</t>
    </r>
    <r>
      <rPr>
        <sz val="10"/>
        <rFont val="Franklin Gothic Book"/>
        <family val="2"/>
      </rPr>
      <t xml:space="preserve"> : SumInsuredFactor ( vehicleBlob.VehVal, sumInsuredPercent, coverageName, policyType )</t>
    </r>
  </si>
  <si>
    <r>
      <t xml:space="preserve">SimpleRules Double </t>
    </r>
    <r>
      <rPr>
        <b/>
        <sz val="11"/>
        <rFont val="Franklin Gothic Book"/>
        <family val="2"/>
      </rPr>
      <t>MultiplicativeBase</t>
    </r>
    <r>
      <rPr>
        <sz val="10"/>
        <color theme="0" tint="-0.499984740745262"/>
        <rFont val="Franklin Gothic Book"/>
        <family val="2"/>
      </rPr>
      <t xml:space="preserve"> ( PolicyType policyType, CoverageName coverageName, PlanName planName )</t>
    </r>
  </si>
  <si>
    <t>= MultiplicativeBase ( policyType, coverageName, planName )</t>
  </si>
  <si>
    <t>S38A49</t>
  </si>
  <si>
    <t>S38A31</t>
  </si>
  <si>
    <t>S41A70</t>
  </si>
  <si>
    <t>S33A26</t>
  </si>
  <si>
    <t>S32A25</t>
  </si>
  <si>
    <t>S35A28</t>
  </si>
  <si>
    <t>S33A31</t>
  </si>
  <si>
    <t>S35A35</t>
  </si>
  <si>
    <t>S41A39</t>
  </si>
  <si>
    <t>S37A60</t>
  </si>
  <si>
    <t>S36A29</t>
  </si>
  <si>
    <t>S46A39</t>
  </si>
  <si>
    <t>S42A35</t>
  </si>
  <si>
    <t>S40A33</t>
  </si>
  <si>
    <t>S34A55</t>
  </si>
  <si>
    <t>S30A23</t>
  </si>
  <si>
    <t>S39A32</t>
  </si>
  <si>
    <t>S41A34</t>
  </si>
  <si>
    <t>S31A24</t>
  </si>
  <si>
    <t>S41A49</t>
  </si>
  <si>
    <t>S33A63</t>
  </si>
  <si>
    <t>S34A56</t>
  </si>
  <si>
    <t>S34A27</t>
  </si>
  <si>
    <t>S26A19</t>
  </si>
  <si>
    <t>S45A69</t>
  </si>
  <si>
    <t>S43A62</t>
  </si>
  <si>
    <t>S43A36</t>
  </si>
  <si>
    <t>S43A68</t>
  </si>
  <si>
    <t>S44A37</t>
  </si>
  <si>
    <t>S39A65</t>
  </si>
  <si>
    <t>S47A40</t>
  </si>
  <si>
    <t>S32A58</t>
  </si>
  <si>
    <t>S28A21</t>
  </si>
  <si>
    <t>S27A20</t>
  </si>
  <si>
    <t>S74A62</t>
  </si>
  <si>
    <t>S72A64</t>
  </si>
  <si>
    <t>S64A71</t>
  </si>
  <si>
    <t>S66A59</t>
  </si>
  <si>
    <t>S73A62</t>
  </si>
  <si>
    <t>S77A64</t>
  </si>
  <si>
    <t>S72A46</t>
  </si>
  <si>
    <t>S72A61</t>
  </si>
  <si>
    <t>S51A43</t>
  </si>
  <si>
    <t>S56A47</t>
  </si>
  <si>
    <t>S56A64</t>
  </si>
  <si>
    <t>S53A64</t>
  </si>
  <si>
    <t>S54A46</t>
  </si>
  <si>
    <t>S53A56</t>
  </si>
  <si>
    <t>S53A46</t>
  </si>
  <si>
    <t>S51A64</t>
  </si>
  <si>
    <t>S74A79</t>
  </si>
  <si>
    <t>S74A60</t>
  </si>
  <si>
    <t>S66A55</t>
  </si>
  <si>
    <t>S48A71</t>
  </si>
  <si>
    <t>S47A59</t>
  </si>
  <si>
    <t>S50A42</t>
  </si>
  <si>
    <t>S54A59</t>
  </si>
  <si>
    <t>S63A53</t>
  </si>
  <si>
    <t>S70A59</t>
  </si>
  <si>
    <t>S79A78</t>
  </si>
  <si>
    <t>S76A49</t>
  </si>
  <si>
    <t>S54A45</t>
  </si>
  <si>
    <t>S61A64</t>
  </si>
  <si>
    <t>S60A50</t>
  </si>
  <si>
    <t>S70A76</t>
  </si>
  <si>
    <t>S64A54</t>
  </si>
  <si>
    <t>S62A56</t>
  </si>
  <si>
    <t>S45A38</t>
  </si>
  <si>
    <t>S44A64</t>
  </si>
  <si>
    <t>S31A28</t>
  </si>
  <si>
    <t>S38A46</t>
  </si>
  <si>
    <t>S46A73</t>
  </si>
  <si>
    <t>S42A46</t>
  </si>
  <si>
    <t>S48A41</t>
  </si>
  <si>
    <t>S36A64</t>
  </si>
  <si>
    <t>S44A72</t>
  </si>
  <si>
    <t>S19A12</t>
  </si>
  <si>
    <t>S53A59</t>
  </si>
  <si>
    <t>S80A67</t>
  </si>
  <si>
    <t>S80A81</t>
  </si>
  <si>
    <t>S69A74</t>
  </si>
  <si>
    <t>S71A71</t>
  </si>
  <si>
    <t>S74A71</t>
  </si>
  <si>
    <t>S75A63</t>
  </si>
  <si>
    <t>S63A71</t>
  </si>
  <si>
    <t>S74A61</t>
  </si>
  <si>
    <t>S76A65</t>
  </si>
  <si>
    <t>S62A80</t>
  </si>
  <si>
    <t>S59A59</t>
  </si>
  <si>
    <t>S62A59</t>
  </si>
  <si>
    <t>S81A63</t>
  </si>
  <si>
    <t>S78A63</t>
  </si>
  <si>
    <t>S67A56</t>
  </si>
  <si>
    <t>S79A64</t>
  </si>
  <si>
    <t>S59A71</t>
  </si>
  <si>
    <t>S74A59</t>
  </si>
  <si>
    <t>S24A17</t>
  </si>
  <si>
    <t>S52A40</t>
  </si>
  <si>
    <t>S49A40</t>
  </si>
  <si>
    <t>S58A46</t>
  </si>
  <si>
    <t>S49A39</t>
  </si>
  <si>
    <t>S65A51</t>
  </si>
  <si>
    <t>S45A37</t>
  </si>
  <si>
    <t>S57A22</t>
  </si>
  <si>
    <t>S66A71</t>
  </si>
  <si>
    <t>S57A59</t>
  </si>
  <si>
    <t>S68A57</t>
  </si>
  <si>
    <t>S68A56</t>
  </si>
  <si>
    <t>S71A77</t>
  </si>
  <si>
    <t>S63A64</t>
  </si>
  <si>
    <t>S67A74</t>
  </si>
  <si>
    <t>S37A30</t>
  </si>
  <si>
    <t>S25A18</t>
  </si>
  <si>
    <t>S25A35</t>
  </si>
  <si>
    <t>S46A22</t>
  </si>
  <si>
    <t>S46A61</t>
  </si>
  <si>
    <t>S38A74</t>
  </si>
  <si>
    <t>S44A36</t>
  </si>
  <si>
    <t>S51A41</t>
  </si>
  <si>
    <t>S61A51</t>
  </si>
  <si>
    <t>S46A75</t>
  </si>
  <si>
    <t>S55A45</t>
  </si>
  <si>
    <t>S42A63</t>
  </si>
  <si>
    <t>S35A61</t>
  </si>
  <si>
    <t>S34A39</t>
  </si>
  <si>
    <t>S25A49</t>
  </si>
  <si>
    <t>S29A48</t>
  </si>
  <si>
    <t>S25A43</t>
  </si>
  <si>
    <t>S35A55</t>
  </si>
  <si>
    <t>S31A56</t>
  </si>
  <si>
    <t>S41A26</t>
  </si>
  <si>
    <t>S29A39</t>
  </si>
  <si>
    <t>S23A16</t>
  </si>
  <si>
    <t>S21A19</t>
  </si>
  <si>
    <t>S21A31</t>
  </si>
  <si>
    <t>S17A10</t>
  </si>
  <si>
    <t>S29A22</t>
  </si>
  <si>
    <t>S21A25</t>
  </si>
  <si>
    <t>S30A43</t>
  </si>
  <si>
    <t>S22A22</t>
  </si>
  <si>
    <t>S26A47</t>
  </si>
  <si>
    <t>S29A25</t>
  </si>
  <si>
    <t>S26A05</t>
  </si>
  <si>
    <t>S21A14</t>
  </si>
  <si>
    <t>S20A13</t>
  </si>
  <si>
    <t>S22A15</t>
  </si>
  <si>
    <t>S21A39</t>
  </si>
  <si>
    <t>S24A34</t>
  </si>
  <si>
    <t>S25A71</t>
  </si>
  <si>
    <t>S28A39</t>
  </si>
  <si>
    <t>S29A34</t>
  </si>
  <si>
    <t>S28A28</t>
  </si>
  <si>
    <t>S32A35</t>
  </si>
  <si>
    <t>S28A53</t>
  </si>
  <si>
    <t>S33A55</t>
  </si>
  <si>
    <t>S18A11</t>
  </si>
  <si>
    <t>S26A22</t>
  </si>
  <si>
    <t>S21A22</t>
  </si>
  <si>
    <t>S29A21</t>
  </si>
  <si>
    <t>S28A46</t>
  </si>
  <si>
    <t>S26A58</t>
  </si>
  <si>
    <t>S18A28</t>
  </si>
  <si>
    <t>S24A19</t>
  </si>
  <si>
    <t>S25A48</t>
  </si>
  <si>
    <t>S26A28</t>
  </si>
  <si>
    <t>S10A03</t>
  </si>
  <si>
    <t>S14A07</t>
  </si>
  <si>
    <t>S15A08</t>
  </si>
  <si>
    <t>S11A05</t>
  </si>
  <si>
    <t>S12A05</t>
  </si>
  <si>
    <t>S10A05</t>
  </si>
  <si>
    <t>S16A09</t>
  </si>
  <si>
    <t>S17A39</t>
  </si>
  <si>
    <t>S15A42</t>
  </si>
  <si>
    <t>S19A22</t>
  </si>
  <si>
    <t>S20A28</t>
  </si>
  <si>
    <t>S04A36</t>
  </si>
  <si>
    <t>S07A02</t>
  </si>
  <si>
    <t>S39A66</t>
  </si>
  <si>
    <t>S37A43</t>
  </si>
  <si>
    <t>S36A63</t>
  </si>
  <si>
    <t>S34A61</t>
  </si>
  <si>
    <t>S27A48</t>
  </si>
  <si>
    <t>S23A19</t>
  </si>
  <si>
    <t>S26A46</t>
  </si>
  <si>
    <t>S30A22</t>
  </si>
  <si>
    <t>S28A18</t>
  </si>
  <si>
    <t>S19A10</t>
  </si>
  <si>
    <t>S22A31</t>
  </si>
  <si>
    <t>S21A44</t>
  </si>
  <si>
    <t>S13A06</t>
  </si>
  <si>
    <t>S25A31</t>
  </si>
  <si>
    <t>S25A22</t>
  </si>
  <si>
    <t>S29A31</t>
  </si>
  <si>
    <t>S29A35</t>
  </si>
  <si>
    <t>S29A43</t>
  </si>
  <si>
    <t>S25A37</t>
  </si>
  <si>
    <t>S26A18</t>
  </si>
  <si>
    <t>S38A29</t>
  </si>
  <si>
    <t>S37A27</t>
  </si>
  <si>
    <t>S29A45</t>
  </si>
  <si>
    <t>S34A47</t>
  </si>
  <si>
    <t>S34A25</t>
  </si>
  <si>
    <t>S34A26</t>
  </si>
  <si>
    <t>S33A24</t>
  </si>
  <si>
    <t>S31A23</t>
  </si>
  <si>
    <t>S33A25</t>
  </si>
  <si>
    <t>S37A29</t>
  </si>
  <si>
    <t>S17A25</t>
  </si>
  <si>
    <t>S16A11</t>
  </si>
  <si>
    <t>S16A17</t>
  </si>
  <si>
    <t>S19A46</t>
  </si>
  <si>
    <t>S08A34</t>
  </si>
  <si>
    <t>S18A34</t>
  </si>
  <si>
    <t>S16A40</t>
  </si>
  <si>
    <t>S07A04</t>
  </si>
  <si>
    <t>S15A38</t>
  </si>
  <si>
    <t>S27A22</t>
  </si>
  <si>
    <t>S28A22</t>
  </si>
  <si>
    <t>S28A45</t>
  </si>
  <si>
    <t>S21A35</t>
  </si>
  <si>
    <t>S20A17</t>
  </si>
  <si>
    <t>S17A28</t>
  </si>
  <si>
    <t>S09A04</t>
  </si>
  <si>
    <t>S09A07</t>
  </si>
  <si>
    <t>S27A46</t>
  </si>
  <si>
    <t>S17A40</t>
  </si>
  <si>
    <t>S26A35</t>
  </si>
  <si>
    <t>S29A42</t>
  </si>
  <si>
    <t>S22A28</t>
  </si>
  <si>
    <t>S14A09</t>
  </si>
  <si>
    <t>S27A43</t>
  </si>
  <si>
    <t>S33A46</t>
  </si>
  <si>
    <t>S38A60</t>
  </si>
  <si>
    <t>S38A28</t>
  </si>
  <si>
    <t>S38A34</t>
  </si>
  <si>
    <t>S34A28</t>
  </si>
  <si>
    <t>S33A34</t>
  </si>
  <si>
    <t>S32A28</t>
  </si>
  <si>
    <t>S24A45</t>
  </si>
  <si>
    <t>S30A47</t>
  </si>
  <si>
    <t>S32A24</t>
  </si>
  <si>
    <t>S15A33</t>
  </si>
  <si>
    <t>S40A46</t>
  </si>
  <si>
    <t>S31A34</t>
  </si>
  <si>
    <t>S36A43</t>
  </si>
  <si>
    <t>S30A53</t>
  </si>
  <si>
    <t>S30A49</t>
  </si>
  <si>
    <t>S15A32</t>
  </si>
  <si>
    <t>S21A13</t>
  </si>
  <si>
    <t>S24A28</t>
  </si>
  <si>
    <t>S23A32</t>
  </si>
  <si>
    <t>S16A06</t>
  </si>
  <si>
    <t>S21A12</t>
  </si>
  <si>
    <t>S24A16</t>
  </si>
  <si>
    <t>S29A19</t>
  </si>
  <si>
    <t>S24A37</t>
  </si>
  <si>
    <t>S20A33</t>
  </si>
  <si>
    <t>S29A37</t>
  </si>
  <si>
    <t>S25A17</t>
  </si>
  <si>
    <t>S26A17</t>
  </si>
  <si>
    <t>S17A08</t>
  </si>
  <si>
    <t>S18A06</t>
  </si>
  <si>
    <t>S20A10</t>
  </si>
  <si>
    <t>S17A32</t>
  </si>
  <si>
    <t>S21A34</t>
  </si>
  <si>
    <t>S09A25</t>
  </si>
  <si>
    <t>S01A01</t>
  </si>
  <si>
    <t>S30A21</t>
  </si>
  <si>
    <t>S08A04</t>
  </si>
  <si>
    <t>S23A09</t>
  </si>
  <si>
    <t>S24A09</t>
  </si>
  <si>
    <t>S03A01</t>
  </si>
  <si>
    <t>S23A37</t>
  </si>
  <si>
    <t>S30A25</t>
  </si>
  <si>
    <t>S29A41</t>
  </si>
  <si>
    <t>S23A25</t>
  </si>
  <si>
    <t>S27A17</t>
  </si>
  <si>
    <t>S10A43</t>
  </si>
  <si>
    <t>S30A42</t>
  </si>
  <si>
    <t>S18A36</t>
  </si>
  <si>
    <t>S32A11</t>
  </si>
  <si>
    <t>S45A32</t>
  </si>
  <si>
    <t>S34A50</t>
  </si>
  <si>
    <t>S30A28</t>
  </si>
  <si>
    <t>S31A45</t>
  </si>
  <si>
    <t>S29A17</t>
  </si>
  <si>
    <t>S26A39</t>
  </si>
  <si>
    <t>S27A15</t>
  </si>
  <si>
    <t>S31A21</t>
  </si>
  <si>
    <t>S32A23</t>
  </si>
  <si>
    <t>S30A19</t>
  </si>
  <si>
    <t>S25A15</t>
  </si>
  <si>
    <t>S22A19</t>
  </si>
  <si>
    <t>S13A05</t>
  </si>
  <si>
    <t>S24A35</t>
  </si>
  <si>
    <t>S21A10</t>
  </si>
  <si>
    <t>S15A05</t>
  </si>
  <si>
    <t>S19A07</t>
  </si>
  <si>
    <t>S18A07</t>
  </si>
  <si>
    <t>S14A22</t>
  </si>
  <si>
    <t>S11A04</t>
  </si>
  <si>
    <t>S13A09</t>
  </si>
  <si>
    <t>S06A04</t>
  </si>
  <si>
    <t>S05A00</t>
  </si>
  <si>
    <t>S15A26</t>
  </si>
  <si>
    <t>S18A10</t>
  </si>
  <si>
    <t>S17A09</t>
  </si>
  <si>
    <t>S05A01</t>
  </si>
  <si>
    <t>S43A56</t>
  </si>
  <si>
    <t>S48A34</t>
  </si>
  <si>
    <t>S47A39</t>
  </si>
  <si>
    <t>S48A56</t>
  </si>
  <si>
    <t>S35A43</t>
  </si>
  <si>
    <t>S32A39</t>
  </si>
  <si>
    <t>S37A49</t>
  </si>
  <si>
    <t>S37A35</t>
  </si>
  <si>
    <t>S35A52</t>
  </si>
  <si>
    <t>S41A48</t>
  </si>
  <si>
    <t>S30A45</t>
  </si>
  <si>
    <t>S34A51</t>
  </si>
  <si>
    <t>S34A34</t>
  </si>
  <si>
    <t>S32A43</t>
  </si>
  <si>
    <t>S36A35</t>
  </si>
  <si>
    <t>S36A34</t>
  </si>
  <si>
    <t>S23A38</t>
  </si>
  <si>
    <t>S20A19</t>
  </si>
  <si>
    <t>S11A09</t>
  </si>
  <si>
    <t>S20A11</t>
  </si>
  <si>
    <t>S32A34</t>
  </si>
  <si>
    <t>S13A39</t>
  </si>
  <si>
    <t>S11A35</t>
  </si>
  <si>
    <t>S10A11</t>
  </si>
  <si>
    <t>S02A05</t>
  </si>
  <si>
    <t>S17A06</t>
  </si>
  <si>
    <t>S14A05</t>
  </si>
  <si>
    <t>S17A07</t>
  </si>
  <si>
    <t>S19A11</t>
  </si>
  <si>
    <t>S39A49</t>
  </si>
  <si>
    <t>S18A08</t>
  </si>
  <si>
    <t>S39A53</t>
  </si>
  <si>
    <t>S19A09</t>
  </si>
  <si>
    <t>S31A11</t>
  </si>
  <si>
    <t>S31A25</t>
  </si>
  <si>
    <t>S24A42</t>
  </si>
  <si>
    <t>S18A38</t>
  </si>
  <si>
    <t>S22A14</t>
  </si>
  <si>
    <t>S06A05</t>
  </si>
  <si>
    <t>S06A22</t>
  </si>
  <si>
    <t>S18A33</t>
  </si>
  <si>
    <t>S19A08</t>
  </si>
  <si>
    <t>S14A06</t>
  </si>
  <si>
    <t>S08A11</t>
  </si>
  <si>
    <t>S08A32</t>
  </si>
  <si>
    <t>S18A09</t>
  </si>
  <si>
    <t>S00A01</t>
  </si>
  <si>
    <t>S20A12</t>
  </si>
  <si>
    <t>S16A08</t>
  </si>
  <si>
    <t>S23A15</t>
  </si>
  <si>
    <t>//1.05</t>
  </si>
  <si>
    <t>//1.07</t>
  </si>
  <si>
    <t>//1.09</t>
  </si>
  <si>
    <t>//1.11</t>
  </si>
  <si>
    <t>//1.13</t>
  </si>
  <si>
    <t>//1.15</t>
  </si>
  <si>
    <t>//1</t>
  </si>
  <si>
    <t>//1.125</t>
  </si>
  <si>
    <t>//1.2</t>
  </si>
  <si>
    <t>//0.98</t>
  </si>
  <si>
    <t>//1.02</t>
  </si>
  <si>
    <t>//1.04</t>
  </si>
  <si>
    <t>//1.06</t>
  </si>
  <si>
    <t>//1.08</t>
  </si>
  <si>
    <t>//1.1</t>
  </si>
  <si>
    <t>//1.12</t>
  </si>
  <si>
    <t>= limit/5000 * 65</t>
  </si>
  <si>
    <t>Updated multiplicative rules, NCB, SI factor, Windscreen rate</t>
  </si>
  <si>
    <t>0.0</t>
  </si>
  <si>
    <t>= isEmpty (result) ? $initial : addWithoutNulls (result, $first )</t>
  </si>
  <si>
    <t>Spreadsheet OptionalCoverage[][] combine ( OptionalCoverage[][] covs, OptionalCoverage[][] result )</t>
  </si>
  <si>
    <t>calculateAllCells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</si>
</sst>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  <numFmt numFmtId="165" formatCode="0.0000"/>
    <numFmt numFmtId="166" formatCode="0.000000"/>
    <numFmt numFmtId="167" formatCode="d/mm/yyyy;@"/>
    <numFmt numFmtId="168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Franklin Gothic Book"/>
      <family val="2"/>
      <charset val="204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1"/>
      <name val="Franklin Gothic Book"/>
      <family val="2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34998626667073579"/>
      <name val="Franklin Gothic Book"/>
      <family val="2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sz val="10"/>
      <color theme="0" tint="-0.499984740745262"/>
      <name val="Franklin Gothic Book"/>
      <family val="2"/>
    </font>
    <font>
      <b/>
      <sz val="10"/>
      <color theme="1"/>
      <name val="Franklin Gothic Book"/>
      <family val="2"/>
    </font>
    <font>
      <sz val="9"/>
      <color theme="1"/>
      <name val="Franklin Gothic Book"/>
      <family val="2"/>
    </font>
    <font>
      <sz val="11"/>
      <color theme="0" tint="-0.34998626667073579"/>
      <name val="Franklin Gothic Book"/>
      <family val="2"/>
    </font>
    <font>
      <i/>
      <sz val="11"/>
      <color theme="0" tint="-0.34998626667073579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i/>
      <sz val="10"/>
      <color theme="0" tint="-0.499984740745262"/>
      <name val="Franklin Gothic Book"/>
      <family val="2"/>
    </font>
    <font>
      <i/>
      <sz val="11"/>
      <color theme="0" tint="-0.499984740745262"/>
      <name val="Calibri"/>
      <family val="2"/>
      <scheme val="minor"/>
    </font>
    <font>
      <b/>
      <sz val="10"/>
      <color theme="0" tint="-0.499984740745262"/>
      <name val="Franklin Gothic Book"/>
      <family val="2"/>
    </font>
    <font>
      <sz val="10"/>
      <color rgb="FFFF0000"/>
      <name val="Franklin Gothic Book"/>
      <family val="2"/>
    </font>
    <font>
      <i/>
      <sz val="11"/>
      <color rgb="FFFF0000"/>
      <name val="Calibri"/>
      <family val="2"/>
      <scheme val="minor"/>
    </font>
    <font>
      <sz val="11"/>
      <color theme="1"/>
      <name val="Franklin Gothic Book"/>
      <family val="2"/>
    </font>
    <font>
      <i/>
      <sz val="10"/>
      <color theme="0" tint="-0.499984740745262"/>
      <name val="Arial"/>
      <family val="2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9" tint="-0.249977111117893"/>
      <name val="Franklin Gothic Book"/>
      <family val="2"/>
    </font>
    <font>
      <b/>
      <sz val="10"/>
      <name val="Arial"/>
      <family val="2"/>
    </font>
    <font>
      <sz val="8"/>
      <color theme="1"/>
      <name val="Calibri"/>
      <family val="2"/>
      <scheme val="minor"/>
    </font>
    <font>
      <b/>
      <sz val="12"/>
      <name val="Franklin Gothic Book"/>
      <family val="2"/>
    </font>
    <font>
      <sz val="11"/>
      <color theme="9" tint="-0.249977111117893"/>
      <name val="Calibri"/>
      <family val="2"/>
      <scheme val="minor"/>
    </font>
    <font>
      <sz val="10"/>
      <color theme="9"/>
      <name val="Franklin Gothic Book"/>
      <family val="2"/>
    </font>
    <font>
      <b/>
      <sz val="14"/>
      <color theme="1"/>
      <name val="Franklin Gothic Book"/>
      <family val="2"/>
    </font>
    <font>
      <i/>
      <sz val="11"/>
      <color theme="9"/>
      <name val="Calibri"/>
      <family val="2"/>
      <scheme val="minor"/>
    </font>
    <font>
      <sz val="10"/>
      <color rgb="FF00B050"/>
      <name val="Franklin Gothic Book"/>
      <family val="2"/>
    </font>
    <font>
      <i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 rgb="FFFFFF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/>
      <bottom/>
      <diagonal/>
    </border>
    <border>
      <left style="hair">
        <color auto="1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 rgb="FFFFFF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 rgb="FFFFFF"/>
      </top>
      <bottom style="thin">
        <color theme="0" tint="-0.1499679555650502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 rgb="FFFFFF"/>
      </top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 rgb="FFFFFF"/>
      </right>
      <top/>
      <bottom/>
      <diagonal/>
    </border>
    <border>
      <left style="thin">
        <color theme="0" tint="-0.14996795556505021"/>
      </left>
      <right style="thin">
        <color theme="0" tint="-0.14996795556505021" rgb="FFFFFF"/>
      </right>
      <top/>
      <bottom style="thin">
        <color indexed="64"/>
      </bottom>
      <diagonal/>
    </border>
    <border>
      <left style="thin">
        <color theme="0" tint="-0.14996795556505021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auto="1"/>
      </top>
      <bottom/>
      <diagonal/>
    </border>
    <border>
      <left style="hair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/>
      <bottom style="thick">
        <color theme="3" tint="0.39994506668294322" rgb="1F497D"/>
      </bottom>
      <diagonal/>
    </border>
    <border>
      <top style="thin"/>
    </border>
    <border>
      <top style="thin"/>
      <bottom style="thin"/>
    </border>
    <border>
      <left/>
      <right/>
      <top/>
      <bottom style="thin"/>
      <diagonal/>
    </border>
  </borders>
  <cellStyleXfs count="18">
    <xf numFmtId="0" fontId="0" fillId="0" borderId="0"/>
    <xf numFmtId="0" fontId="10" fillId="7" borderId="0" applyNumberFormat="0" applyBorder="0" applyAlignment="0" applyProtection="0"/>
    <xf numFmtId="0" fontId="13" fillId="2" borderId="0">
      <alignment horizontal="left"/>
    </xf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8" fillId="13" borderId="0" applyNumberFormat="0" applyBorder="0" applyAlignment="0" applyProtection="0"/>
    <xf numFmtId="0" fontId="31" fillId="14" borderId="0" applyNumberFormat="0" applyBorder="0" applyAlignment="0" applyProtection="0"/>
    <xf numFmtId="0" fontId="29" fillId="0" borderId="0"/>
    <xf numFmtId="0" fontId="1" fillId="0" borderId="0"/>
    <xf numFmtId="0" fontId="1" fillId="0" borderId="0"/>
    <xf numFmtId="0" fontId="13" fillId="2" borderId="0">
      <alignment horizontal="left"/>
    </xf>
    <xf numFmtId="0" fontId="38" fillId="0" borderId="53"/>
    <xf numFmtId="0" fontId="0" fillId="0" borderId="0"/>
  </cellStyleXfs>
  <cellXfs count="509">
    <xf numFmtId="0" fontId="0" fillId="0" borderId="0" xfId="0"/>
    <xf numFmtId="0" fontId="0" fillId="0" borderId="0" xfId="0" applyFont="1" applyFill="1"/>
    <xf numFmtId="0" fontId="2" fillId="0" borderId="0" xfId="0" applyFont="1" applyFill="1" applyBorder="1" applyAlignment="1">
      <alignment vertical="center"/>
    </xf>
    <xf numFmtId="0" fontId="0" fillId="0" borderId="0" xfId="0" applyFont="1" applyAlignment="1">
      <alignment wrapText="1"/>
    </xf>
    <xf numFmtId="0" fontId="0" fillId="0" borderId="0" xfId="0" applyFont="1"/>
    <xf numFmtId="0" fontId="6" fillId="4" borderId="0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0" fillId="2" borderId="0" xfId="2" applyFont="1" applyFill="1" applyBorder="1">
      <alignment horizontal="left"/>
    </xf>
    <xf numFmtId="0" fontId="7" fillId="6" borderId="0" xfId="0" quotePrefix="1" applyFont="1" applyFill="1"/>
    <xf numFmtId="0" fontId="10" fillId="0" borderId="2" xfId="0" applyFont="1" applyBorder="1"/>
    <xf numFmtId="0" fontId="10" fillId="0" borderId="0" xfId="0" applyFont="1"/>
    <xf numFmtId="164" fontId="10" fillId="2" borderId="0" xfId="0" applyNumberFormat="1" applyFont="1" applyFill="1" applyBorder="1" applyAlignment="1">
      <alignment horizontal="left"/>
    </xf>
    <xf numFmtId="0" fontId="3" fillId="5" borderId="5" xfId="0" applyFont="1" applyFill="1" applyBorder="1" applyAlignment="1">
      <alignment horizontal="center" vertical="center"/>
    </xf>
    <xf numFmtId="0" fontId="10" fillId="6" borderId="0" xfId="0" quotePrefix="1" applyFont="1" applyFill="1" applyBorder="1" applyAlignment="1">
      <alignment wrapText="1"/>
    </xf>
    <xf numFmtId="0" fontId="3" fillId="4" borderId="0" xfId="1" applyFont="1" applyFill="1" applyBorder="1" applyAlignment="1">
      <alignment horizontal="center" vertical="top" wrapText="1"/>
    </xf>
    <xf numFmtId="0" fontId="12" fillId="8" borderId="0" xfId="1" applyFont="1" applyFill="1" applyBorder="1" applyAlignment="1">
      <alignment horizontal="center" vertical="top" wrapText="1"/>
    </xf>
    <xf numFmtId="0" fontId="11" fillId="2" borderId="0" xfId="0" quotePrefix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vertical="center"/>
    </xf>
    <xf numFmtId="0" fontId="11" fillId="2" borderId="0" xfId="0" quotePrefix="1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12" fillId="5" borderId="0" xfId="5" applyFont="1" applyFill="1" applyBorder="1" applyAlignment="1">
      <alignment horizontal="center"/>
    </xf>
    <xf numFmtId="165" fontId="10" fillId="6" borderId="0" xfId="5" applyNumberFormat="1" applyFont="1" applyFill="1" applyBorder="1" applyAlignment="1">
      <alignment horizontal="center"/>
    </xf>
    <xf numFmtId="0" fontId="10" fillId="2" borderId="0" xfId="5" applyFont="1" applyFill="1" applyBorder="1" applyAlignment="1">
      <alignment horizontal="center"/>
    </xf>
    <xf numFmtId="0" fontId="10" fillId="2" borderId="4" xfId="5" applyFont="1" applyFill="1" applyBorder="1" applyAlignment="1">
      <alignment horizontal="center"/>
    </xf>
    <xf numFmtId="165" fontId="10" fillId="6" borderId="9" xfId="5" applyNumberFormat="1" applyFont="1" applyFill="1" applyBorder="1" applyAlignment="1">
      <alignment horizontal="center"/>
    </xf>
    <xf numFmtId="0" fontId="3" fillId="3" borderId="0" xfId="0" applyFont="1" applyFill="1" applyBorder="1" applyAlignment="1" applyProtection="1">
      <alignment vertical="center" wrapText="1"/>
    </xf>
    <xf numFmtId="164" fontId="10" fillId="2" borderId="4" xfId="0" applyNumberFormat="1" applyFont="1" applyFill="1" applyBorder="1" applyAlignment="1">
      <alignment horizontal="left"/>
    </xf>
    <xf numFmtId="0" fontId="10" fillId="6" borderId="4" xfId="0" quotePrefix="1" applyFont="1" applyFill="1" applyBorder="1" applyAlignment="1">
      <alignment wrapText="1"/>
    </xf>
    <xf numFmtId="0" fontId="0" fillId="0" borderId="0" xfId="0"/>
    <xf numFmtId="166" fontId="10" fillId="6" borderId="0" xfId="0" applyNumberFormat="1" applyFont="1" applyFill="1" applyBorder="1" applyAlignment="1">
      <alignment horizontal="center"/>
    </xf>
    <xf numFmtId="166" fontId="10" fillId="6" borderId="4" xfId="0" applyNumberFormat="1" applyFont="1" applyFill="1" applyBorder="1" applyAlignment="1">
      <alignment horizontal="center"/>
    </xf>
    <xf numFmtId="0" fontId="0" fillId="0" borderId="6" xfId="0" applyBorder="1"/>
    <xf numFmtId="0" fontId="3" fillId="4" borderId="12" xfId="0" applyFont="1" applyFill="1" applyBorder="1" applyAlignment="1">
      <alignment horizontal="center" vertical="center" wrapText="1"/>
    </xf>
    <xf numFmtId="0" fontId="10" fillId="6" borderId="0" xfId="0" quotePrefix="1" applyFont="1" applyFill="1" applyBorder="1" applyAlignment="1">
      <alignment horizontal="left" wrapText="1"/>
    </xf>
    <xf numFmtId="0" fontId="0" fillId="9" borderId="2" xfId="0" applyFill="1" applyBorder="1" applyAlignment="1">
      <alignment horizontal="center"/>
    </xf>
    <xf numFmtId="0" fontId="17" fillId="9" borderId="2" xfId="0" applyFont="1" applyFill="1" applyBorder="1" applyAlignment="1">
      <alignment horizontal="center"/>
    </xf>
    <xf numFmtId="0" fontId="18" fillId="0" borderId="0" xfId="0" applyFont="1"/>
    <xf numFmtId="0" fontId="8" fillId="2" borderId="5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/>
    </xf>
    <xf numFmtId="165" fontId="10" fillId="6" borderId="10" xfId="5" applyNumberFormat="1" applyFont="1" applyFill="1" applyBorder="1" applyAlignment="1">
      <alignment horizontal="center"/>
    </xf>
    <xf numFmtId="165" fontId="10" fillId="6" borderId="11" xfId="5" applyNumberFormat="1" applyFont="1" applyFill="1" applyBorder="1" applyAlignment="1">
      <alignment horizontal="center"/>
    </xf>
    <xf numFmtId="0" fontId="12" fillId="5" borderId="7" xfId="5" applyFont="1" applyFill="1" applyBorder="1" applyAlignment="1">
      <alignment horizontal="center"/>
    </xf>
    <xf numFmtId="0" fontId="10" fillId="2" borderId="14" xfId="5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 vertical="center" wrapText="1"/>
    </xf>
    <xf numFmtId="0" fontId="10" fillId="2" borderId="15" xfId="5" applyFont="1" applyFill="1" applyBorder="1" applyAlignment="1">
      <alignment horizontal="center"/>
    </xf>
    <xf numFmtId="165" fontId="10" fillId="6" borderId="0" xfId="0" applyNumberFormat="1" applyFont="1" applyFill="1" applyBorder="1" applyAlignment="1">
      <alignment horizontal="center"/>
    </xf>
    <xf numFmtId="165" fontId="10" fillId="6" borderId="6" xfId="0" applyNumberFormat="1" applyFont="1" applyFill="1" applyBorder="1" applyAlignment="1">
      <alignment horizontal="center"/>
    </xf>
    <xf numFmtId="0" fontId="0" fillId="0" borderId="0" xfId="0"/>
    <xf numFmtId="0" fontId="3" fillId="4" borderId="5" xfId="6" applyFont="1" applyFill="1" applyBorder="1" applyAlignment="1">
      <alignment horizontal="center" vertical="center" wrapText="1"/>
    </xf>
    <xf numFmtId="0" fontId="3" fillId="5" borderId="12" xfId="6" applyFont="1" applyFill="1" applyBorder="1" applyAlignment="1">
      <alignment horizontal="center" vertical="center"/>
    </xf>
    <xf numFmtId="0" fontId="10" fillId="2" borderId="0" xfId="6" applyFont="1" applyFill="1" applyBorder="1" applyAlignment="1">
      <alignment horizontal="center"/>
    </xf>
    <xf numFmtId="0" fontId="10" fillId="2" borderId="4" xfId="6" applyFont="1" applyFill="1" applyBorder="1" applyAlignment="1">
      <alignment horizontal="center"/>
    </xf>
    <xf numFmtId="0" fontId="10" fillId="6" borderId="4" xfId="0" quotePrefix="1" applyFont="1" applyFill="1" applyBorder="1" applyAlignment="1">
      <alignment horizontal="left" wrapText="1"/>
    </xf>
    <xf numFmtId="0" fontId="0" fillId="9" borderId="2" xfId="0" quotePrefix="1" applyFill="1" applyBorder="1" applyAlignment="1">
      <alignment horizontal="center"/>
    </xf>
    <xf numFmtId="0" fontId="19" fillId="10" borderId="2" xfId="0" applyFont="1" applyFill="1" applyBorder="1" applyAlignment="1">
      <alignment horizontal="center" wrapText="1"/>
    </xf>
    <xf numFmtId="0" fontId="9" fillId="2" borderId="5" xfId="0" applyFont="1" applyFill="1" applyBorder="1"/>
    <xf numFmtId="0" fontId="9" fillId="2" borderId="0" xfId="0" applyFont="1" applyFill="1" applyBorder="1"/>
    <xf numFmtId="0" fontId="9" fillId="2" borderId="4" xfId="0" applyFont="1" applyFill="1" applyBorder="1"/>
    <xf numFmtId="0" fontId="9" fillId="2" borderId="0" xfId="0" applyFont="1" applyFill="1"/>
    <xf numFmtId="0" fontId="9" fillId="2" borderId="3" xfId="0" applyFont="1" applyFill="1" applyBorder="1" applyAlignment="1">
      <alignment horizontal="center"/>
    </xf>
    <xf numFmtId="0" fontId="9" fillId="2" borderId="6" xfId="5" applyFont="1" applyFill="1" applyBorder="1"/>
    <xf numFmtId="0" fontId="9" fillId="2" borderId="0" xfId="0" applyFont="1" applyFill="1" applyAlignment="1">
      <alignment horizontal="center"/>
    </xf>
    <xf numFmtId="0" fontId="9" fillId="2" borderId="0" xfId="5" applyFont="1" applyFill="1"/>
    <xf numFmtId="0" fontId="9" fillId="2" borderId="5" xfId="5" applyFont="1" applyFill="1" applyBorder="1"/>
    <xf numFmtId="0" fontId="9" fillId="2" borderId="0" xfId="5" applyFont="1" applyFill="1" applyBorder="1"/>
    <xf numFmtId="0" fontId="9" fillId="2" borderId="4" xfId="5" applyFont="1" applyFill="1" applyBorder="1"/>
    <xf numFmtId="0" fontId="9" fillId="2" borderId="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5" fontId="10" fillId="11" borderId="10" xfId="6" applyNumberFormat="1" applyFont="1" applyFill="1" applyBorder="1" applyAlignment="1">
      <alignment horizontal="center" vertical="center"/>
    </xf>
    <xf numFmtId="165" fontId="10" fillId="11" borderId="11" xfId="6" applyNumberFormat="1" applyFont="1" applyFill="1" applyBorder="1" applyAlignment="1">
      <alignment horizontal="center" vertical="center"/>
    </xf>
    <xf numFmtId="0" fontId="3" fillId="5" borderId="0" xfId="6" applyFont="1" applyFill="1" applyBorder="1" applyAlignment="1">
      <alignment horizontal="center" vertical="center"/>
    </xf>
    <xf numFmtId="0" fontId="22" fillId="0" borderId="0" xfId="0" applyFont="1"/>
    <xf numFmtId="0" fontId="11" fillId="2" borderId="0" xfId="6" applyFont="1" applyFill="1" applyBorder="1" applyAlignment="1">
      <alignment horizontal="left" vertical="center"/>
    </xf>
    <xf numFmtId="0" fontId="10" fillId="2" borderId="5" xfId="4" applyFont="1" applyFill="1" applyBorder="1" applyAlignment="1">
      <alignment horizontal="center"/>
    </xf>
    <xf numFmtId="0" fontId="10" fillId="2" borderId="0" xfId="4" applyFont="1" applyFill="1" applyBorder="1" applyAlignment="1">
      <alignment horizontal="center"/>
    </xf>
    <xf numFmtId="0" fontId="10" fillId="2" borderId="4" xfId="4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12" fillId="5" borderId="19" xfId="5" applyFont="1" applyFill="1" applyBorder="1" applyAlignment="1">
      <alignment horizontal="center"/>
    </xf>
    <xf numFmtId="0" fontId="10" fillId="2" borderId="8" xfId="5" applyFont="1" applyFill="1" applyBorder="1" applyAlignment="1">
      <alignment horizontal="center"/>
    </xf>
    <xf numFmtId="0" fontId="0" fillId="0" borderId="0" xfId="0"/>
    <xf numFmtId="0" fontId="3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10" fillId="2" borderId="23" xfId="5" applyFont="1" applyFill="1" applyBorder="1" applyAlignment="1">
      <alignment horizontal="center"/>
    </xf>
    <xf numFmtId="0" fontId="10" fillId="2" borderId="25" xfId="5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2" borderId="0" xfId="0" quotePrefix="1" applyFont="1" applyFill="1" applyBorder="1" applyAlignment="1">
      <alignment horizontal="center"/>
    </xf>
    <xf numFmtId="16" fontId="10" fillId="2" borderId="0" xfId="0" quotePrefix="1" applyNumberFormat="1" applyFont="1" applyFill="1" applyBorder="1" applyAlignment="1">
      <alignment horizontal="center"/>
    </xf>
    <xf numFmtId="165" fontId="10" fillId="11" borderId="0" xfId="0" applyNumberFormat="1" applyFont="1" applyFill="1" applyBorder="1" applyAlignment="1">
      <alignment horizontal="center"/>
    </xf>
    <xf numFmtId="165" fontId="10" fillId="11" borderId="20" xfId="0" applyNumberFormat="1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 vertical="center"/>
    </xf>
    <xf numFmtId="165" fontId="10" fillId="11" borderId="21" xfId="0" applyNumberFormat="1" applyFont="1" applyFill="1" applyBorder="1" applyAlignment="1">
      <alignment horizontal="center"/>
    </xf>
    <xf numFmtId="0" fontId="10" fillId="0" borderId="26" xfId="0" applyFont="1" applyBorder="1" applyAlignment="1"/>
    <xf numFmtId="0" fontId="10" fillId="2" borderId="26" xfId="4" applyFont="1" applyFill="1" applyBorder="1" applyAlignment="1">
      <alignment horizontal="center" vertical="center"/>
    </xf>
    <xf numFmtId="166" fontId="10" fillId="6" borderId="27" xfId="0" applyNumberFormat="1" applyFont="1" applyFill="1" applyBorder="1" applyAlignment="1">
      <alignment horizontal="center"/>
    </xf>
    <xf numFmtId="0" fontId="10" fillId="2" borderId="21" xfId="5" applyFont="1" applyFill="1" applyBorder="1" applyAlignment="1">
      <alignment vertical="center"/>
    </xf>
    <xf numFmtId="0" fontId="0" fillId="0" borderId="21" xfId="0" applyBorder="1" applyAlignment="1"/>
    <xf numFmtId="0" fontId="10" fillId="2" borderId="21" xfId="4" applyFont="1" applyFill="1" applyBorder="1" applyAlignment="1">
      <alignment vertical="center"/>
    </xf>
    <xf numFmtId="166" fontId="10" fillId="6" borderId="21" xfId="0" applyNumberFormat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 wrapText="1"/>
    </xf>
    <xf numFmtId="0" fontId="10" fillId="2" borderId="9" xfId="0" quotePrefix="1" applyFont="1" applyFill="1" applyBorder="1" applyAlignment="1">
      <alignment horizontal="center" vertical="center"/>
    </xf>
    <xf numFmtId="0" fontId="10" fillId="6" borderId="20" xfId="0" quotePrefix="1" applyFont="1" applyFill="1" applyBorder="1" applyAlignment="1">
      <alignment wrapText="1"/>
    </xf>
    <xf numFmtId="0" fontId="10" fillId="2" borderId="20" xfId="2" applyFont="1" applyFill="1" applyBorder="1">
      <alignment horizontal="left"/>
    </xf>
    <xf numFmtId="0" fontId="11" fillId="2" borderId="0" xfId="0" applyFont="1" applyFill="1" applyBorder="1" applyAlignment="1">
      <alignment horizontal="left" vertical="center"/>
    </xf>
    <xf numFmtId="0" fontId="7" fillId="6" borderId="20" xfId="0" quotePrefix="1" applyFont="1" applyFill="1" applyBorder="1"/>
    <xf numFmtId="165" fontId="10" fillId="6" borderId="20" xfId="0" applyNumberFormat="1" applyFont="1" applyFill="1" applyBorder="1" applyAlignment="1">
      <alignment horizontal="center"/>
    </xf>
    <xf numFmtId="0" fontId="4" fillId="2" borderId="0" xfId="2" applyFont="1" applyFill="1" applyBorder="1">
      <alignment horizontal="left"/>
    </xf>
    <xf numFmtId="0" fontId="10" fillId="2" borderId="9" xfId="0" quotePrefix="1" applyFont="1" applyFill="1" applyBorder="1" applyAlignment="1">
      <alignment horizontal="right" vertical="center"/>
    </xf>
    <xf numFmtId="0" fontId="0" fillId="11" borderId="16" xfId="0" applyNumberFormat="1" applyFill="1" applyBorder="1" applyAlignment="1">
      <alignment horizontal="center"/>
    </xf>
    <xf numFmtId="1" fontId="0" fillId="11" borderId="16" xfId="0" applyNumberFormat="1" applyFill="1" applyBorder="1" applyAlignment="1">
      <alignment horizontal="center"/>
    </xf>
    <xf numFmtId="0" fontId="10" fillId="2" borderId="9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0" fontId="0" fillId="11" borderId="17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center"/>
    </xf>
    <xf numFmtId="0" fontId="0" fillId="0" borderId="29" xfId="0" applyBorder="1"/>
    <xf numFmtId="0" fontId="3" fillId="4" borderId="5" xfId="0" applyFont="1" applyFill="1" applyBorder="1" applyAlignment="1">
      <alignment horizontal="center" vertical="center" wrapText="1"/>
    </xf>
    <xf numFmtId="0" fontId="10" fillId="2" borderId="20" xfId="4" applyFont="1" applyFill="1" applyBorder="1" applyAlignment="1">
      <alignment horizontal="center"/>
    </xf>
    <xf numFmtId="0" fontId="3" fillId="5" borderId="5" xfId="6" applyFont="1" applyFill="1" applyBorder="1" applyAlignment="1">
      <alignment horizontal="center" vertical="center"/>
    </xf>
    <xf numFmtId="1" fontId="10" fillId="2" borderId="0" xfId="0" applyNumberFormat="1" applyFont="1" applyFill="1" applyBorder="1" applyAlignment="1">
      <alignment horizontal="center"/>
    </xf>
    <xf numFmtId="0" fontId="0" fillId="2" borderId="21" xfId="0" applyFill="1" applyBorder="1"/>
    <xf numFmtId="0" fontId="3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2" fontId="10" fillId="6" borderId="0" xfId="0" applyNumberFormat="1" applyFont="1" applyFill="1" applyBorder="1" applyAlignment="1">
      <alignment horizontal="center"/>
    </xf>
    <xf numFmtId="2" fontId="10" fillId="6" borderId="29" xfId="0" applyNumberFormat="1" applyFont="1" applyFill="1" applyBorder="1" applyAlignment="1">
      <alignment horizontal="center"/>
    </xf>
    <xf numFmtId="164" fontId="10" fillId="2" borderId="0" xfId="0" applyNumberFormat="1" applyFont="1" applyFill="1" applyBorder="1" applyAlignment="1">
      <alignment horizontal="center"/>
    </xf>
    <xf numFmtId="164" fontId="10" fillId="2" borderId="29" xfId="0" applyNumberFormat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 wrapText="1"/>
    </xf>
    <xf numFmtId="10" fontId="10" fillId="6" borderId="0" xfId="9" applyNumberFormat="1" applyFont="1" applyFill="1" applyBorder="1" applyAlignment="1">
      <alignment horizontal="center"/>
    </xf>
    <xf numFmtId="10" fontId="10" fillId="6" borderId="29" xfId="9" applyNumberFormat="1" applyFont="1" applyFill="1" applyBorder="1" applyAlignment="1">
      <alignment horizontal="center"/>
    </xf>
    <xf numFmtId="5" fontId="10" fillId="6" borderId="0" xfId="8" applyNumberFormat="1" applyFont="1" applyFill="1" applyBorder="1" applyAlignment="1">
      <alignment horizontal="center"/>
    </xf>
    <xf numFmtId="5" fontId="10" fillId="6" borderId="29" xfId="8" applyNumberFormat="1" applyFont="1" applyFill="1" applyBorder="1" applyAlignment="1">
      <alignment horizontal="center"/>
    </xf>
    <xf numFmtId="0" fontId="0" fillId="0" borderId="20" xfId="0" applyBorder="1"/>
    <xf numFmtId="0" fontId="10" fillId="2" borderId="31" xfId="5" applyFont="1" applyFill="1" applyBorder="1" applyAlignment="1">
      <alignment horizontal="center" vertical="center"/>
    </xf>
    <xf numFmtId="165" fontId="10" fillId="6" borderId="31" xfId="0" applyNumberFormat="1" applyFont="1" applyFill="1" applyBorder="1" applyAlignment="1">
      <alignment horizontal="center"/>
    </xf>
    <xf numFmtId="164" fontId="10" fillId="2" borderId="4" xfId="0" applyNumberFormat="1" applyFont="1" applyFill="1" applyBorder="1" applyAlignment="1">
      <alignment horizontal="left" vertical="center"/>
    </xf>
    <xf numFmtId="0" fontId="10" fillId="6" borderId="4" xfId="0" quotePrefix="1" applyFont="1" applyFill="1" applyBorder="1" applyAlignment="1">
      <alignment horizontal="left" vertical="center" wrapText="1"/>
    </xf>
    <xf numFmtId="0" fontId="10" fillId="0" borderId="0" xfId="0" quotePrefix="1" applyFont="1"/>
    <xf numFmtId="2" fontId="0" fillId="0" borderId="0" xfId="0" applyNumberFormat="1"/>
    <xf numFmtId="0" fontId="10" fillId="2" borderId="0" xfId="5" applyNumberFormat="1" applyFont="1" applyFill="1" applyBorder="1" applyAlignment="1">
      <alignment horizontal="center" vertical="center"/>
    </xf>
    <xf numFmtId="0" fontId="10" fillId="2" borderId="14" xfId="5" applyNumberFormat="1" applyFont="1" applyFill="1" applyBorder="1" applyAlignment="1">
      <alignment horizontal="center" vertical="center"/>
    </xf>
    <xf numFmtId="0" fontId="10" fillId="2" borderId="15" xfId="5" applyNumberFormat="1" applyFont="1" applyFill="1" applyBorder="1" applyAlignment="1">
      <alignment horizontal="center" vertical="center"/>
    </xf>
    <xf numFmtId="0" fontId="12" fillId="5" borderId="7" xfId="5" applyFont="1" applyFill="1" applyBorder="1" applyAlignment="1">
      <alignment horizontal="center" vertical="center"/>
    </xf>
    <xf numFmtId="0" fontId="10" fillId="2" borderId="20" xfId="5" applyFont="1" applyFill="1" applyBorder="1" applyAlignment="1">
      <alignment horizontal="center"/>
    </xf>
    <xf numFmtId="0" fontId="0" fillId="2" borderId="0" xfId="0" applyFill="1"/>
    <xf numFmtId="0" fontId="3" fillId="4" borderId="5" xfId="0" applyFont="1" applyFill="1" applyBorder="1" applyAlignment="1">
      <alignment horizontal="center" vertical="center" wrapText="1"/>
    </xf>
    <xf numFmtId="0" fontId="25" fillId="0" borderId="0" xfId="0" applyFont="1" applyAlignment="1"/>
    <xf numFmtId="0" fontId="12" fillId="2" borderId="0" xfId="2" applyFont="1" applyFill="1" applyBorder="1">
      <alignment horizontal="left"/>
    </xf>
    <xf numFmtId="0" fontId="12" fillId="6" borderId="0" xfId="0" quotePrefix="1" applyFont="1" applyFill="1"/>
    <xf numFmtId="0" fontId="12" fillId="6" borderId="0" xfId="0" quotePrefix="1" applyFont="1" applyFill="1" applyBorder="1"/>
    <xf numFmtId="0" fontId="7" fillId="6" borderId="0" xfId="0" quotePrefix="1" applyFont="1" applyFill="1" applyBorder="1"/>
    <xf numFmtId="0" fontId="0" fillId="0" borderId="0" xfId="0" quotePrefix="1" applyFont="1" applyAlignment="1">
      <alignment wrapText="1"/>
    </xf>
    <xf numFmtId="0" fontId="3" fillId="2" borderId="0" xfId="2" applyFont="1" applyFill="1" applyBorder="1">
      <alignment horizontal="left"/>
    </xf>
    <xf numFmtId="0" fontId="15" fillId="0" borderId="0" xfId="0" applyFont="1"/>
    <xf numFmtId="0" fontId="25" fillId="0" borderId="0" xfId="0" applyFont="1"/>
    <xf numFmtId="0" fontId="10" fillId="0" borderId="0" xfId="0" applyFont="1" applyAlignment="1">
      <alignment wrapText="1"/>
    </xf>
    <xf numFmtId="0" fontId="3" fillId="4" borderId="5" xfId="0" applyFont="1" applyFill="1" applyBorder="1" applyAlignment="1">
      <alignment horizontal="center" vertical="center" wrapText="1"/>
    </xf>
    <xf numFmtId="0" fontId="7" fillId="6" borderId="0" xfId="0" quotePrefix="1" applyFont="1" applyFill="1" applyAlignment="1">
      <alignment horizontal="center"/>
    </xf>
    <xf numFmtId="0" fontId="7" fillId="6" borderId="20" xfId="0" quotePrefix="1" applyFont="1" applyFill="1" applyBorder="1" applyAlignment="1">
      <alignment horizontal="center"/>
    </xf>
    <xf numFmtId="0" fontId="0" fillId="0" borderId="0" xfId="0"/>
    <xf numFmtId="0" fontId="10" fillId="0" borderId="0" xfId="0" applyFont="1"/>
    <xf numFmtId="0" fontId="3" fillId="5" borderId="5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/>
    </xf>
    <xf numFmtId="0" fontId="10" fillId="11" borderId="0" xfId="0" applyFont="1" applyFill="1" applyBorder="1" applyAlignment="1">
      <alignment horizontal="center"/>
    </xf>
    <xf numFmtId="0" fontId="10" fillId="11" borderId="20" xfId="0" applyFont="1" applyFill="1" applyBorder="1" applyAlignment="1">
      <alignment horizontal="center"/>
    </xf>
    <xf numFmtId="0" fontId="10" fillId="11" borderId="21" xfId="0" applyFont="1" applyFill="1" applyBorder="1" applyAlignment="1">
      <alignment horizontal="center"/>
    </xf>
    <xf numFmtId="0" fontId="0" fillId="2" borderId="21" xfId="0" applyFill="1" applyBorder="1"/>
    <xf numFmtId="0" fontId="3" fillId="4" borderId="32" xfId="0" applyFont="1" applyFill="1" applyBorder="1" applyAlignment="1">
      <alignment horizontal="center" vertical="center" wrapText="1"/>
    </xf>
    <xf numFmtId="0" fontId="26" fillId="0" borderId="0" xfId="0" applyFont="1"/>
    <xf numFmtId="0" fontId="3" fillId="4" borderId="5" xfId="0" applyFont="1" applyFill="1" applyBorder="1" applyAlignment="1">
      <alignment horizontal="center" vertical="center" wrapText="1"/>
    </xf>
    <xf numFmtId="0" fontId="10" fillId="2" borderId="20" xfId="5" applyFont="1" applyFill="1" applyBorder="1" applyAlignment="1">
      <alignment horizontal="center"/>
    </xf>
    <xf numFmtId="164" fontId="10" fillId="2" borderId="20" xfId="0" applyNumberFormat="1" applyFont="1" applyFill="1" applyBorder="1" applyAlignment="1">
      <alignment horizontal="left"/>
    </xf>
    <xf numFmtId="0" fontId="11" fillId="2" borderId="20" xfId="0" applyFont="1" applyFill="1" applyBorder="1" applyAlignment="1">
      <alignment horizontal="left" vertical="center"/>
    </xf>
    <xf numFmtId="0" fontId="11" fillId="2" borderId="20" xfId="0" applyFont="1" applyFill="1" applyBorder="1" applyAlignment="1">
      <alignment vertical="center"/>
    </xf>
    <xf numFmtId="0" fontId="11" fillId="2" borderId="20" xfId="6" applyFont="1" applyFill="1" applyBorder="1" applyAlignment="1">
      <alignment horizontal="left" vertical="center"/>
    </xf>
    <xf numFmtId="0" fontId="11" fillId="2" borderId="0" xfId="6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10" fillId="6" borderId="0" xfId="0" quotePrefix="1" applyFont="1" applyFill="1" applyBorder="1" applyAlignment="1">
      <alignment horizontal="center" wrapText="1"/>
    </xf>
    <xf numFmtId="0" fontId="10" fillId="6" borderId="20" xfId="0" quotePrefix="1" applyFont="1" applyFill="1" applyBorder="1" applyAlignment="1">
      <alignment horizontal="center" wrapText="1"/>
    </xf>
    <xf numFmtId="0" fontId="4" fillId="6" borderId="0" xfId="0" quotePrefix="1" applyFont="1" applyFill="1"/>
    <xf numFmtId="0" fontId="4" fillId="6" borderId="20" xfId="0" quotePrefix="1" applyFont="1" applyFill="1" applyBorder="1"/>
    <xf numFmtId="165" fontId="10" fillId="6" borderId="20" xfId="5" applyNumberFormat="1" applyFont="1" applyFill="1" applyBorder="1" applyAlignment="1">
      <alignment horizontal="center"/>
    </xf>
    <xf numFmtId="165" fontId="10" fillId="6" borderId="8" xfId="5" applyNumberFormat="1" applyFont="1" applyFill="1" applyBorder="1" applyAlignment="1">
      <alignment horizontal="center"/>
    </xf>
    <xf numFmtId="0" fontId="24" fillId="0" borderId="0" xfId="0" applyFont="1"/>
    <xf numFmtId="0" fontId="10" fillId="0" borderId="0" xfId="3" applyFont="1" applyAlignment="1">
      <alignment wrapText="1"/>
    </xf>
    <xf numFmtId="0" fontId="21" fillId="0" borderId="0" xfId="3" applyFont="1" applyAlignment="1"/>
    <xf numFmtId="0" fontId="10" fillId="2" borderId="0" xfId="5" applyFont="1" applyFill="1" applyBorder="1" applyAlignment="1">
      <alignment horizontal="center"/>
    </xf>
    <xf numFmtId="165" fontId="10" fillId="12" borderId="0" xfId="0" applyNumberFormat="1" applyFont="1" applyFill="1" applyBorder="1" applyAlignment="1">
      <alignment horizontal="center"/>
    </xf>
    <xf numFmtId="165" fontId="4" fillId="6" borderId="0" xfId="0" quotePrefix="1" applyNumberFormat="1" applyFont="1" applyFill="1" applyBorder="1" applyAlignment="1">
      <alignment horizontal="center"/>
    </xf>
    <xf numFmtId="165" fontId="4" fillId="6" borderId="0" xfId="0" quotePrefix="1" applyNumberFormat="1" applyFont="1" applyFill="1" applyBorder="1" applyAlignment="1">
      <alignment horizontal="center" vertical="center"/>
    </xf>
    <xf numFmtId="0" fontId="27" fillId="0" borderId="0" xfId="0" applyFont="1"/>
    <xf numFmtId="0" fontId="0" fillId="0" borderId="0" xfId="0"/>
    <xf numFmtId="0" fontId="0" fillId="0" borderId="0" xfId="0" applyFont="1" applyAlignment="1">
      <alignment wrapText="1"/>
    </xf>
    <xf numFmtId="0" fontId="0" fillId="0" borderId="0" xfId="0" applyFont="1"/>
    <xf numFmtId="0" fontId="6" fillId="4" borderId="0" xfId="0" applyFont="1" applyFill="1" applyBorder="1" applyAlignment="1">
      <alignment horizontal="center" vertical="center"/>
    </xf>
    <xf numFmtId="0" fontId="10" fillId="2" borderId="0" xfId="2" applyFont="1" applyFill="1" applyBorder="1">
      <alignment horizontal="left"/>
    </xf>
    <xf numFmtId="0" fontId="10" fillId="0" borderId="0" xfId="0" applyFont="1"/>
    <xf numFmtId="0" fontId="10" fillId="6" borderId="0" xfId="0" quotePrefix="1" applyFont="1" applyFill="1" applyBorder="1" applyAlignment="1">
      <alignment wrapText="1"/>
    </xf>
    <xf numFmtId="0" fontId="10" fillId="6" borderId="20" xfId="0" quotePrefix="1" applyFont="1" applyFill="1" applyBorder="1" applyAlignment="1">
      <alignment wrapText="1"/>
    </xf>
    <xf numFmtId="0" fontId="10" fillId="2" borderId="20" xfId="2" applyFont="1" applyFill="1" applyBorder="1">
      <alignment horizontal="left"/>
    </xf>
    <xf numFmtId="14" fontId="10" fillId="0" borderId="0" xfId="0" applyNumberFormat="1" applyFont="1"/>
    <xf numFmtId="0" fontId="3" fillId="4" borderId="5" xfId="0" applyFont="1" applyFill="1" applyBorder="1" applyAlignment="1">
      <alignment horizontal="center" vertical="center" wrapText="1"/>
    </xf>
    <xf numFmtId="0" fontId="10" fillId="2" borderId="0" xfId="5" applyFont="1" applyFill="1" applyBorder="1" applyAlignment="1">
      <alignment horizontal="center"/>
    </xf>
    <xf numFmtId="0" fontId="10" fillId="2" borderId="20" xfId="5" applyFont="1" applyFill="1" applyBorder="1" applyAlignment="1">
      <alignment horizontal="center"/>
    </xf>
    <xf numFmtId="167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14" fontId="10" fillId="0" borderId="0" xfId="0" applyNumberFormat="1" applyFont="1" applyAlignment="1">
      <alignment horizontal="right"/>
    </xf>
    <xf numFmtId="165" fontId="10" fillId="6" borderId="0" xfId="5" quotePrefix="1" applyNumberFormat="1" applyFont="1" applyFill="1" applyBorder="1" applyAlignment="1">
      <alignment horizontal="center" vertical="center"/>
    </xf>
    <xf numFmtId="165" fontId="10" fillId="6" borderId="20" xfId="5" quotePrefix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/>
    <xf numFmtId="0" fontId="10" fillId="6" borderId="0" xfId="0" quotePrefix="1" applyFont="1" applyFill="1" applyBorder="1" applyAlignment="1">
      <alignment wrapText="1"/>
    </xf>
    <xf numFmtId="0" fontId="7" fillId="11" borderId="0" xfId="0" quotePrefix="1" applyFont="1" applyFill="1"/>
    <xf numFmtId="0" fontId="6" fillId="5" borderId="5" xfId="0" applyFont="1" applyFill="1" applyBorder="1" applyAlignment="1">
      <alignment horizontal="center" vertical="center"/>
    </xf>
    <xf numFmtId="0" fontId="10" fillId="6" borderId="0" xfId="0" quotePrefix="1" applyFont="1" applyFill="1" applyBorder="1" applyAlignment="1">
      <alignment wrapText="1"/>
    </xf>
    <xf numFmtId="0" fontId="30" fillId="0" borderId="0" xfId="0" applyFont="1"/>
    <xf numFmtId="0" fontId="30" fillId="0" borderId="0" xfId="0" applyFont="1" applyAlignment="1">
      <alignment wrapText="1"/>
    </xf>
    <xf numFmtId="0" fontId="10" fillId="6" borderId="0" xfId="0" quotePrefix="1" applyFont="1" applyFill="1" applyBorder="1" applyAlignment="1">
      <alignment wrapText="1"/>
    </xf>
    <xf numFmtId="0" fontId="4" fillId="6" borderId="0" xfId="0" quotePrefix="1" applyFont="1" applyFill="1" applyBorder="1"/>
    <xf numFmtId="0" fontId="4" fillId="2" borderId="20" xfId="2" applyFont="1" applyFill="1" applyBorder="1">
      <alignment horizontal="left"/>
    </xf>
    <xf numFmtId="0" fontId="10" fillId="6" borderId="0" xfId="0" quotePrefix="1" applyFont="1" applyFill="1" applyBorder="1" applyAlignment="1">
      <alignment wrapText="1"/>
    </xf>
    <xf numFmtId="0" fontId="0" fillId="0" borderId="0" xfId="0"/>
    <xf numFmtId="0" fontId="0" fillId="0" borderId="0" xfId="0" applyFont="1" applyAlignment="1">
      <alignment wrapText="1"/>
    </xf>
    <xf numFmtId="0" fontId="3" fillId="4" borderId="0" xfId="1" applyFont="1" applyFill="1" applyBorder="1" applyAlignment="1">
      <alignment horizontal="center" vertical="top" wrapText="1"/>
    </xf>
    <xf numFmtId="0" fontId="12" fillId="8" borderId="0" xfId="1" applyFont="1" applyFill="1" applyBorder="1" applyAlignment="1">
      <alignment horizontal="center" vertical="top" wrapText="1"/>
    </xf>
    <xf numFmtId="0" fontId="4" fillId="2" borderId="0" xfId="2" applyFont="1" applyFill="1" applyBorder="1">
      <alignment horizontal="left"/>
    </xf>
    <xf numFmtId="0" fontId="0" fillId="0" borderId="0" xfId="0" quotePrefix="1" applyFont="1" applyAlignment="1">
      <alignment wrapText="1"/>
    </xf>
    <xf numFmtId="0" fontId="2" fillId="6" borderId="0" xfId="0" quotePrefix="1" applyFont="1" applyFill="1"/>
    <xf numFmtId="0" fontId="4" fillId="2" borderId="20" xfId="2" applyFont="1" applyFill="1" applyBorder="1">
      <alignment horizontal="left"/>
    </xf>
    <xf numFmtId="0" fontId="2" fillId="6" borderId="0" xfId="0" quotePrefix="1" applyFont="1" applyFill="1" applyBorder="1"/>
    <xf numFmtId="0" fontId="2" fillId="6" borderId="20" xfId="0" quotePrefix="1" applyFont="1" applyFill="1" applyBorder="1"/>
    <xf numFmtId="0" fontId="3" fillId="2" borderId="21" xfId="2" applyFont="1" applyFill="1" applyBorder="1">
      <alignment horizontal="left"/>
    </xf>
    <xf numFmtId="0" fontId="3" fillId="6" borderId="21" xfId="0" quotePrefix="1" applyFont="1" applyFill="1" applyBorder="1"/>
    <xf numFmtId="0" fontId="12" fillId="5" borderId="27" xfId="5" applyFont="1" applyFill="1" applyBorder="1" applyAlignment="1">
      <alignment horizontal="center"/>
    </xf>
    <xf numFmtId="0" fontId="10" fillId="6" borderId="0" xfId="0" quotePrefix="1" applyFont="1" applyFill="1" applyBorder="1" applyAlignment="1">
      <alignment wrapText="1"/>
    </xf>
    <xf numFmtId="0" fontId="8" fillId="2" borderId="2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64" fontId="10" fillId="2" borderId="0" xfId="0" applyNumberFormat="1" applyFont="1" applyFill="1" applyBorder="1" applyAlignment="1">
      <alignment horizontal="left" vertical="top"/>
    </xf>
    <xf numFmtId="164" fontId="4" fillId="2" borderId="0" xfId="0" applyNumberFormat="1" applyFont="1" applyFill="1" applyBorder="1" applyAlignment="1">
      <alignment horizontal="left"/>
    </xf>
    <xf numFmtId="0" fontId="4" fillId="6" borderId="0" xfId="0" quotePrefix="1" applyFont="1" applyFill="1" applyBorder="1" applyAlignment="1">
      <alignment horizontal="left" wrapText="1"/>
    </xf>
    <xf numFmtId="0" fontId="18" fillId="0" borderId="0" xfId="0" applyFont="1" applyAlignment="1"/>
    <xf numFmtId="0" fontId="4" fillId="6" borderId="0" xfId="0" quotePrefix="1" applyFont="1" applyFill="1" applyBorder="1" applyAlignment="1">
      <alignment wrapText="1"/>
    </xf>
    <xf numFmtId="0" fontId="8" fillId="2" borderId="0" xfId="14" applyFont="1" applyFill="1" applyBorder="1" applyAlignment="1">
      <alignment horizontal="left" vertical="center"/>
    </xf>
    <xf numFmtId="0" fontId="0" fillId="0" borderId="0" xfId="0"/>
    <xf numFmtId="0" fontId="24" fillId="0" borderId="0" xfId="0" applyFont="1" applyAlignment="1">
      <alignment vertical="top"/>
    </xf>
    <xf numFmtId="0" fontId="0" fillId="0" borderId="0" xfId="0"/>
    <xf numFmtId="0" fontId="0" fillId="0" borderId="0" xfId="0" applyFont="1" applyAlignment="1">
      <alignment wrapText="1"/>
    </xf>
    <xf numFmtId="0" fontId="0" fillId="0" borderId="0" xfId="0" applyFont="1"/>
    <xf numFmtId="0" fontId="7" fillId="6" borderId="0" xfId="0" quotePrefix="1" applyFont="1" applyFill="1"/>
    <xf numFmtId="0" fontId="10" fillId="6" borderId="0" xfId="0" quotePrefix="1" applyFont="1" applyFill="1" applyBorder="1" applyAlignment="1">
      <alignment wrapText="1"/>
    </xf>
    <xf numFmtId="0" fontId="10" fillId="6" borderId="0" xfId="0" quotePrefix="1" applyFont="1" applyFill="1" applyBorder="1" applyAlignment="1">
      <alignment horizontal="left" wrapText="1"/>
    </xf>
    <xf numFmtId="0" fontId="4" fillId="2" borderId="0" xfId="2" applyFont="1" applyFill="1" applyBorder="1">
      <alignment horizontal="left"/>
    </xf>
    <xf numFmtId="0" fontId="7" fillId="6" borderId="0" xfId="0" quotePrefix="1" applyFont="1" applyFill="1" applyBorder="1"/>
    <xf numFmtId="0" fontId="3" fillId="5" borderId="39" xfId="3" applyFont="1" applyFill="1" applyBorder="1" applyAlignment="1">
      <alignment horizontal="center" vertical="center"/>
    </xf>
    <xf numFmtId="2" fontId="10" fillId="6" borderId="20" xfId="3" applyNumberFormat="1" applyFont="1" applyFill="1" applyBorder="1" applyAlignment="1">
      <alignment horizontal="center"/>
    </xf>
    <xf numFmtId="0" fontId="8" fillId="2" borderId="0" xfId="13" applyFont="1" applyFill="1" applyBorder="1" applyAlignment="1">
      <alignment horizontal="left" vertical="center"/>
    </xf>
    <xf numFmtId="14" fontId="3" fillId="5" borderId="39" xfId="3" applyNumberFormat="1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vertical="center"/>
    </xf>
    <xf numFmtId="0" fontId="3" fillId="4" borderId="39" xfId="0" applyFont="1" applyFill="1" applyBorder="1" applyAlignment="1">
      <alignment horizontal="center" vertical="center" wrapText="1"/>
    </xf>
    <xf numFmtId="165" fontId="10" fillId="11" borderId="20" xfId="0" applyNumberFormat="1" applyFont="1" applyFill="1" applyBorder="1" applyAlignment="1">
      <alignment horizontal="center"/>
    </xf>
    <xf numFmtId="0" fontId="3" fillId="5" borderId="39" xfId="0" applyFont="1" applyFill="1" applyBorder="1" applyAlignment="1">
      <alignment horizontal="center" vertical="center"/>
    </xf>
    <xf numFmtId="164" fontId="10" fillId="2" borderId="20" xfId="0" applyNumberFormat="1" applyFont="1" applyFill="1" applyBorder="1" applyAlignment="1">
      <alignment horizontal="left"/>
    </xf>
    <xf numFmtId="1" fontId="10" fillId="6" borderId="0" xfId="3" applyNumberFormat="1" applyFont="1" applyFill="1" applyBorder="1" applyAlignment="1">
      <alignment horizontal="center"/>
    </xf>
    <xf numFmtId="0" fontId="8" fillId="2" borderId="39" xfId="14" applyFont="1" applyFill="1" applyBorder="1" applyAlignment="1">
      <alignment horizontal="left" vertical="center"/>
    </xf>
    <xf numFmtId="0" fontId="33" fillId="3" borderId="39" xfId="12" applyFont="1" applyFill="1" applyBorder="1" applyAlignment="1" applyProtection="1">
      <alignment horizontal="center" wrapText="1"/>
    </xf>
    <xf numFmtId="2" fontId="10" fillId="6" borderId="0" xfId="3" applyNumberFormat="1" applyFont="1" applyFill="1" applyBorder="1" applyAlignment="1">
      <alignment horizontal="center"/>
    </xf>
    <xf numFmtId="0" fontId="12" fillId="5" borderId="39" xfId="5" applyFont="1" applyFill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2" borderId="0" xfId="15" applyFont="1" applyFill="1" applyBorder="1">
      <alignment horizontal="left"/>
    </xf>
    <xf numFmtId="0" fontId="10" fillId="2" borderId="20" xfId="15" applyFont="1" applyFill="1" applyBorder="1">
      <alignment horizontal="left"/>
    </xf>
    <xf numFmtId="0" fontId="24" fillId="6" borderId="0" xfId="0" quotePrefix="1" applyFont="1" applyFill="1" applyBorder="1" applyAlignment="1">
      <alignment wrapText="1"/>
    </xf>
    <xf numFmtId="0" fontId="10" fillId="2" borderId="0" xfId="0" quotePrefix="1" applyFont="1" applyFill="1" applyBorder="1" applyAlignment="1">
      <alignment wrapText="1"/>
    </xf>
    <xf numFmtId="0" fontId="7" fillId="6" borderId="20" xfId="0" quotePrefix="1" applyFont="1" applyFill="1" applyBorder="1" applyAlignment="1">
      <alignment wrapText="1"/>
    </xf>
    <xf numFmtId="164" fontId="10" fillId="2" borderId="21" xfId="0" applyNumberFormat="1" applyFont="1" applyFill="1" applyBorder="1" applyAlignment="1">
      <alignment horizontal="left"/>
    </xf>
    <xf numFmtId="0" fontId="10" fillId="6" borderId="21" xfId="0" quotePrefix="1" applyFont="1" applyFill="1" applyBorder="1" applyAlignment="1">
      <alignment horizontal="left" wrapText="1"/>
    </xf>
    <xf numFmtId="0" fontId="3" fillId="4" borderId="39" xfId="6" applyFont="1" applyFill="1" applyBorder="1" applyAlignment="1">
      <alignment horizontal="center" vertical="center" wrapText="1"/>
    </xf>
    <xf numFmtId="0" fontId="3" fillId="5" borderId="39" xfId="6" applyFont="1" applyFill="1" applyBorder="1" applyAlignment="1">
      <alignment horizontal="center" vertical="center"/>
    </xf>
    <xf numFmtId="0" fontId="34" fillId="2" borderId="40" xfId="0" applyFont="1" applyFill="1" applyBorder="1" applyAlignment="1">
      <alignment vertical="center"/>
    </xf>
    <xf numFmtId="165" fontId="12" fillId="6" borderId="0" xfId="0" applyNumberFormat="1" applyFont="1" applyFill="1" applyBorder="1" applyAlignment="1">
      <alignment horizontal="center"/>
    </xf>
    <xf numFmtId="165" fontId="12" fillId="12" borderId="0" xfId="0" applyNumberFormat="1" applyFont="1" applyFill="1" applyBorder="1" applyAlignment="1">
      <alignment horizontal="center"/>
    </xf>
    <xf numFmtId="0" fontId="0" fillId="11" borderId="0" xfId="0" applyFill="1"/>
    <xf numFmtId="165" fontId="12" fillId="11" borderId="0" xfId="0" applyNumberFormat="1" applyFont="1" applyFill="1" applyBorder="1" applyAlignment="1">
      <alignment horizontal="center"/>
    </xf>
    <xf numFmtId="0" fontId="34" fillId="2" borderId="41" xfId="0" applyFont="1" applyFill="1" applyBorder="1" applyAlignment="1">
      <alignment vertical="center"/>
    </xf>
    <xf numFmtId="0" fontId="0" fillId="11" borderId="0" xfId="0" applyFill="1" applyBorder="1"/>
    <xf numFmtId="0" fontId="0" fillId="11" borderId="20" xfId="0" applyFill="1" applyBorder="1"/>
    <xf numFmtId="0" fontId="0" fillId="2" borderId="20" xfId="0" applyFill="1" applyBorder="1"/>
    <xf numFmtId="0" fontId="11" fillId="2" borderId="38" xfId="6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 wrapText="1"/>
    </xf>
    <xf numFmtId="166" fontId="10" fillId="6" borderId="20" xfId="0" applyNumberFormat="1" applyFont="1" applyFill="1" applyBorder="1" applyAlignment="1">
      <alignment horizontal="center"/>
    </xf>
    <xf numFmtId="0" fontId="10" fillId="2" borderId="42" xfId="5" applyFont="1" applyFill="1" applyBorder="1" applyAlignment="1">
      <alignment horizontal="center"/>
    </xf>
    <xf numFmtId="166" fontId="10" fillId="6" borderId="39" xfId="0" applyNumberFormat="1" applyFont="1" applyFill="1" applyBorder="1" applyAlignment="1">
      <alignment horizontal="center"/>
    </xf>
    <xf numFmtId="0" fontId="10" fillId="2" borderId="43" xfId="0" applyFont="1" applyFill="1" applyBorder="1" applyAlignment="1">
      <alignment vertical="center"/>
    </xf>
    <xf numFmtId="0" fontId="4" fillId="6" borderId="44" xfId="0" quotePrefix="1" applyFont="1" applyFill="1" applyBorder="1"/>
    <xf numFmtId="0" fontId="10" fillId="2" borderId="45" xfId="0" applyFont="1" applyFill="1" applyBorder="1" applyAlignment="1">
      <alignment vertical="center"/>
    </xf>
    <xf numFmtId="0" fontId="10" fillId="2" borderId="46" xfId="0" applyFont="1" applyFill="1" applyBorder="1" applyAlignment="1">
      <alignment vertical="center"/>
    </xf>
    <xf numFmtId="0" fontId="4" fillId="6" borderId="47" xfId="0" quotePrefix="1" applyFont="1" applyFill="1" applyBorder="1"/>
    <xf numFmtId="0" fontId="3" fillId="4" borderId="5" xfId="6" applyFont="1" applyFill="1" applyBorder="1" applyAlignment="1">
      <alignment horizontal="center" vertical="center" wrapText="1"/>
    </xf>
    <xf numFmtId="0" fontId="0" fillId="0" borderId="38" xfId="0" applyFont="1" applyBorder="1" applyAlignment="1">
      <alignment wrapText="1"/>
    </xf>
    <xf numFmtId="0" fontId="0" fillId="0" borderId="38" xfId="0" quotePrefix="1" applyFont="1" applyBorder="1" applyAlignment="1">
      <alignment wrapText="1"/>
    </xf>
    <xf numFmtId="0" fontId="10" fillId="2" borderId="20" xfId="2" applyFont="1" applyFill="1" applyBorder="1" applyAlignment="1">
      <alignment horizontal="center"/>
    </xf>
    <xf numFmtId="0" fontId="10" fillId="2" borderId="0" xfId="2" applyFont="1" applyFill="1" applyBorder="1" applyAlignment="1">
      <alignment horizontal="center" vertical="center"/>
    </xf>
    <xf numFmtId="0" fontId="10" fillId="2" borderId="39" xfId="2" applyFont="1" applyFill="1" applyBorder="1" applyAlignment="1">
      <alignment horizontal="center"/>
    </xf>
    <xf numFmtId="0" fontId="10" fillId="2" borderId="20" xfId="0" applyFont="1" applyFill="1" applyBorder="1" applyAlignment="1">
      <alignment wrapText="1"/>
    </xf>
    <xf numFmtId="0" fontId="6" fillId="6" borderId="0" xfId="0" quotePrefix="1" applyFont="1" applyFill="1"/>
    <xf numFmtId="164" fontId="10" fillId="2" borderId="20" xfId="3" applyNumberFormat="1" applyFont="1" applyFill="1" applyBorder="1" applyAlignment="1">
      <alignment horizontal="center"/>
    </xf>
    <xf numFmtId="2" fontId="10" fillId="2" borderId="0" xfId="3" applyNumberFormat="1" applyFont="1" applyFill="1" applyBorder="1" applyAlignment="1">
      <alignment horizontal="center"/>
    </xf>
    <xf numFmtId="164" fontId="10" fillId="2" borderId="20" xfId="3" applyNumberFormat="1" applyFont="1" applyFill="1" applyBorder="1" applyAlignment="1">
      <alignment horizontal="left"/>
    </xf>
    <xf numFmtId="15" fontId="10" fillId="2" borderId="0" xfId="0" applyNumberFormat="1" applyFont="1" applyFill="1" applyBorder="1" applyAlignment="1">
      <alignment horizontal="center"/>
    </xf>
    <xf numFmtId="15" fontId="10" fillId="2" borderId="20" xfId="0" applyNumberFormat="1" applyFont="1" applyFill="1" applyBorder="1" applyAlignment="1">
      <alignment horizontal="center"/>
    </xf>
    <xf numFmtId="0" fontId="12" fillId="2" borderId="0" xfId="15" applyFont="1" applyFill="1" applyBorder="1">
      <alignment horizontal="left"/>
    </xf>
    <xf numFmtId="14" fontId="0" fillId="0" borderId="0" xfId="0" applyNumberFormat="1"/>
    <xf numFmtId="0" fontId="11" fillId="0" borderId="38" xfId="0" applyFont="1" applyBorder="1"/>
    <xf numFmtId="0" fontId="11" fillId="2" borderId="38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 vertical="center" wrapText="1"/>
    </xf>
    <xf numFmtId="0" fontId="10" fillId="2" borderId="0" xfId="5" applyFont="1" applyFill="1" applyBorder="1" applyAlignment="1">
      <alignment horizontal="center"/>
    </xf>
    <xf numFmtId="0" fontId="10" fillId="2" borderId="20" xfId="5" applyFont="1" applyFill="1" applyBorder="1" applyAlignment="1">
      <alignment horizontal="center"/>
    </xf>
    <xf numFmtId="14" fontId="0" fillId="0" borderId="0" xfId="0" applyNumberFormat="1" applyAlignment="1">
      <alignment horizontal="right"/>
    </xf>
    <xf numFmtId="0" fontId="4" fillId="0" borderId="0" xfId="0" applyFont="1"/>
    <xf numFmtId="0" fontId="10" fillId="0" borderId="0" xfId="0" applyFont="1" applyAlignment="1">
      <alignment horizontal="left" wrapText="1"/>
    </xf>
    <xf numFmtId="0" fontId="32" fillId="2" borderId="48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168" fontId="10" fillId="6" borderId="48" xfId="0" quotePrefix="1" applyNumberFormat="1" applyFont="1" applyFill="1" applyBorder="1" applyAlignment="1">
      <alignment horizontal="left" wrapText="1"/>
    </xf>
    <xf numFmtId="0" fontId="32" fillId="2" borderId="49" xfId="5" applyFont="1" applyFill="1" applyBorder="1" applyAlignment="1">
      <alignment horizontal="center"/>
    </xf>
    <xf numFmtId="0" fontId="10" fillId="2" borderId="49" xfId="5" applyFont="1" applyFill="1" applyBorder="1" applyAlignment="1">
      <alignment horizontal="center"/>
    </xf>
    <xf numFmtId="166" fontId="10" fillId="6" borderId="49" xfId="0" quotePrefix="1" applyNumberFormat="1" applyFont="1" applyFill="1" applyBorder="1" applyAlignment="1">
      <alignment horizontal="left"/>
    </xf>
    <xf numFmtId="0" fontId="32" fillId="2" borderId="49" xfId="0" applyFont="1" applyFill="1" applyBorder="1" applyAlignment="1">
      <alignment horizontal="center" vertical="center" wrapText="1"/>
    </xf>
    <xf numFmtId="166" fontId="10" fillId="6" borderId="49" xfId="0" quotePrefix="1" applyNumberFormat="1" applyFont="1" applyFill="1" applyBorder="1" applyAlignment="1">
      <alignment horizontal="left" wrapText="1"/>
    </xf>
    <xf numFmtId="0" fontId="10" fillId="2" borderId="50" xfId="5" applyFont="1" applyFill="1" applyBorder="1" applyAlignment="1">
      <alignment horizontal="center" vertical="center"/>
    </xf>
    <xf numFmtId="166" fontId="10" fillId="6" borderId="50" xfId="0" quotePrefix="1" applyNumberFormat="1" applyFont="1" applyFill="1" applyBorder="1" applyAlignment="1">
      <alignment horizontal="left" vertical="center" wrapText="1"/>
    </xf>
    <xf numFmtId="0" fontId="10" fillId="2" borderId="48" xfId="5" applyFont="1" applyFill="1" applyBorder="1" applyAlignment="1">
      <alignment horizontal="center"/>
    </xf>
    <xf numFmtId="165" fontId="10" fillId="6" borderId="48" xfId="0" applyNumberFormat="1" applyFont="1" applyFill="1" applyBorder="1" applyAlignment="1">
      <alignment horizontal="center"/>
    </xf>
    <xf numFmtId="165" fontId="10" fillId="6" borderId="49" xfId="0" applyNumberFormat="1" applyFont="1" applyFill="1" applyBorder="1" applyAlignment="1">
      <alignment horizontal="center"/>
    </xf>
    <xf numFmtId="0" fontId="10" fillId="2" borderId="51" xfId="5" applyFont="1" applyFill="1" applyBorder="1" applyAlignment="1">
      <alignment horizontal="center"/>
    </xf>
    <xf numFmtId="165" fontId="10" fillId="6" borderId="51" xfId="0" applyNumberFormat="1" applyFont="1" applyFill="1" applyBorder="1" applyAlignment="1">
      <alignment horizontal="center"/>
    </xf>
    <xf numFmtId="0" fontId="0" fillId="0" borderId="48" xfId="0" applyBorder="1"/>
    <xf numFmtId="0" fontId="24" fillId="2" borderId="38" xfId="5" applyFont="1" applyFill="1" applyBorder="1" applyAlignment="1">
      <alignment horizontal="center"/>
    </xf>
    <xf numFmtId="0" fontId="24" fillId="2" borderId="52" xfId="5" applyFont="1" applyFill="1" applyBorder="1" applyAlignment="1">
      <alignment horizontal="center"/>
    </xf>
    <xf numFmtId="165" fontId="24" fillId="6" borderId="38" xfId="5" applyNumberFormat="1" applyFont="1" applyFill="1" applyBorder="1" applyAlignment="1">
      <alignment horizontal="center"/>
    </xf>
    <xf numFmtId="165" fontId="24" fillId="6" borderId="32" xfId="5" applyNumberFormat="1" applyFont="1" applyFill="1" applyBorder="1" applyAlignment="1">
      <alignment horizontal="center"/>
    </xf>
    <xf numFmtId="0" fontId="18" fillId="0" borderId="0" xfId="0" applyFont="1" applyAlignment="1">
      <alignment horizontal="center" wrapText="1"/>
    </xf>
    <xf numFmtId="0" fontId="39" fillId="0" borderId="0" xfId="0" applyFont="1"/>
    <xf numFmtId="164" fontId="10" fillId="2" borderId="0" xfId="0" applyNumberFormat="1" applyFont="1" applyFill="1" applyBorder="1" applyAlignment="1">
      <alignment horizontal="center"/>
    </xf>
    <xf numFmtId="164" fontId="10" fillId="2" borderId="0" xfId="3" applyNumberFormat="1" applyFont="1" applyFill="1" applyBorder="1" applyAlignment="1">
      <alignment horizontal="center" vertical="center"/>
    </xf>
    <xf numFmtId="0" fontId="10" fillId="2" borderId="0" xfId="5" applyFont="1" applyFill="1" applyBorder="1" applyAlignment="1">
      <alignment horizontal="center"/>
    </xf>
    <xf numFmtId="0" fontId="10" fillId="2" borderId="20" xfId="5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10" fillId="15" borderId="0" xfId="0" quotePrefix="1" applyFont="1" applyFill="1" applyBorder="1" applyAlignment="1">
      <alignment wrapText="1"/>
    </xf>
    <xf numFmtId="0" fontId="11" fillId="0" borderId="0" xfId="0" applyFont="1"/>
    <xf numFmtId="0" fontId="21" fillId="0" borderId="0" xfId="0" applyFont="1"/>
    <xf numFmtId="166" fontId="10" fillId="6" borderId="38" xfId="0" applyNumberFormat="1" applyFont="1" applyFill="1" applyBorder="1" applyAlignment="1">
      <alignment horizontal="center"/>
    </xf>
    <xf numFmtId="0" fontId="2" fillId="6" borderId="0" xfId="0" quotePrefix="1" applyFont="1" applyFill="1" applyAlignment="1">
      <alignment horizontal="left"/>
    </xf>
    <xf numFmtId="0" fontId="2" fillId="6" borderId="20" xfId="0" quotePrefix="1" applyFont="1" applyFill="1" applyBorder="1" applyAlignment="1">
      <alignment horizontal="left"/>
    </xf>
    <xf numFmtId="164" fontId="10" fillId="2" borderId="20" xfId="0" applyNumberFormat="1" applyFont="1" applyFill="1" applyBorder="1" applyAlignment="1">
      <alignment horizontal="center"/>
    </xf>
    <xf numFmtId="0" fontId="0" fillId="0" borderId="0" xfId="0" applyFill="1"/>
    <xf numFmtId="0" fontId="22" fillId="0" borderId="0" xfId="0" applyFont="1" applyFill="1"/>
    <xf numFmtId="164" fontId="10" fillId="2" borderId="31" xfId="3" applyNumberFormat="1" applyFont="1" applyFill="1" applyBorder="1" applyAlignment="1">
      <alignment horizontal="center" vertical="center"/>
    </xf>
    <xf numFmtId="164" fontId="10" fillId="2" borderId="31" xfId="3" applyNumberFormat="1" applyFont="1" applyFill="1" applyBorder="1" applyAlignment="1"/>
    <xf numFmtId="2" fontId="10" fillId="6" borderId="31" xfId="3" applyNumberFormat="1" applyFont="1" applyFill="1" applyBorder="1" applyAlignment="1">
      <alignment horizontal="center"/>
    </xf>
    <xf numFmtId="2" fontId="10" fillId="2" borderId="31" xfId="3" applyNumberFormat="1" applyFont="1" applyFill="1" applyBorder="1" applyAlignment="1">
      <alignment horizontal="center"/>
    </xf>
    <xf numFmtId="1" fontId="10" fillId="6" borderId="31" xfId="3" quotePrefix="1" applyNumberFormat="1" applyFont="1" applyFill="1" applyBorder="1" applyAlignment="1">
      <alignment horizontal="left" wrapText="1"/>
    </xf>
    <xf numFmtId="0" fontId="10" fillId="16" borderId="0" xfId="5" applyFont="1" applyFill="1" applyBorder="1" applyAlignment="1">
      <alignment horizontal="center"/>
    </xf>
    <xf numFmtId="0" fontId="10" fillId="16" borderId="10" xfId="5" applyFont="1" applyFill="1" applyBorder="1" applyAlignment="1">
      <alignment horizontal="center"/>
    </xf>
    <xf numFmtId="0" fontId="10" fillId="16" borderId="20" xfId="5" applyFont="1" applyFill="1" applyBorder="1" applyAlignment="1">
      <alignment horizontal="center"/>
    </xf>
    <xf numFmtId="0" fontId="10" fillId="16" borderId="11" xfId="5" applyFont="1" applyFill="1" applyBorder="1" applyAlignment="1">
      <alignment horizontal="center"/>
    </xf>
    <xf numFmtId="0" fontId="40" fillId="0" borderId="0" xfId="0" applyFont="1"/>
    <xf numFmtId="165" fontId="10" fillId="17" borderId="10" xfId="6" applyNumberFormat="1" applyFont="1" applyFill="1" applyBorder="1" applyAlignment="1">
      <alignment horizontal="center" vertical="center"/>
    </xf>
    <xf numFmtId="165" fontId="10" fillId="17" borderId="11" xfId="6" applyNumberFormat="1" applyFont="1" applyFill="1" applyBorder="1" applyAlignment="1">
      <alignment horizontal="center" vertical="center"/>
    </xf>
    <xf numFmtId="0" fontId="10" fillId="17" borderId="0" xfId="5" applyFont="1" applyFill="1" applyBorder="1" applyAlignment="1">
      <alignment horizontal="center"/>
    </xf>
    <xf numFmtId="0" fontId="10" fillId="17" borderId="20" xfId="5" applyFont="1" applyFill="1" applyBorder="1" applyAlignment="1">
      <alignment horizontal="center"/>
    </xf>
    <xf numFmtId="0" fontId="10" fillId="17" borderId="15" xfId="5" applyFont="1" applyFill="1" applyBorder="1" applyAlignment="1">
      <alignment horizontal="center"/>
    </xf>
    <xf numFmtId="0" fontId="0" fillId="18" borderId="0" xfId="0" applyFill="1"/>
    <xf numFmtId="165" fontId="10" fillId="16" borderId="10" xfId="5" quotePrefix="1" applyNumberFormat="1" applyFont="1" applyFill="1" applyBorder="1" applyAlignment="1">
      <alignment horizontal="center" vertical="center"/>
    </xf>
    <xf numFmtId="165" fontId="10" fillId="16" borderId="10" xfId="5" applyNumberFormat="1" applyFont="1" applyFill="1" applyBorder="1" applyAlignment="1">
      <alignment horizontal="center" vertical="center"/>
    </xf>
    <xf numFmtId="165" fontId="10" fillId="16" borderId="11" xfId="5" applyNumberFormat="1" applyFont="1" applyFill="1" applyBorder="1" applyAlignment="1">
      <alignment horizontal="center" vertical="center"/>
    </xf>
    <xf numFmtId="0" fontId="10" fillId="2" borderId="20" xfId="5" applyNumberFormat="1" applyFont="1" applyFill="1" applyBorder="1" applyAlignment="1">
      <alignment horizontal="center" vertical="center"/>
    </xf>
    <xf numFmtId="2" fontId="10" fillId="6" borderId="20" xfId="0" applyNumberFormat="1" applyFont="1" applyFill="1" applyBorder="1" applyAlignment="1">
      <alignment horizontal="center"/>
    </xf>
    <xf numFmtId="164" fontId="10" fillId="16" borderId="0" xfId="0" applyNumberFormat="1" applyFont="1" applyFill="1" applyBorder="1" applyAlignment="1">
      <alignment horizontal="center" vertical="center"/>
    </xf>
    <xf numFmtId="164" fontId="10" fillId="16" borderId="31" xfId="0" applyNumberFormat="1" applyFont="1" applyFill="1" applyBorder="1" applyAlignment="1">
      <alignment horizontal="center" vertical="center"/>
    </xf>
    <xf numFmtId="164" fontId="10" fillId="16" borderId="0" xfId="0" applyNumberFormat="1" applyFont="1" applyFill="1" applyBorder="1" applyAlignment="1">
      <alignment horizontal="center"/>
    </xf>
    <xf numFmtId="164" fontId="10" fillId="16" borderId="20" xfId="0" applyNumberFormat="1" applyFont="1" applyFill="1" applyBorder="1" applyAlignment="1">
      <alignment horizontal="center"/>
    </xf>
    <xf numFmtId="0" fontId="0" fillId="0" borderId="38" xfId="0" applyBorder="1"/>
    <xf numFmtId="0" fontId="10" fillId="16" borderId="0" xfId="4" quotePrefix="1" applyFont="1" applyFill="1" applyBorder="1" applyAlignment="1">
      <alignment horizontal="center" vertical="center"/>
    </xf>
    <xf numFmtId="0" fontId="10" fillId="16" borderId="20" xfId="4" quotePrefix="1" applyFont="1" applyFill="1" applyBorder="1" applyAlignment="1">
      <alignment horizontal="center" vertical="center"/>
    </xf>
    <xf numFmtId="0" fontId="0" fillId="16" borderId="0" xfId="0" applyFill="1"/>
    <xf numFmtId="0" fontId="0" fillId="11" borderId="0" xfId="0" applyFill="1" applyAlignment="1">
      <alignment horizontal="center"/>
    </xf>
    <xf numFmtId="0" fontId="0" fillId="2" borderId="38" xfId="0" applyFill="1" applyBorder="1" applyAlignment="1">
      <alignment horizontal="center"/>
    </xf>
    <xf numFmtId="0" fontId="41" fillId="0" borderId="0" xfId="0" applyFont="1"/>
    <xf numFmtId="0" fontId="18" fillId="0" borderId="0" xfId="0" applyFont="1" applyAlignment="1">
      <alignment horizontal="left"/>
    </xf>
    <xf numFmtId="0" fontId="10" fillId="16" borderId="0" xfId="0" applyFont="1" applyFill="1" applyBorder="1" applyAlignment="1">
      <alignment horizontal="center"/>
    </xf>
    <xf numFmtId="16" fontId="10" fillId="16" borderId="0" xfId="0" quotePrefix="1" applyNumberFormat="1" applyFont="1" applyFill="1" applyBorder="1" applyAlignment="1">
      <alignment horizontal="center"/>
    </xf>
    <xf numFmtId="0" fontId="10" fillId="16" borderId="0" xfId="0" quotePrefix="1" applyFont="1" applyFill="1" applyBorder="1" applyAlignment="1">
      <alignment horizontal="center"/>
    </xf>
    <xf numFmtId="165" fontId="10" fillId="16" borderId="20" xfId="0" applyNumberFormat="1" applyFont="1" applyFill="1" applyBorder="1" applyAlignment="1">
      <alignment horizontal="center"/>
    </xf>
    <xf numFmtId="0" fontId="10" fillId="16" borderId="0" xfId="4" applyFont="1" applyFill="1" applyBorder="1" applyAlignment="1">
      <alignment horizontal="center" vertical="center"/>
    </xf>
    <xf numFmtId="0" fontId="10" fillId="16" borderId="20" xfId="4" applyFont="1" applyFill="1" applyBorder="1" applyAlignment="1">
      <alignment horizontal="center" vertical="center"/>
    </xf>
    <xf numFmtId="0" fontId="10" fillId="16" borderId="5" xfId="0" applyFont="1" applyFill="1" applyBorder="1" applyAlignment="1">
      <alignment horizontal="center"/>
    </xf>
    <xf numFmtId="17" fontId="10" fillId="16" borderId="20" xfId="0" quotePrefix="1" applyNumberFormat="1" applyFont="1" applyFill="1" applyBorder="1" applyAlignment="1">
      <alignment horizontal="center"/>
    </xf>
    <xf numFmtId="165" fontId="10" fillId="16" borderId="0" xfId="0" applyNumberFormat="1" applyFont="1" applyFill="1" applyBorder="1" applyAlignment="1">
      <alignment horizontal="center"/>
    </xf>
    <xf numFmtId="165" fontId="10" fillId="6" borderId="15" xfId="5" applyNumberFormat="1" applyFont="1" applyFill="1" applyBorder="1" applyAlignment="1">
      <alignment horizontal="center"/>
    </xf>
    <xf numFmtId="0" fontId="10" fillId="17" borderId="14" xfId="5" applyFont="1" applyFill="1" applyBorder="1" applyAlignment="1">
      <alignment horizontal="center"/>
    </xf>
    <xf numFmtId="0" fontId="11" fillId="2" borderId="38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11" fillId="2" borderId="39" xfId="3" applyFont="1" applyFill="1" applyBorder="1" applyAlignment="1">
      <alignment horizontal="left" vertical="center"/>
    </xf>
    <xf numFmtId="0" fontId="11" fillId="2" borderId="38" xfId="3" applyFont="1" applyFill="1" applyBorder="1" applyAlignment="1">
      <alignment horizontal="left" vertical="center"/>
    </xf>
    <xf numFmtId="164" fontId="10" fillId="2" borderId="0" xfId="3" applyNumberFormat="1" applyFont="1" applyFill="1" applyBorder="1" applyAlignment="1">
      <alignment horizontal="center" vertical="center"/>
    </xf>
    <xf numFmtId="164" fontId="10" fillId="2" borderId="31" xfId="3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 wrapText="1"/>
    </xf>
    <xf numFmtId="0" fontId="10" fillId="2" borderId="10" xfId="4" applyFont="1" applyFill="1" applyBorder="1" applyAlignment="1">
      <alignment horizontal="center" vertical="center"/>
    </xf>
    <xf numFmtId="0" fontId="10" fillId="2" borderId="11" xfId="4" applyFont="1" applyFill="1" applyBorder="1" applyAlignment="1">
      <alignment horizontal="center" vertical="center"/>
    </xf>
    <xf numFmtId="0" fontId="12" fillId="5" borderId="30" xfId="5" applyFont="1" applyFill="1" applyBorder="1" applyAlignment="1">
      <alignment horizontal="center"/>
    </xf>
    <xf numFmtId="0" fontId="12" fillId="5" borderId="31" xfId="5" applyFont="1" applyFill="1" applyBorder="1" applyAlignment="1">
      <alignment horizontal="center"/>
    </xf>
    <xf numFmtId="0" fontId="4" fillId="2" borderId="38" xfId="0" applyFont="1" applyFill="1" applyBorder="1" applyAlignment="1">
      <alignment horizontal="left" vertical="center"/>
    </xf>
    <xf numFmtId="0" fontId="4" fillId="2" borderId="38" xfId="0" applyFont="1" applyFill="1" applyBorder="1" applyAlignment="1">
      <alignment horizontal="center" vertical="center" wrapText="1"/>
    </xf>
    <xf numFmtId="0" fontId="11" fillId="2" borderId="21" xfId="6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2" fillId="5" borderId="33" xfId="5" applyFont="1" applyFill="1" applyBorder="1" applyAlignment="1">
      <alignment horizontal="center"/>
    </xf>
    <xf numFmtId="0" fontId="12" fillId="5" borderId="34" xfId="5" applyFont="1" applyFill="1" applyBorder="1" applyAlignment="1">
      <alignment horizontal="center"/>
    </xf>
    <xf numFmtId="0" fontId="10" fillId="2" borderId="14" xfId="5" applyFont="1" applyFill="1" applyBorder="1" applyAlignment="1">
      <alignment horizontal="center" vertical="center"/>
    </xf>
    <xf numFmtId="0" fontId="10" fillId="2" borderId="15" xfId="5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 wrapText="1"/>
    </xf>
    <xf numFmtId="0" fontId="3" fillId="4" borderId="0" xfId="6" applyFont="1" applyFill="1" applyBorder="1" applyAlignment="1">
      <alignment horizontal="center" vertical="center" wrapText="1"/>
    </xf>
    <xf numFmtId="0" fontId="3" fillId="4" borderId="5" xfId="6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0" fillId="0" borderId="14" xfId="5" applyFont="1" applyBorder="1" applyAlignment="1">
      <alignment horizontal="center" vertical="center"/>
    </xf>
    <xf numFmtId="0" fontId="10" fillId="0" borderId="15" xfId="5" applyFont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/>
    </xf>
    <xf numFmtId="164" fontId="10" fillId="2" borderId="0" xfId="0" applyNumberFormat="1" applyFont="1" applyFill="1" applyBorder="1" applyAlignment="1">
      <alignment horizontal="center" vertical="center"/>
    </xf>
    <xf numFmtId="164" fontId="10" fillId="2" borderId="20" xfId="0" applyNumberFormat="1" applyFont="1" applyFill="1" applyBorder="1" applyAlignment="1">
      <alignment horizontal="center" vertical="center"/>
    </xf>
    <xf numFmtId="164" fontId="10" fillId="2" borderId="39" xfId="0" applyNumberFormat="1" applyFont="1" applyFill="1" applyBorder="1" applyAlignment="1">
      <alignment horizontal="center" vertical="center"/>
    </xf>
    <xf numFmtId="164" fontId="10" fillId="16" borderId="0" xfId="0" applyNumberFormat="1" applyFont="1" applyFill="1" applyBorder="1" applyAlignment="1">
      <alignment horizontal="center" vertical="center"/>
    </xf>
    <xf numFmtId="164" fontId="10" fillId="16" borderId="31" xfId="0" applyNumberFormat="1" applyFont="1" applyFill="1" applyBorder="1" applyAlignment="1">
      <alignment horizontal="center" vertical="center"/>
    </xf>
    <xf numFmtId="0" fontId="10" fillId="2" borderId="34" xfId="5" applyFont="1" applyFill="1" applyBorder="1" applyAlignment="1">
      <alignment horizontal="center" vertical="center"/>
    </xf>
    <xf numFmtId="0" fontId="10" fillId="2" borderId="24" xfId="5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left" vertical="center" wrapText="1"/>
    </xf>
    <xf numFmtId="0" fontId="10" fillId="2" borderId="22" xfId="5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5" applyFont="1" applyFill="1" applyBorder="1" applyAlignment="1">
      <alignment horizontal="center" vertical="center"/>
    </xf>
    <xf numFmtId="0" fontId="10" fillId="2" borderId="0" xfId="5" applyFont="1" applyFill="1" applyBorder="1" applyAlignment="1">
      <alignment horizontal="center" vertical="center"/>
    </xf>
    <xf numFmtId="0" fontId="10" fillId="2" borderId="20" xfId="5" applyFont="1" applyFill="1" applyBorder="1" applyAlignment="1">
      <alignment horizontal="center" vertical="center"/>
    </xf>
    <xf numFmtId="0" fontId="10" fillId="2" borderId="48" xfId="5" applyFont="1" applyFill="1" applyBorder="1" applyAlignment="1">
      <alignment horizontal="center" vertical="center"/>
    </xf>
    <xf numFmtId="0" fontId="10" fillId="2" borderId="49" xfId="5" applyFont="1" applyFill="1" applyBorder="1" applyAlignment="1">
      <alignment horizontal="center" vertical="center"/>
    </xf>
    <xf numFmtId="0" fontId="10" fillId="2" borderId="51" xfId="5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11" fillId="0" borderId="6" xfId="6" applyFont="1" applyFill="1" applyBorder="1" applyAlignment="1">
      <alignment horizontal="center" vertical="center"/>
    </xf>
    <xf numFmtId="0" fontId="10" fillId="2" borderId="50" xfId="5" applyFont="1" applyFill="1" applyBorder="1" applyAlignment="1">
      <alignment horizontal="center" vertical="center"/>
    </xf>
    <xf numFmtId="0" fontId="32" fillId="2" borderId="48" xfId="5" applyFont="1" applyFill="1" applyBorder="1" applyAlignment="1">
      <alignment horizontal="center" vertical="center"/>
    </xf>
    <xf numFmtId="0" fontId="32" fillId="2" borderId="49" xfId="5" applyFont="1" applyFill="1" applyBorder="1" applyAlignment="1">
      <alignment horizontal="center" vertical="center"/>
    </xf>
    <xf numFmtId="0" fontId="10" fillId="2" borderId="49" xfId="5" applyFont="1" applyFill="1" applyBorder="1" applyAlignment="1">
      <alignment horizontal="center"/>
    </xf>
    <xf numFmtId="0" fontId="10" fillId="2" borderId="50" xfId="5" applyFont="1" applyFill="1" applyBorder="1" applyAlignment="1">
      <alignment horizontal="center"/>
    </xf>
    <xf numFmtId="0" fontId="8" fillId="2" borderId="21" xfId="0" applyFont="1" applyFill="1" applyBorder="1" applyAlignment="1">
      <alignment horizontal="left" vertical="center"/>
    </xf>
    <xf numFmtId="0" fontId="10" fillId="2" borderId="28" xfId="0" quotePrefix="1" applyFont="1" applyFill="1" applyBorder="1" applyAlignment="1">
      <alignment horizontal="center" vertical="center"/>
    </xf>
    <xf numFmtId="0" fontId="10" fillId="2" borderId="14" xfId="0" quotePrefix="1" applyFont="1" applyFill="1" applyBorder="1" applyAlignment="1">
      <alignment horizontal="center" vertical="center"/>
    </xf>
    <xf numFmtId="0" fontId="10" fillId="2" borderId="15" xfId="0" quotePrefix="1" applyFont="1" applyFill="1" applyBorder="1" applyAlignment="1">
      <alignment horizontal="center" vertical="center"/>
    </xf>
    <xf numFmtId="0" fontId="11" fillId="2" borderId="38" xfId="6" applyFont="1" applyFill="1" applyBorder="1" applyAlignment="1">
      <alignment horizontal="center" vertical="center"/>
    </xf>
    <xf numFmtId="0" fontId="26" fillId="2" borderId="0" xfId="5" applyFont="1" applyFill="1" applyAlignment="1">
      <alignment horizontal="center" vertical="center"/>
    </xf>
    <xf numFmtId="0" fontId="8" fillId="2" borderId="38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0" fillId="2" borderId="0" xfId="2" applyFont="1" applyFill="1" applyBorder="1" applyAlignment="1">
      <alignment horizontal="center" vertical="center"/>
    </xf>
    <xf numFmtId="0" fontId="10" fillId="2" borderId="20" xfId="2" applyFont="1" applyFill="1" applyBorder="1" applyAlignment="1">
      <alignment horizontal="center" vertical="center"/>
    </xf>
    <xf numFmtId="0" fontId="10" fillId="2" borderId="39" xfId="2" applyFont="1" applyFill="1" applyBorder="1" applyAlignment="1">
      <alignment horizontal="center" vertical="center"/>
    </xf>
    <xf numFmtId="0" fontId="2" fillId="2" borderId="1" xfId="7" applyFont="1" applyFill="1" applyBorder="1" applyAlignment="1">
      <alignment horizontal="center" vertical="center"/>
    </xf>
    <xf numFmtId="0" fontId="2" fillId="2" borderId="3" xfId="7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2" fillId="2" borderId="20" xfId="7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0" fillId="0" borderId="0" xfId="0" applyBorder="true"/>
    <xf numFmtId="0" fontId="0" fillId="0" borderId="55" xfId="0" applyBorder="true"/>
    <xf numFmtId="0" fontId="0" fillId="0" borderId="54" xfId="0" applyBorder="true"/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56" xfId="0" applyBorder="true"/>
    <xf numFmtId="0" fontId="0" fillId="0" borderId="54" xfId="0" applyBorder="true"/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56" xfId="0" applyBorder="true"/>
    <xf numFmtId="0" fontId="0" fillId="0" borderId="55" xfId="0" applyBorder="true"/>
    <xf numFmtId="0" fontId="0" fillId="0" borderId="55" xfId="0" applyBorder="true"/>
    <xf numFmtId="0" fontId="0" fillId="0" borderId="55" xfId="0" applyBorder="true"/>
    <xf numFmtId="0" fontId="0" fillId="0" borderId="55" xfId="0" applyBorder="true"/>
    <xf numFmtId="0" fontId="0" fillId="0" borderId="55" xfId="0" applyBorder="true"/>
    <xf numFmtId="0" fontId="0" fillId="0" borderId="55" xfId="0" applyBorder="true"/>
  </cellXfs>
  <cellStyles count="18">
    <cellStyle name=" 1" xfId="3"/>
    <cellStyle name=" 1 3" xfId="12"/>
    <cellStyle name=" 1 3 2" xfId="14"/>
    <cellStyle name=" 1 3 3 2" xfId="13"/>
    <cellStyle name="=C:\WINNT\SYSTEM32\COMMAND.COM 4" xfId="1"/>
    <cellStyle name="20% - Accent1 3 2 2" xfId="2"/>
    <cellStyle name="20% - Accent2 2" xfId="4"/>
    <cellStyle name="Currency" xfId="8" builtinId="4"/>
    <cellStyle name="Currency 3" xfId="6"/>
    <cellStyle name="Datatype" xfId="15"/>
    <cellStyle name="Good" xfId="10" builtinId="26" customBuiltin="1"/>
    <cellStyle name="Neutral" xfId="11" builtinId="28" customBuiltin="1"/>
    <cellStyle name="Normal" xfId="0" builtinId="0"/>
    <cellStyle name="Normal 10" xfId="17"/>
    <cellStyle name="Normal 117" xfId="7"/>
    <cellStyle name="Normal 3" xfId="5"/>
    <cellStyle name="Percent" xfId="9" builtinId="5"/>
    <cellStyle name="Стиль 1" xfId="16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4472C4"/>
          <bgColor rgb="FF4472C4"/>
        </patternFill>
      </fill>
    </dxf>
  </dxfs>
  <tableStyles count="2" defaultTableStyle="TableStyleMedium2" defaultPivotStyle="PivotStyleLight16">
    <tableStyle name="Table Style 1" pivot="0" count="0"/>
    <tableStyle name="-History-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externalLinks/externalLink1.xml" Type="http://schemas.openxmlformats.org/officeDocument/2006/relationships/externalLink"/><Relationship Id="rId19" Target="theme/theme1.xml" Type="http://schemas.openxmlformats.org/officeDocument/2006/relationships/theme"/><Relationship Id="rId2" Target="worksheets/sheet2.xml" Type="http://schemas.openxmlformats.org/officeDocument/2006/relationships/worksheet"/><Relationship Id="rId20" Target="styles.xml" Type="http://schemas.openxmlformats.org/officeDocument/2006/relationships/styles"/><Relationship Id="rId21" Target="sharedStrings.xml" Type="http://schemas.openxmlformats.org/officeDocument/2006/relationships/sharedStrings"/><Relationship Id="rId22" Target="calcChain.xml" Type="http://schemas.openxmlformats.org/officeDocument/2006/relationships/calcChain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externalLinks/_rels/externalLink1.xml.rels><?xml version="1.0" encoding="UTF-8" standalone="yes"?><Relationships xmlns="http://schemas.openxmlformats.org/package/2006/relationships"><Relationship Id="rId1" Target="/Projects/QuickPremiumEstimator_Nov.2017v1.0.case%20motor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Premium Estimator"/>
      <sheetName val="Detailed Calculation House"/>
      <sheetName val="Detailed Calculation Contents"/>
      <sheetName val="Detailed Calculation Motor"/>
      <sheetName val="List Data Motor"/>
      <sheetName val="Base Motor"/>
      <sheetName val="Optional Covers Motor"/>
      <sheetName val="Modifiers Motor"/>
      <sheetName val="List Data Contents"/>
      <sheetName val="Base Contents"/>
      <sheetName val="Optional Covers contents"/>
      <sheetName val="Disaster Cover Rates Contents"/>
      <sheetName val="Specified Items Contents"/>
      <sheetName val="Modifiers Contents"/>
      <sheetName val="List Data House"/>
      <sheetName val="Base House"/>
      <sheetName val="Disaster Cover House"/>
      <sheetName val="Optional Covers House"/>
      <sheetName val="Modifiers House"/>
      <sheetName val="Version Control"/>
      <sheetName val="IF Motor Rating - Current"/>
      <sheetName val="IF House Rating - Required"/>
      <sheetName val="IF Contents Rating - Required"/>
      <sheetName val="IF Disaster Rating - Required"/>
      <sheetName val="IF Motor Rating - Required"/>
    </sheetNames>
    <sheetDataSet>
      <sheetData sheetId="0"/>
      <sheetData sheetId="1"/>
      <sheetData sheetId="2"/>
      <sheetData sheetId="3"/>
      <sheetData sheetId="4">
        <row r="5">
          <cell r="W5" t="str">
            <v>Monthly</v>
          </cell>
          <cell r="Y5" t="str">
            <v>Any Driver</v>
          </cell>
        </row>
        <row r="6">
          <cell r="W6" t="str">
            <v>Quarterly</v>
          </cell>
          <cell r="Y6" t="str">
            <v>Over 25 year olds only</v>
          </cell>
        </row>
        <row r="7">
          <cell r="W7" t="str">
            <v>Half-Yearly</v>
          </cell>
          <cell r="Y7" t="str">
            <v>Named Drivers</v>
          </cell>
        </row>
        <row r="8">
          <cell r="W8" t="str">
            <v>Annually</v>
          </cell>
        </row>
      </sheetData>
      <sheetData sheetId="5"/>
      <sheetData sheetId="6"/>
      <sheetData sheetId="7">
        <row r="5">
          <cell r="BL5">
            <v>0</v>
          </cell>
        </row>
        <row r="6">
          <cell r="BL6">
            <v>110</v>
          </cell>
        </row>
        <row r="7">
          <cell r="BL7">
            <v>112</v>
          </cell>
        </row>
        <row r="8">
          <cell r="BL8">
            <v>114</v>
          </cell>
        </row>
        <row r="9">
          <cell r="BL9">
            <v>116</v>
          </cell>
        </row>
        <row r="10">
          <cell r="BL10">
            <v>118</v>
          </cell>
        </row>
        <row r="11">
          <cell r="BL11">
            <v>170</v>
          </cell>
        </row>
        <row r="12">
          <cell r="BL12">
            <v>171</v>
          </cell>
        </row>
        <row r="13">
          <cell r="BL13">
            <v>172</v>
          </cell>
        </row>
        <row r="14">
          <cell r="BL14">
            <v>173</v>
          </cell>
        </row>
        <row r="15">
          <cell r="BL15">
            <v>174</v>
          </cell>
        </row>
        <row r="16">
          <cell r="BL16">
            <v>175</v>
          </cell>
        </row>
        <row r="17">
          <cell r="BL17">
            <v>176</v>
          </cell>
        </row>
        <row r="18">
          <cell r="BL18">
            <v>178</v>
          </cell>
        </row>
        <row r="19">
          <cell r="BL19">
            <v>179</v>
          </cell>
        </row>
        <row r="20">
          <cell r="BL20">
            <v>181</v>
          </cell>
        </row>
        <row r="21">
          <cell r="BL21">
            <v>182</v>
          </cell>
        </row>
        <row r="22">
          <cell r="BL22">
            <v>184</v>
          </cell>
        </row>
        <row r="23">
          <cell r="BL23">
            <v>185</v>
          </cell>
        </row>
        <row r="24">
          <cell r="BL24">
            <v>192</v>
          </cell>
        </row>
        <row r="25">
          <cell r="BL25">
            <v>193</v>
          </cell>
        </row>
        <row r="26">
          <cell r="BL26">
            <v>200</v>
          </cell>
        </row>
        <row r="27">
          <cell r="BL27">
            <v>202</v>
          </cell>
        </row>
        <row r="28">
          <cell r="BL28">
            <v>204</v>
          </cell>
        </row>
        <row r="29">
          <cell r="BL29">
            <v>210</v>
          </cell>
        </row>
        <row r="30">
          <cell r="BL30">
            <v>211</v>
          </cell>
        </row>
        <row r="31">
          <cell r="BL31">
            <v>230</v>
          </cell>
        </row>
        <row r="32">
          <cell r="BL32">
            <v>271</v>
          </cell>
        </row>
        <row r="33">
          <cell r="BL33">
            <v>272</v>
          </cell>
        </row>
        <row r="34">
          <cell r="BL34">
            <v>281</v>
          </cell>
        </row>
        <row r="35">
          <cell r="BL35">
            <v>282</v>
          </cell>
        </row>
        <row r="36">
          <cell r="BL36">
            <v>283</v>
          </cell>
        </row>
        <row r="37">
          <cell r="BL37">
            <v>293</v>
          </cell>
        </row>
        <row r="38">
          <cell r="BL38">
            <v>294</v>
          </cell>
        </row>
        <row r="39">
          <cell r="BL39">
            <v>295</v>
          </cell>
        </row>
        <row r="40">
          <cell r="BL40">
            <v>310</v>
          </cell>
        </row>
        <row r="41">
          <cell r="BL41">
            <v>370</v>
          </cell>
        </row>
        <row r="42">
          <cell r="BL42">
            <v>371</v>
          </cell>
        </row>
        <row r="43">
          <cell r="BL43">
            <v>372</v>
          </cell>
        </row>
        <row r="44">
          <cell r="BL44">
            <v>373</v>
          </cell>
        </row>
        <row r="45">
          <cell r="BL45">
            <v>374</v>
          </cell>
        </row>
        <row r="46">
          <cell r="BL46">
            <v>376</v>
          </cell>
        </row>
        <row r="47">
          <cell r="BL47">
            <v>377</v>
          </cell>
        </row>
        <row r="48">
          <cell r="BL48">
            <v>379</v>
          </cell>
        </row>
        <row r="49">
          <cell r="BL49">
            <v>381</v>
          </cell>
        </row>
        <row r="50">
          <cell r="BL50">
            <v>391</v>
          </cell>
        </row>
        <row r="51">
          <cell r="BL51">
            <v>405</v>
          </cell>
        </row>
        <row r="52">
          <cell r="BL52">
            <v>410</v>
          </cell>
        </row>
        <row r="53">
          <cell r="BL53">
            <v>420</v>
          </cell>
        </row>
        <row r="54">
          <cell r="BL54">
            <v>472</v>
          </cell>
        </row>
        <row r="55">
          <cell r="BL55">
            <v>473</v>
          </cell>
        </row>
        <row r="56">
          <cell r="BL56">
            <v>474</v>
          </cell>
        </row>
        <row r="57">
          <cell r="BL57">
            <v>475</v>
          </cell>
        </row>
        <row r="58">
          <cell r="BL58">
            <v>476</v>
          </cell>
        </row>
        <row r="59">
          <cell r="BL59">
            <v>478</v>
          </cell>
        </row>
        <row r="60">
          <cell r="BL60">
            <v>479</v>
          </cell>
        </row>
        <row r="61">
          <cell r="BL61">
            <v>481</v>
          </cell>
        </row>
        <row r="62">
          <cell r="BL62">
            <v>482</v>
          </cell>
        </row>
        <row r="63">
          <cell r="BL63">
            <v>483</v>
          </cell>
        </row>
        <row r="64">
          <cell r="BL64">
            <v>484</v>
          </cell>
        </row>
        <row r="65">
          <cell r="BL65">
            <v>486</v>
          </cell>
        </row>
        <row r="66">
          <cell r="BL66">
            <v>491</v>
          </cell>
        </row>
        <row r="67">
          <cell r="BL67">
            <v>492</v>
          </cell>
        </row>
        <row r="68">
          <cell r="BL68">
            <v>494</v>
          </cell>
        </row>
        <row r="69">
          <cell r="BL69">
            <v>496</v>
          </cell>
        </row>
        <row r="70">
          <cell r="BL70">
            <v>505</v>
          </cell>
        </row>
        <row r="71">
          <cell r="BL71">
            <v>510</v>
          </cell>
        </row>
        <row r="72">
          <cell r="BL72">
            <v>520</v>
          </cell>
        </row>
        <row r="73">
          <cell r="BL73">
            <v>530</v>
          </cell>
        </row>
        <row r="74">
          <cell r="BL74">
            <v>571</v>
          </cell>
        </row>
        <row r="75">
          <cell r="BL75">
            <v>573</v>
          </cell>
        </row>
        <row r="76">
          <cell r="BL76">
            <v>582</v>
          </cell>
        </row>
        <row r="77">
          <cell r="BL77">
            <v>583</v>
          </cell>
        </row>
        <row r="78">
          <cell r="BL78">
            <v>587</v>
          </cell>
        </row>
        <row r="79">
          <cell r="BL79">
            <v>588</v>
          </cell>
        </row>
        <row r="80">
          <cell r="BL80">
            <v>589</v>
          </cell>
        </row>
        <row r="81">
          <cell r="BL81">
            <v>591</v>
          </cell>
        </row>
        <row r="82">
          <cell r="BL82">
            <v>592</v>
          </cell>
        </row>
        <row r="83">
          <cell r="BL83">
            <v>593</v>
          </cell>
        </row>
        <row r="84">
          <cell r="BL84">
            <v>594</v>
          </cell>
        </row>
        <row r="85">
          <cell r="BL85">
            <v>600</v>
          </cell>
        </row>
        <row r="86">
          <cell r="BL86">
            <v>602</v>
          </cell>
        </row>
        <row r="87">
          <cell r="BL87">
            <v>604</v>
          </cell>
        </row>
        <row r="88">
          <cell r="BL88">
            <v>610</v>
          </cell>
        </row>
        <row r="89">
          <cell r="BL89">
            <v>612</v>
          </cell>
        </row>
        <row r="90">
          <cell r="BL90">
            <v>614</v>
          </cell>
        </row>
        <row r="91">
          <cell r="BL91">
            <v>618</v>
          </cell>
        </row>
        <row r="92">
          <cell r="BL92">
            <v>620</v>
          </cell>
        </row>
        <row r="93">
          <cell r="BL93">
            <v>622</v>
          </cell>
        </row>
        <row r="94">
          <cell r="BL94">
            <v>624</v>
          </cell>
        </row>
        <row r="95">
          <cell r="BL95">
            <v>626</v>
          </cell>
        </row>
        <row r="96">
          <cell r="BL96">
            <v>627</v>
          </cell>
        </row>
        <row r="97">
          <cell r="BL97">
            <v>629</v>
          </cell>
        </row>
        <row r="98">
          <cell r="BL98">
            <v>630</v>
          </cell>
        </row>
        <row r="99">
          <cell r="BL99">
            <v>632</v>
          </cell>
        </row>
        <row r="100">
          <cell r="BL100">
            <v>772</v>
          </cell>
        </row>
        <row r="101">
          <cell r="BL101">
            <v>781</v>
          </cell>
        </row>
        <row r="102">
          <cell r="BL102">
            <v>782</v>
          </cell>
        </row>
        <row r="103">
          <cell r="BL103">
            <v>792</v>
          </cell>
        </row>
        <row r="104">
          <cell r="BL104">
            <v>793</v>
          </cell>
        </row>
        <row r="105">
          <cell r="BL105">
            <v>794</v>
          </cell>
        </row>
        <row r="106">
          <cell r="BL106">
            <v>800</v>
          </cell>
        </row>
        <row r="107">
          <cell r="BL107">
            <v>810</v>
          </cell>
        </row>
        <row r="108">
          <cell r="BL108">
            <v>812</v>
          </cell>
        </row>
        <row r="109">
          <cell r="BL109">
            <v>814</v>
          </cell>
        </row>
        <row r="110">
          <cell r="BL110">
            <v>820</v>
          </cell>
        </row>
        <row r="111">
          <cell r="BL111">
            <v>830</v>
          </cell>
        </row>
        <row r="112">
          <cell r="BL112">
            <v>871</v>
          </cell>
        </row>
        <row r="113">
          <cell r="BL113">
            <v>873</v>
          </cell>
        </row>
        <row r="114">
          <cell r="BL114">
            <v>874</v>
          </cell>
        </row>
        <row r="115">
          <cell r="BL115">
            <v>875</v>
          </cell>
        </row>
        <row r="116">
          <cell r="BL116">
            <v>881</v>
          </cell>
        </row>
        <row r="117">
          <cell r="BL117">
            <v>882</v>
          </cell>
        </row>
        <row r="118">
          <cell r="BL118">
            <v>883</v>
          </cell>
        </row>
        <row r="119">
          <cell r="BL119">
            <v>891</v>
          </cell>
        </row>
        <row r="120">
          <cell r="BL120">
            <v>892</v>
          </cell>
        </row>
        <row r="121">
          <cell r="BL121">
            <v>900</v>
          </cell>
        </row>
        <row r="122">
          <cell r="BL122">
            <v>910</v>
          </cell>
        </row>
        <row r="123">
          <cell r="BL123">
            <v>920</v>
          </cell>
        </row>
        <row r="124">
          <cell r="BL124">
            <v>930</v>
          </cell>
        </row>
        <row r="125">
          <cell r="BL125">
            <v>931</v>
          </cell>
        </row>
        <row r="126">
          <cell r="BL126">
            <v>932</v>
          </cell>
        </row>
        <row r="127">
          <cell r="BL127">
            <v>972</v>
          </cell>
        </row>
        <row r="128">
          <cell r="BL128">
            <v>973</v>
          </cell>
        </row>
        <row r="129">
          <cell r="BL129">
            <v>974</v>
          </cell>
        </row>
        <row r="130">
          <cell r="BL130">
            <v>975</v>
          </cell>
        </row>
        <row r="131">
          <cell r="BL131">
            <v>977</v>
          </cell>
        </row>
        <row r="132">
          <cell r="BL132">
            <v>981</v>
          </cell>
        </row>
        <row r="133">
          <cell r="BL133">
            <v>982</v>
          </cell>
        </row>
        <row r="134">
          <cell r="BL134">
            <v>983</v>
          </cell>
        </row>
        <row r="135">
          <cell r="BL135">
            <v>984</v>
          </cell>
        </row>
        <row r="136">
          <cell r="BL136">
            <v>985</v>
          </cell>
        </row>
        <row r="137">
          <cell r="BL137">
            <v>986</v>
          </cell>
        </row>
        <row r="138">
          <cell r="BL138">
            <v>991</v>
          </cell>
        </row>
        <row r="139">
          <cell r="BL139">
            <v>992</v>
          </cell>
        </row>
        <row r="140">
          <cell r="BL140">
            <v>993</v>
          </cell>
        </row>
        <row r="141">
          <cell r="BL141">
            <v>1010</v>
          </cell>
        </row>
        <row r="142">
          <cell r="BL142">
            <v>1011</v>
          </cell>
        </row>
        <row r="143">
          <cell r="BL143">
            <v>1021</v>
          </cell>
        </row>
        <row r="144">
          <cell r="BL144">
            <v>1022</v>
          </cell>
        </row>
        <row r="145">
          <cell r="BL145">
            <v>1023</v>
          </cell>
        </row>
        <row r="146">
          <cell r="BL146">
            <v>1024</v>
          </cell>
        </row>
        <row r="147">
          <cell r="BL147">
            <v>1025</v>
          </cell>
        </row>
        <row r="148">
          <cell r="BL148">
            <v>1026</v>
          </cell>
        </row>
        <row r="149">
          <cell r="BL149">
            <v>1041</v>
          </cell>
        </row>
        <row r="150">
          <cell r="BL150">
            <v>1042</v>
          </cell>
        </row>
        <row r="151">
          <cell r="BL151">
            <v>1050</v>
          </cell>
        </row>
        <row r="152">
          <cell r="BL152">
            <v>1051</v>
          </cell>
        </row>
        <row r="153">
          <cell r="BL153">
            <v>1052</v>
          </cell>
        </row>
        <row r="154">
          <cell r="BL154">
            <v>1060</v>
          </cell>
        </row>
        <row r="155">
          <cell r="BL155">
            <v>1061</v>
          </cell>
        </row>
        <row r="156">
          <cell r="BL156">
            <v>1062</v>
          </cell>
        </row>
        <row r="157">
          <cell r="BL157">
            <v>1071</v>
          </cell>
        </row>
        <row r="158">
          <cell r="BL158">
            <v>1072</v>
          </cell>
        </row>
        <row r="159">
          <cell r="BL159">
            <v>1081</v>
          </cell>
        </row>
        <row r="160">
          <cell r="BL160">
            <v>1971</v>
          </cell>
        </row>
        <row r="161">
          <cell r="BL161">
            <v>2010</v>
          </cell>
        </row>
        <row r="162">
          <cell r="BL162">
            <v>2012</v>
          </cell>
        </row>
        <row r="163">
          <cell r="BL163">
            <v>2013</v>
          </cell>
        </row>
        <row r="164">
          <cell r="BL164">
            <v>2014</v>
          </cell>
        </row>
        <row r="165">
          <cell r="BL165">
            <v>2016</v>
          </cell>
        </row>
        <row r="166">
          <cell r="BL166">
            <v>2018</v>
          </cell>
        </row>
        <row r="167">
          <cell r="BL167">
            <v>2022</v>
          </cell>
        </row>
        <row r="168">
          <cell r="BL168">
            <v>2023</v>
          </cell>
        </row>
        <row r="169">
          <cell r="BL169">
            <v>2024</v>
          </cell>
        </row>
        <row r="170">
          <cell r="BL170">
            <v>2025</v>
          </cell>
        </row>
        <row r="171">
          <cell r="BL171">
            <v>2102</v>
          </cell>
        </row>
        <row r="172">
          <cell r="BL172">
            <v>2103</v>
          </cell>
        </row>
        <row r="173">
          <cell r="BL173">
            <v>2104</v>
          </cell>
        </row>
        <row r="174">
          <cell r="BL174">
            <v>2105</v>
          </cell>
        </row>
        <row r="175">
          <cell r="BL175">
            <v>2110</v>
          </cell>
        </row>
        <row r="176">
          <cell r="BL176">
            <v>2112</v>
          </cell>
        </row>
        <row r="177">
          <cell r="BL177">
            <v>2113</v>
          </cell>
        </row>
        <row r="178">
          <cell r="BL178">
            <v>2120</v>
          </cell>
        </row>
        <row r="179">
          <cell r="BL179">
            <v>2121</v>
          </cell>
        </row>
        <row r="180">
          <cell r="BL180">
            <v>2122</v>
          </cell>
        </row>
        <row r="181">
          <cell r="BL181">
            <v>2123</v>
          </cell>
        </row>
        <row r="182">
          <cell r="BL182">
            <v>2471</v>
          </cell>
        </row>
        <row r="183">
          <cell r="BL183">
            <v>2472</v>
          </cell>
        </row>
        <row r="184">
          <cell r="BL184">
            <v>2473</v>
          </cell>
        </row>
        <row r="185">
          <cell r="BL185">
            <v>2474</v>
          </cell>
        </row>
        <row r="186">
          <cell r="BL186">
            <v>2571</v>
          </cell>
        </row>
        <row r="187">
          <cell r="BL187">
            <v>2576</v>
          </cell>
        </row>
        <row r="188">
          <cell r="BL188">
            <v>2577</v>
          </cell>
        </row>
        <row r="189">
          <cell r="BL189">
            <v>2578</v>
          </cell>
        </row>
        <row r="190">
          <cell r="BL190">
            <v>2579</v>
          </cell>
        </row>
        <row r="191">
          <cell r="BL191">
            <v>2580</v>
          </cell>
        </row>
        <row r="192">
          <cell r="BL192">
            <v>2582</v>
          </cell>
        </row>
        <row r="193">
          <cell r="BL193">
            <v>2583</v>
          </cell>
        </row>
        <row r="194">
          <cell r="BL194">
            <v>2584</v>
          </cell>
        </row>
        <row r="195">
          <cell r="BL195">
            <v>2585</v>
          </cell>
        </row>
        <row r="196">
          <cell r="BL196">
            <v>2675</v>
          </cell>
        </row>
        <row r="197">
          <cell r="BL197">
            <v>2676</v>
          </cell>
        </row>
        <row r="198">
          <cell r="BL198">
            <v>2677</v>
          </cell>
        </row>
        <row r="199">
          <cell r="BL199">
            <v>2678</v>
          </cell>
        </row>
        <row r="200">
          <cell r="BL200">
            <v>2679</v>
          </cell>
        </row>
        <row r="201">
          <cell r="BL201">
            <v>2681</v>
          </cell>
        </row>
        <row r="202">
          <cell r="BL202">
            <v>2682</v>
          </cell>
        </row>
        <row r="203">
          <cell r="BL203">
            <v>2683</v>
          </cell>
        </row>
        <row r="204">
          <cell r="BL204">
            <v>2684</v>
          </cell>
        </row>
        <row r="205">
          <cell r="BL205">
            <v>2693</v>
          </cell>
        </row>
        <row r="206">
          <cell r="BL206">
            <v>2694</v>
          </cell>
        </row>
        <row r="207">
          <cell r="BL207">
            <v>2695</v>
          </cell>
        </row>
        <row r="208">
          <cell r="BL208">
            <v>2696</v>
          </cell>
        </row>
        <row r="209">
          <cell r="BL209">
            <v>2697</v>
          </cell>
        </row>
        <row r="210">
          <cell r="BL210">
            <v>3010</v>
          </cell>
        </row>
        <row r="211">
          <cell r="BL211">
            <v>3015</v>
          </cell>
        </row>
        <row r="212">
          <cell r="BL212">
            <v>3020</v>
          </cell>
        </row>
        <row r="213">
          <cell r="BL213">
            <v>3025</v>
          </cell>
        </row>
        <row r="214">
          <cell r="BL214">
            <v>3072</v>
          </cell>
        </row>
        <row r="215">
          <cell r="BL215">
            <v>3073</v>
          </cell>
        </row>
        <row r="216">
          <cell r="BL216">
            <v>3074</v>
          </cell>
        </row>
        <row r="217">
          <cell r="BL217">
            <v>3076</v>
          </cell>
        </row>
        <row r="218">
          <cell r="BL218">
            <v>3077</v>
          </cell>
        </row>
        <row r="219">
          <cell r="BL219">
            <v>3078</v>
          </cell>
        </row>
        <row r="220">
          <cell r="BL220">
            <v>3079</v>
          </cell>
        </row>
        <row r="221">
          <cell r="BL221">
            <v>3081</v>
          </cell>
        </row>
        <row r="222">
          <cell r="BL222">
            <v>3083</v>
          </cell>
        </row>
        <row r="223">
          <cell r="BL223">
            <v>3110</v>
          </cell>
        </row>
        <row r="224">
          <cell r="BL224">
            <v>3112</v>
          </cell>
        </row>
        <row r="225">
          <cell r="BL225">
            <v>3114</v>
          </cell>
        </row>
        <row r="226">
          <cell r="BL226">
            <v>3116</v>
          </cell>
        </row>
        <row r="227">
          <cell r="BL227">
            <v>3118</v>
          </cell>
        </row>
        <row r="228">
          <cell r="BL228">
            <v>3119</v>
          </cell>
        </row>
        <row r="229">
          <cell r="BL229">
            <v>3120</v>
          </cell>
        </row>
        <row r="230">
          <cell r="BL230">
            <v>3121</v>
          </cell>
        </row>
        <row r="231">
          <cell r="BL231">
            <v>3122</v>
          </cell>
        </row>
        <row r="232">
          <cell r="BL232">
            <v>3123</v>
          </cell>
        </row>
        <row r="233">
          <cell r="BL233">
            <v>3127</v>
          </cell>
        </row>
        <row r="234">
          <cell r="BL234">
            <v>3129</v>
          </cell>
        </row>
        <row r="235">
          <cell r="BL235">
            <v>3170</v>
          </cell>
        </row>
        <row r="236">
          <cell r="BL236">
            <v>3171</v>
          </cell>
        </row>
        <row r="237">
          <cell r="BL237">
            <v>3172</v>
          </cell>
        </row>
        <row r="238">
          <cell r="BL238">
            <v>3173</v>
          </cell>
        </row>
        <row r="239">
          <cell r="BL239">
            <v>3175</v>
          </cell>
        </row>
        <row r="240">
          <cell r="BL240">
            <v>3176</v>
          </cell>
        </row>
        <row r="241">
          <cell r="BL241">
            <v>3177</v>
          </cell>
        </row>
        <row r="242">
          <cell r="BL242">
            <v>3178</v>
          </cell>
        </row>
        <row r="243">
          <cell r="BL243">
            <v>3182</v>
          </cell>
        </row>
        <row r="244">
          <cell r="BL244">
            <v>3183</v>
          </cell>
        </row>
        <row r="245">
          <cell r="BL245">
            <v>3186</v>
          </cell>
        </row>
        <row r="246">
          <cell r="BL246">
            <v>3187</v>
          </cell>
        </row>
        <row r="247">
          <cell r="BL247">
            <v>3188</v>
          </cell>
        </row>
        <row r="248">
          <cell r="BL248">
            <v>3189</v>
          </cell>
        </row>
        <row r="249">
          <cell r="BL249">
            <v>3191</v>
          </cell>
        </row>
        <row r="250">
          <cell r="BL250">
            <v>3192</v>
          </cell>
        </row>
        <row r="251">
          <cell r="BL251">
            <v>3193</v>
          </cell>
        </row>
        <row r="252">
          <cell r="BL252">
            <v>3194</v>
          </cell>
        </row>
        <row r="253">
          <cell r="BL253">
            <v>3196</v>
          </cell>
        </row>
        <row r="254">
          <cell r="BL254">
            <v>3197</v>
          </cell>
        </row>
        <row r="255">
          <cell r="BL255">
            <v>3198</v>
          </cell>
        </row>
        <row r="256">
          <cell r="BL256">
            <v>3199</v>
          </cell>
        </row>
        <row r="257">
          <cell r="BL257">
            <v>3200</v>
          </cell>
        </row>
        <row r="258">
          <cell r="BL258">
            <v>3204</v>
          </cell>
        </row>
        <row r="259">
          <cell r="BL259">
            <v>3206</v>
          </cell>
        </row>
        <row r="260">
          <cell r="BL260">
            <v>3210</v>
          </cell>
        </row>
        <row r="261">
          <cell r="BL261">
            <v>3214</v>
          </cell>
        </row>
        <row r="262">
          <cell r="BL262">
            <v>3216</v>
          </cell>
        </row>
        <row r="263">
          <cell r="BL263">
            <v>3218</v>
          </cell>
        </row>
        <row r="264">
          <cell r="BL264">
            <v>3225</v>
          </cell>
        </row>
        <row r="265">
          <cell r="BL265">
            <v>3281</v>
          </cell>
        </row>
        <row r="266">
          <cell r="BL266">
            <v>3282</v>
          </cell>
        </row>
        <row r="267">
          <cell r="BL267">
            <v>3283</v>
          </cell>
        </row>
        <row r="268">
          <cell r="BL268">
            <v>3284</v>
          </cell>
        </row>
        <row r="269">
          <cell r="BL269">
            <v>3285</v>
          </cell>
        </row>
        <row r="270">
          <cell r="BL270">
            <v>3286</v>
          </cell>
        </row>
        <row r="271">
          <cell r="BL271">
            <v>3288</v>
          </cell>
        </row>
        <row r="272">
          <cell r="BL272">
            <v>3289</v>
          </cell>
        </row>
        <row r="273">
          <cell r="BL273">
            <v>3290</v>
          </cell>
        </row>
        <row r="274">
          <cell r="BL274">
            <v>3293</v>
          </cell>
        </row>
        <row r="275">
          <cell r="BL275">
            <v>3295</v>
          </cell>
        </row>
        <row r="276">
          <cell r="BL276">
            <v>3296</v>
          </cell>
        </row>
        <row r="277">
          <cell r="BL277">
            <v>3297</v>
          </cell>
        </row>
        <row r="278">
          <cell r="BL278">
            <v>3300</v>
          </cell>
        </row>
        <row r="279">
          <cell r="BL279">
            <v>3310</v>
          </cell>
        </row>
        <row r="280">
          <cell r="BL280">
            <v>3320</v>
          </cell>
        </row>
        <row r="281">
          <cell r="BL281">
            <v>3330</v>
          </cell>
        </row>
        <row r="282">
          <cell r="BL282">
            <v>3332</v>
          </cell>
        </row>
        <row r="283">
          <cell r="BL283">
            <v>3334</v>
          </cell>
        </row>
        <row r="284">
          <cell r="BL284">
            <v>3371</v>
          </cell>
        </row>
        <row r="285">
          <cell r="BL285">
            <v>3372</v>
          </cell>
        </row>
        <row r="286">
          <cell r="BL286">
            <v>3373</v>
          </cell>
        </row>
        <row r="287">
          <cell r="BL287">
            <v>3374</v>
          </cell>
        </row>
        <row r="288">
          <cell r="BL288">
            <v>3375</v>
          </cell>
        </row>
        <row r="289">
          <cell r="BL289">
            <v>3377</v>
          </cell>
        </row>
        <row r="290">
          <cell r="BL290">
            <v>3378</v>
          </cell>
        </row>
        <row r="291">
          <cell r="BL291">
            <v>3379</v>
          </cell>
        </row>
        <row r="292">
          <cell r="BL292">
            <v>3380</v>
          </cell>
        </row>
        <row r="293">
          <cell r="BL293">
            <v>3381</v>
          </cell>
        </row>
        <row r="294">
          <cell r="BL294">
            <v>3382</v>
          </cell>
        </row>
        <row r="295">
          <cell r="BL295">
            <v>3391</v>
          </cell>
        </row>
        <row r="296">
          <cell r="BL296">
            <v>3392</v>
          </cell>
        </row>
        <row r="297">
          <cell r="BL297">
            <v>3393</v>
          </cell>
        </row>
        <row r="298">
          <cell r="BL298">
            <v>3400</v>
          </cell>
        </row>
        <row r="299">
          <cell r="BL299">
            <v>3401</v>
          </cell>
        </row>
        <row r="300">
          <cell r="BL300">
            <v>3410</v>
          </cell>
        </row>
        <row r="301">
          <cell r="BL301">
            <v>3411</v>
          </cell>
        </row>
        <row r="302">
          <cell r="BL302">
            <v>3415</v>
          </cell>
        </row>
        <row r="303">
          <cell r="BL303">
            <v>3420</v>
          </cell>
        </row>
        <row r="304">
          <cell r="BL304">
            <v>3421</v>
          </cell>
        </row>
        <row r="305">
          <cell r="BL305">
            <v>3432</v>
          </cell>
        </row>
        <row r="306">
          <cell r="BL306">
            <v>3434</v>
          </cell>
        </row>
        <row r="307">
          <cell r="BL307">
            <v>3471</v>
          </cell>
        </row>
        <row r="308">
          <cell r="BL308">
            <v>3472</v>
          </cell>
        </row>
        <row r="309">
          <cell r="BL309">
            <v>3473</v>
          </cell>
        </row>
        <row r="310">
          <cell r="BL310">
            <v>3474</v>
          </cell>
        </row>
        <row r="311">
          <cell r="BL311">
            <v>3475</v>
          </cell>
        </row>
        <row r="312">
          <cell r="BL312">
            <v>3481</v>
          </cell>
        </row>
        <row r="313">
          <cell r="BL313">
            <v>3482</v>
          </cell>
        </row>
        <row r="314">
          <cell r="BL314">
            <v>3483</v>
          </cell>
        </row>
        <row r="315">
          <cell r="BL315">
            <v>3484</v>
          </cell>
        </row>
        <row r="316">
          <cell r="BL316">
            <v>3485</v>
          </cell>
        </row>
        <row r="317">
          <cell r="BL317">
            <v>3491</v>
          </cell>
        </row>
        <row r="318">
          <cell r="BL318">
            <v>3492</v>
          </cell>
        </row>
        <row r="319">
          <cell r="BL319">
            <v>3493</v>
          </cell>
        </row>
        <row r="320">
          <cell r="BL320">
            <v>3494</v>
          </cell>
        </row>
        <row r="321">
          <cell r="BL321">
            <v>3495</v>
          </cell>
        </row>
        <row r="322">
          <cell r="BL322">
            <v>3496</v>
          </cell>
        </row>
        <row r="323">
          <cell r="BL323">
            <v>3500</v>
          </cell>
        </row>
        <row r="324">
          <cell r="BL324">
            <v>3503</v>
          </cell>
        </row>
        <row r="325">
          <cell r="BL325">
            <v>3506</v>
          </cell>
        </row>
        <row r="326">
          <cell r="BL326">
            <v>3508</v>
          </cell>
        </row>
        <row r="327">
          <cell r="BL327">
            <v>3510</v>
          </cell>
        </row>
        <row r="328">
          <cell r="BL328">
            <v>3574</v>
          </cell>
        </row>
        <row r="329">
          <cell r="BL329">
            <v>3575</v>
          </cell>
        </row>
        <row r="330">
          <cell r="BL330">
            <v>3576</v>
          </cell>
        </row>
        <row r="331">
          <cell r="BL331">
            <v>3577</v>
          </cell>
        </row>
        <row r="332">
          <cell r="BL332">
            <v>3578</v>
          </cell>
        </row>
        <row r="333">
          <cell r="BL333">
            <v>3579</v>
          </cell>
        </row>
        <row r="334">
          <cell r="BL334">
            <v>3581</v>
          </cell>
        </row>
        <row r="335">
          <cell r="BL335">
            <v>3582</v>
          </cell>
        </row>
        <row r="336">
          <cell r="BL336">
            <v>3583</v>
          </cell>
        </row>
        <row r="337">
          <cell r="BL337">
            <v>3584</v>
          </cell>
        </row>
        <row r="338">
          <cell r="BL338">
            <v>3591</v>
          </cell>
        </row>
        <row r="339">
          <cell r="BL339">
            <v>3592</v>
          </cell>
        </row>
        <row r="340">
          <cell r="BL340">
            <v>3597</v>
          </cell>
        </row>
        <row r="341">
          <cell r="BL341">
            <v>3600</v>
          </cell>
        </row>
        <row r="342">
          <cell r="BL342">
            <v>3610</v>
          </cell>
        </row>
        <row r="343">
          <cell r="BL343">
            <v>3611</v>
          </cell>
        </row>
        <row r="344">
          <cell r="BL344">
            <v>3620</v>
          </cell>
        </row>
        <row r="345">
          <cell r="BL345">
            <v>3671</v>
          </cell>
        </row>
        <row r="346">
          <cell r="BL346">
            <v>3672</v>
          </cell>
        </row>
        <row r="347">
          <cell r="BL347">
            <v>3673</v>
          </cell>
        </row>
        <row r="348">
          <cell r="BL348">
            <v>3674</v>
          </cell>
        </row>
        <row r="349">
          <cell r="BL349">
            <v>3681</v>
          </cell>
        </row>
        <row r="350">
          <cell r="BL350">
            <v>3682</v>
          </cell>
        </row>
        <row r="351">
          <cell r="BL351">
            <v>3691</v>
          </cell>
        </row>
        <row r="352">
          <cell r="BL352">
            <v>3700</v>
          </cell>
        </row>
        <row r="353">
          <cell r="BL353">
            <v>3710</v>
          </cell>
        </row>
        <row r="354">
          <cell r="BL354">
            <v>3720</v>
          </cell>
        </row>
        <row r="355">
          <cell r="BL355">
            <v>3721</v>
          </cell>
        </row>
        <row r="356">
          <cell r="BL356">
            <v>3771</v>
          </cell>
        </row>
        <row r="357">
          <cell r="BL357">
            <v>3772</v>
          </cell>
        </row>
        <row r="358">
          <cell r="BL358">
            <v>3781</v>
          </cell>
        </row>
        <row r="359">
          <cell r="BL359">
            <v>3782</v>
          </cell>
        </row>
        <row r="360">
          <cell r="BL360">
            <v>3784</v>
          </cell>
        </row>
        <row r="361">
          <cell r="BL361">
            <v>3791</v>
          </cell>
        </row>
        <row r="362">
          <cell r="BL362">
            <v>3792</v>
          </cell>
        </row>
        <row r="363">
          <cell r="BL363">
            <v>3793</v>
          </cell>
        </row>
        <row r="364">
          <cell r="BL364">
            <v>3794</v>
          </cell>
        </row>
        <row r="365">
          <cell r="BL365">
            <v>3800</v>
          </cell>
        </row>
        <row r="366">
          <cell r="BL366">
            <v>3802</v>
          </cell>
        </row>
        <row r="367">
          <cell r="BL367">
            <v>3803</v>
          </cell>
        </row>
        <row r="368">
          <cell r="BL368">
            <v>3872</v>
          </cell>
        </row>
        <row r="369">
          <cell r="BL369">
            <v>3873</v>
          </cell>
        </row>
        <row r="370">
          <cell r="BL370">
            <v>3874</v>
          </cell>
        </row>
        <row r="371">
          <cell r="BL371">
            <v>3875</v>
          </cell>
        </row>
        <row r="372">
          <cell r="BL372">
            <v>3876</v>
          </cell>
        </row>
        <row r="373">
          <cell r="BL373">
            <v>3877</v>
          </cell>
        </row>
        <row r="374">
          <cell r="BL374">
            <v>3878</v>
          </cell>
        </row>
        <row r="375">
          <cell r="BL375">
            <v>3879</v>
          </cell>
        </row>
        <row r="376">
          <cell r="BL376">
            <v>3880</v>
          </cell>
        </row>
        <row r="377">
          <cell r="BL377">
            <v>3881</v>
          </cell>
        </row>
        <row r="378">
          <cell r="BL378">
            <v>3882</v>
          </cell>
        </row>
        <row r="379">
          <cell r="BL379">
            <v>3883</v>
          </cell>
        </row>
        <row r="380">
          <cell r="BL380">
            <v>3885</v>
          </cell>
        </row>
        <row r="381">
          <cell r="BL381">
            <v>3886</v>
          </cell>
        </row>
        <row r="382">
          <cell r="BL382">
            <v>3889</v>
          </cell>
        </row>
        <row r="383">
          <cell r="BL383">
            <v>3894</v>
          </cell>
        </row>
        <row r="384">
          <cell r="BL384">
            <v>3895</v>
          </cell>
        </row>
        <row r="385">
          <cell r="BL385">
            <v>3900</v>
          </cell>
        </row>
        <row r="386">
          <cell r="BL386">
            <v>3910</v>
          </cell>
        </row>
        <row r="387">
          <cell r="BL387">
            <v>3912</v>
          </cell>
        </row>
        <row r="388">
          <cell r="BL388">
            <v>3920</v>
          </cell>
        </row>
        <row r="389">
          <cell r="BL389">
            <v>3924</v>
          </cell>
        </row>
        <row r="390">
          <cell r="BL390">
            <v>3926</v>
          </cell>
        </row>
        <row r="391">
          <cell r="BL391">
            <v>3970</v>
          </cell>
        </row>
        <row r="392">
          <cell r="BL392">
            <v>3971</v>
          </cell>
        </row>
        <row r="393">
          <cell r="BL393">
            <v>3972</v>
          </cell>
        </row>
        <row r="394">
          <cell r="BL394">
            <v>3973</v>
          </cell>
        </row>
        <row r="395">
          <cell r="BL395">
            <v>3974</v>
          </cell>
        </row>
        <row r="396">
          <cell r="BL396">
            <v>3975</v>
          </cell>
        </row>
        <row r="397">
          <cell r="BL397">
            <v>3976</v>
          </cell>
        </row>
        <row r="398">
          <cell r="BL398">
            <v>3977</v>
          </cell>
        </row>
        <row r="399">
          <cell r="BL399">
            <v>3978</v>
          </cell>
        </row>
        <row r="400">
          <cell r="BL400">
            <v>3979</v>
          </cell>
        </row>
        <row r="401">
          <cell r="BL401">
            <v>3980</v>
          </cell>
        </row>
        <row r="402">
          <cell r="BL402">
            <v>3981</v>
          </cell>
        </row>
        <row r="403">
          <cell r="BL403">
            <v>3982</v>
          </cell>
        </row>
        <row r="404">
          <cell r="BL404">
            <v>3983</v>
          </cell>
        </row>
        <row r="405">
          <cell r="BL405">
            <v>3985</v>
          </cell>
        </row>
        <row r="406">
          <cell r="BL406">
            <v>3986</v>
          </cell>
        </row>
        <row r="407">
          <cell r="BL407">
            <v>3987</v>
          </cell>
        </row>
        <row r="408">
          <cell r="BL408">
            <v>3988</v>
          </cell>
        </row>
        <row r="409">
          <cell r="BL409">
            <v>3989</v>
          </cell>
        </row>
        <row r="410">
          <cell r="BL410">
            <v>3990</v>
          </cell>
        </row>
        <row r="411">
          <cell r="BL411">
            <v>3991</v>
          </cell>
        </row>
        <row r="412">
          <cell r="BL412">
            <v>3992</v>
          </cell>
        </row>
        <row r="413">
          <cell r="BL413">
            <v>3993</v>
          </cell>
        </row>
        <row r="414">
          <cell r="BL414">
            <v>3994</v>
          </cell>
        </row>
        <row r="415">
          <cell r="BL415">
            <v>3995</v>
          </cell>
        </row>
        <row r="416">
          <cell r="BL416">
            <v>3996</v>
          </cell>
        </row>
        <row r="417">
          <cell r="BL417">
            <v>3997</v>
          </cell>
        </row>
        <row r="418">
          <cell r="BL418">
            <v>3998</v>
          </cell>
        </row>
        <row r="419">
          <cell r="BL419">
            <v>4010</v>
          </cell>
        </row>
        <row r="420">
          <cell r="BL420">
            <v>4022</v>
          </cell>
        </row>
        <row r="421">
          <cell r="BL421">
            <v>4032</v>
          </cell>
        </row>
        <row r="422">
          <cell r="BL422">
            <v>4071</v>
          </cell>
        </row>
        <row r="423">
          <cell r="BL423">
            <v>4072</v>
          </cell>
        </row>
        <row r="424">
          <cell r="BL424">
            <v>4073</v>
          </cell>
        </row>
        <row r="425">
          <cell r="BL425">
            <v>4075</v>
          </cell>
        </row>
        <row r="426">
          <cell r="BL426">
            <v>4077</v>
          </cell>
        </row>
        <row r="427">
          <cell r="BL427">
            <v>4078</v>
          </cell>
        </row>
        <row r="428">
          <cell r="BL428">
            <v>4079</v>
          </cell>
        </row>
        <row r="429">
          <cell r="BL429">
            <v>4081</v>
          </cell>
        </row>
        <row r="430">
          <cell r="BL430">
            <v>4082</v>
          </cell>
        </row>
        <row r="431">
          <cell r="BL431">
            <v>4083</v>
          </cell>
        </row>
        <row r="432">
          <cell r="BL432">
            <v>4086</v>
          </cell>
        </row>
        <row r="433">
          <cell r="BL433">
            <v>4087</v>
          </cell>
        </row>
        <row r="434">
          <cell r="BL434">
            <v>4091</v>
          </cell>
        </row>
        <row r="435">
          <cell r="BL435">
            <v>4092</v>
          </cell>
        </row>
        <row r="436">
          <cell r="BL436">
            <v>4093</v>
          </cell>
        </row>
        <row r="437">
          <cell r="BL437">
            <v>4094</v>
          </cell>
        </row>
        <row r="438">
          <cell r="BL438">
            <v>4102</v>
          </cell>
        </row>
        <row r="439">
          <cell r="BL439">
            <v>4104</v>
          </cell>
        </row>
        <row r="440">
          <cell r="BL440">
            <v>4108</v>
          </cell>
        </row>
        <row r="441">
          <cell r="BL441">
            <v>4110</v>
          </cell>
        </row>
        <row r="442">
          <cell r="BL442">
            <v>4112</v>
          </cell>
        </row>
        <row r="443">
          <cell r="BL443">
            <v>4120</v>
          </cell>
        </row>
        <row r="444">
          <cell r="BL444">
            <v>4122</v>
          </cell>
        </row>
        <row r="445">
          <cell r="BL445">
            <v>4130</v>
          </cell>
        </row>
        <row r="446">
          <cell r="BL446">
            <v>4171</v>
          </cell>
        </row>
        <row r="447">
          <cell r="BL447">
            <v>4172</v>
          </cell>
        </row>
        <row r="448">
          <cell r="BL448">
            <v>4174</v>
          </cell>
        </row>
        <row r="449">
          <cell r="BL449">
            <v>4175</v>
          </cell>
        </row>
        <row r="450">
          <cell r="BL450">
            <v>4178</v>
          </cell>
        </row>
        <row r="451">
          <cell r="BL451">
            <v>4179</v>
          </cell>
        </row>
        <row r="452">
          <cell r="BL452">
            <v>4181</v>
          </cell>
        </row>
        <row r="453">
          <cell r="BL453">
            <v>4182</v>
          </cell>
        </row>
        <row r="454">
          <cell r="BL454">
            <v>4183</v>
          </cell>
        </row>
        <row r="455">
          <cell r="BL455">
            <v>4184</v>
          </cell>
        </row>
        <row r="456">
          <cell r="BL456">
            <v>4186</v>
          </cell>
        </row>
        <row r="457">
          <cell r="BL457">
            <v>4188</v>
          </cell>
        </row>
        <row r="458">
          <cell r="BL458">
            <v>4189</v>
          </cell>
        </row>
        <row r="459">
          <cell r="BL459">
            <v>4191</v>
          </cell>
        </row>
        <row r="460">
          <cell r="BL460">
            <v>4193</v>
          </cell>
        </row>
        <row r="461">
          <cell r="BL461">
            <v>4195</v>
          </cell>
        </row>
        <row r="462">
          <cell r="BL462">
            <v>4196</v>
          </cell>
        </row>
        <row r="463">
          <cell r="BL463">
            <v>4197</v>
          </cell>
        </row>
        <row r="464">
          <cell r="BL464">
            <v>4198</v>
          </cell>
        </row>
        <row r="465">
          <cell r="BL465">
            <v>4200</v>
          </cell>
        </row>
        <row r="466">
          <cell r="BL466">
            <v>4202</v>
          </cell>
        </row>
        <row r="467">
          <cell r="BL467">
            <v>4203</v>
          </cell>
        </row>
        <row r="468">
          <cell r="BL468">
            <v>4210</v>
          </cell>
        </row>
        <row r="469">
          <cell r="BL469">
            <v>4271</v>
          </cell>
        </row>
        <row r="470">
          <cell r="BL470">
            <v>4272</v>
          </cell>
        </row>
        <row r="471">
          <cell r="BL471">
            <v>4273</v>
          </cell>
        </row>
        <row r="472">
          <cell r="BL472">
            <v>4274</v>
          </cell>
        </row>
        <row r="473">
          <cell r="BL473">
            <v>4275</v>
          </cell>
        </row>
        <row r="474">
          <cell r="BL474">
            <v>4276</v>
          </cell>
        </row>
        <row r="475">
          <cell r="BL475">
            <v>4277</v>
          </cell>
        </row>
        <row r="476">
          <cell r="BL476">
            <v>4278</v>
          </cell>
        </row>
        <row r="477">
          <cell r="BL477">
            <v>4279</v>
          </cell>
        </row>
        <row r="478">
          <cell r="BL478">
            <v>4281</v>
          </cell>
        </row>
        <row r="479">
          <cell r="BL479">
            <v>4282</v>
          </cell>
        </row>
        <row r="480">
          <cell r="BL480">
            <v>4283</v>
          </cell>
        </row>
        <row r="481">
          <cell r="BL481">
            <v>4284</v>
          </cell>
        </row>
        <row r="482">
          <cell r="BL482">
            <v>4285</v>
          </cell>
        </row>
        <row r="483">
          <cell r="BL483">
            <v>4286</v>
          </cell>
        </row>
        <row r="484">
          <cell r="BL484">
            <v>4287</v>
          </cell>
        </row>
        <row r="485">
          <cell r="BL485">
            <v>4288</v>
          </cell>
        </row>
        <row r="486">
          <cell r="BL486">
            <v>4291</v>
          </cell>
        </row>
        <row r="487">
          <cell r="BL487">
            <v>4292</v>
          </cell>
        </row>
        <row r="488">
          <cell r="BL488">
            <v>4293</v>
          </cell>
        </row>
        <row r="489">
          <cell r="BL489">
            <v>4294</v>
          </cell>
        </row>
        <row r="490">
          <cell r="BL490">
            <v>4295</v>
          </cell>
        </row>
        <row r="491">
          <cell r="BL491">
            <v>4310</v>
          </cell>
        </row>
        <row r="492">
          <cell r="BL492">
            <v>4312</v>
          </cell>
        </row>
        <row r="493">
          <cell r="BL493">
            <v>4314</v>
          </cell>
        </row>
        <row r="494">
          <cell r="BL494">
            <v>4320</v>
          </cell>
        </row>
        <row r="495">
          <cell r="BL495">
            <v>4322</v>
          </cell>
        </row>
        <row r="496">
          <cell r="BL496">
            <v>4330</v>
          </cell>
        </row>
        <row r="497">
          <cell r="BL497">
            <v>4332</v>
          </cell>
        </row>
        <row r="498">
          <cell r="BL498">
            <v>4335</v>
          </cell>
        </row>
        <row r="499">
          <cell r="BL499">
            <v>4371</v>
          </cell>
        </row>
        <row r="500">
          <cell r="BL500">
            <v>4372</v>
          </cell>
        </row>
        <row r="501">
          <cell r="BL501">
            <v>4373</v>
          </cell>
        </row>
        <row r="502">
          <cell r="BL502">
            <v>4374</v>
          </cell>
        </row>
        <row r="503">
          <cell r="BL503">
            <v>4375</v>
          </cell>
        </row>
        <row r="504">
          <cell r="BL504">
            <v>4376</v>
          </cell>
        </row>
        <row r="505">
          <cell r="BL505">
            <v>4377</v>
          </cell>
        </row>
        <row r="506">
          <cell r="BL506">
            <v>4378</v>
          </cell>
        </row>
        <row r="507">
          <cell r="BL507">
            <v>4379</v>
          </cell>
        </row>
        <row r="508">
          <cell r="BL508">
            <v>4381</v>
          </cell>
        </row>
        <row r="509">
          <cell r="BL509">
            <v>4382</v>
          </cell>
        </row>
        <row r="510">
          <cell r="BL510">
            <v>4383</v>
          </cell>
        </row>
        <row r="511">
          <cell r="BL511">
            <v>4386</v>
          </cell>
        </row>
        <row r="512">
          <cell r="BL512">
            <v>4387</v>
          </cell>
        </row>
        <row r="513">
          <cell r="BL513">
            <v>4388</v>
          </cell>
        </row>
        <row r="514">
          <cell r="BL514">
            <v>4389</v>
          </cell>
        </row>
        <row r="515">
          <cell r="BL515">
            <v>4390</v>
          </cell>
        </row>
        <row r="516">
          <cell r="BL516">
            <v>4391</v>
          </cell>
        </row>
        <row r="517">
          <cell r="BL517">
            <v>4392</v>
          </cell>
        </row>
        <row r="518">
          <cell r="BL518">
            <v>4393</v>
          </cell>
        </row>
        <row r="519">
          <cell r="BL519">
            <v>4394</v>
          </cell>
        </row>
        <row r="520">
          <cell r="BL520">
            <v>4395</v>
          </cell>
        </row>
        <row r="521">
          <cell r="BL521">
            <v>4396</v>
          </cell>
        </row>
        <row r="522">
          <cell r="BL522">
            <v>4397</v>
          </cell>
        </row>
        <row r="523">
          <cell r="BL523">
            <v>4398</v>
          </cell>
        </row>
        <row r="524">
          <cell r="BL524">
            <v>4399</v>
          </cell>
        </row>
        <row r="525">
          <cell r="BL525">
            <v>4410</v>
          </cell>
        </row>
        <row r="526">
          <cell r="BL526">
            <v>4412</v>
          </cell>
        </row>
        <row r="527">
          <cell r="BL527">
            <v>4414</v>
          </cell>
        </row>
        <row r="528">
          <cell r="BL528">
            <v>4470</v>
          </cell>
        </row>
        <row r="529">
          <cell r="BL529">
            <v>4471</v>
          </cell>
        </row>
        <row r="530">
          <cell r="BL530">
            <v>4473</v>
          </cell>
        </row>
        <row r="531">
          <cell r="BL531">
            <v>4474</v>
          </cell>
        </row>
        <row r="532">
          <cell r="BL532">
            <v>4475</v>
          </cell>
        </row>
        <row r="533">
          <cell r="BL533">
            <v>4476</v>
          </cell>
        </row>
        <row r="534">
          <cell r="BL534">
            <v>4477</v>
          </cell>
        </row>
        <row r="535">
          <cell r="BL535">
            <v>4478</v>
          </cell>
        </row>
        <row r="536">
          <cell r="BL536">
            <v>4479</v>
          </cell>
        </row>
        <row r="537">
          <cell r="BL537">
            <v>4481</v>
          </cell>
        </row>
        <row r="538">
          <cell r="BL538">
            <v>4500</v>
          </cell>
        </row>
        <row r="539">
          <cell r="BL539">
            <v>4501</v>
          </cell>
        </row>
        <row r="540">
          <cell r="BL540">
            <v>4510</v>
          </cell>
        </row>
        <row r="541">
          <cell r="BL541">
            <v>4520</v>
          </cell>
        </row>
        <row r="542">
          <cell r="BL542">
            <v>4571</v>
          </cell>
        </row>
        <row r="543">
          <cell r="BL543">
            <v>4572</v>
          </cell>
        </row>
        <row r="544">
          <cell r="BL544">
            <v>4573</v>
          </cell>
        </row>
        <row r="545">
          <cell r="BL545">
            <v>4574</v>
          </cell>
        </row>
        <row r="546">
          <cell r="BL546">
            <v>4575</v>
          </cell>
        </row>
        <row r="547">
          <cell r="BL547">
            <v>4576</v>
          </cell>
        </row>
        <row r="548">
          <cell r="BL548">
            <v>4577</v>
          </cell>
        </row>
        <row r="549">
          <cell r="BL549">
            <v>4578</v>
          </cell>
        </row>
        <row r="550">
          <cell r="BL550">
            <v>4581</v>
          </cell>
        </row>
        <row r="551">
          <cell r="BL551">
            <v>4582</v>
          </cell>
        </row>
        <row r="552">
          <cell r="BL552">
            <v>4584</v>
          </cell>
        </row>
        <row r="553">
          <cell r="BL553">
            <v>4585</v>
          </cell>
        </row>
        <row r="554">
          <cell r="BL554">
            <v>4586</v>
          </cell>
        </row>
        <row r="555">
          <cell r="BL555">
            <v>4587</v>
          </cell>
        </row>
        <row r="556">
          <cell r="BL556">
            <v>4588</v>
          </cell>
        </row>
        <row r="557">
          <cell r="BL557">
            <v>4591</v>
          </cell>
        </row>
        <row r="558">
          <cell r="BL558">
            <v>4592</v>
          </cell>
        </row>
        <row r="559">
          <cell r="BL559">
            <v>4597</v>
          </cell>
        </row>
        <row r="560">
          <cell r="BL560">
            <v>4598</v>
          </cell>
        </row>
        <row r="561">
          <cell r="BL561">
            <v>4610</v>
          </cell>
        </row>
        <row r="562">
          <cell r="BL562">
            <v>4612</v>
          </cell>
        </row>
        <row r="563">
          <cell r="BL563">
            <v>4614</v>
          </cell>
        </row>
        <row r="564">
          <cell r="BL564">
            <v>4616</v>
          </cell>
        </row>
        <row r="565">
          <cell r="BL565">
            <v>4625</v>
          </cell>
        </row>
        <row r="566">
          <cell r="BL566">
            <v>4632</v>
          </cell>
        </row>
        <row r="567">
          <cell r="BL567">
            <v>4671</v>
          </cell>
        </row>
        <row r="568">
          <cell r="BL568">
            <v>4672</v>
          </cell>
        </row>
        <row r="569">
          <cell r="BL569">
            <v>4673</v>
          </cell>
        </row>
        <row r="570">
          <cell r="BL570">
            <v>4674</v>
          </cell>
        </row>
        <row r="571">
          <cell r="BL571">
            <v>4675</v>
          </cell>
        </row>
        <row r="572">
          <cell r="BL572">
            <v>4678</v>
          </cell>
        </row>
        <row r="573">
          <cell r="BL573">
            <v>4679</v>
          </cell>
        </row>
        <row r="574">
          <cell r="BL574">
            <v>4681</v>
          </cell>
        </row>
        <row r="575">
          <cell r="BL575">
            <v>4682</v>
          </cell>
        </row>
        <row r="576">
          <cell r="BL576">
            <v>4684</v>
          </cell>
        </row>
        <row r="577">
          <cell r="BL577">
            <v>4685</v>
          </cell>
        </row>
        <row r="578">
          <cell r="BL578">
            <v>4691</v>
          </cell>
        </row>
        <row r="579">
          <cell r="BL579">
            <v>4694</v>
          </cell>
        </row>
        <row r="580">
          <cell r="BL580">
            <v>4696</v>
          </cell>
        </row>
        <row r="581">
          <cell r="BL581">
            <v>4702</v>
          </cell>
        </row>
        <row r="582">
          <cell r="BL582">
            <v>4710</v>
          </cell>
        </row>
        <row r="583">
          <cell r="BL583">
            <v>4720</v>
          </cell>
        </row>
        <row r="584">
          <cell r="BL584">
            <v>4730</v>
          </cell>
        </row>
        <row r="585">
          <cell r="BL585">
            <v>4771</v>
          </cell>
        </row>
        <row r="586">
          <cell r="BL586">
            <v>4774</v>
          </cell>
        </row>
        <row r="587">
          <cell r="BL587">
            <v>4775</v>
          </cell>
        </row>
        <row r="588">
          <cell r="BL588">
            <v>4777</v>
          </cell>
        </row>
        <row r="589">
          <cell r="BL589">
            <v>4779</v>
          </cell>
        </row>
        <row r="590">
          <cell r="BL590">
            <v>4780</v>
          </cell>
        </row>
        <row r="591">
          <cell r="BL591">
            <v>4781</v>
          </cell>
        </row>
        <row r="592">
          <cell r="BL592">
            <v>4782</v>
          </cell>
        </row>
        <row r="593">
          <cell r="BL593">
            <v>4783</v>
          </cell>
        </row>
        <row r="594">
          <cell r="BL594">
            <v>4784</v>
          </cell>
        </row>
        <row r="595">
          <cell r="BL595">
            <v>4785</v>
          </cell>
        </row>
        <row r="596">
          <cell r="BL596">
            <v>4786</v>
          </cell>
        </row>
        <row r="597">
          <cell r="BL597">
            <v>4787</v>
          </cell>
        </row>
        <row r="598">
          <cell r="BL598">
            <v>4788</v>
          </cell>
        </row>
        <row r="599">
          <cell r="BL599">
            <v>4789</v>
          </cell>
        </row>
        <row r="600">
          <cell r="BL600">
            <v>4791</v>
          </cell>
        </row>
        <row r="601">
          <cell r="BL601">
            <v>4792</v>
          </cell>
        </row>
        <row r="602">
          <cell r="BL602">
            <v>4793</v>
          </cell>
        </row>
        <row r="603">
          <cell r="BL603">
            <v>4794</v>
          </cell>
        </row>
        <row r="604">
          <cell r="BL604">
            <v>4795</v>
          </cell>
        </row>
        <row r="605">
          <cell r="BL605">
            <v>4796</v>
          </cell>
        </row>
        <row r="606">
          <cell r="BL606">
            <v>4797</v>
          </cell>
        </row>
        <row r="607">
          <cell r="BL607">
            <v>4810</v>
          </cell>
        </row>
        <row r="608">
          <cell r="BL608">
            <v>4814</v>
          </cell>
        </row>
        <row r="609">
          <cell r="BL609">
            <v>4815</v>
          </cell>
        </row>
        <row r="610">
          <cell r="BL610">
            <v>4816</v>
          </cell>
        </row>
        <row r="611">
          <cell r="BL611">
            <v>4817</v>
          </cell>
        </row>
        <row r="612">
          <cell r="BL612">
            <v>4818</v>
          </cell>
        </row>
        <row r="613">
          <cell r="BL613">
            <v>4820</v>
          </cell>
        </row>
        <row r="614">
          <cell r="BL614">
            <v>4821</v>
          </cell>
        </row>
        <row r="615">
          <cell r="BL615">
            <v>4822</v>
          </cell>
        </row>
        <row r="616">
          <cell r="BL616">
            <v>4825</v>
          </cell>
        </row>
        <row r="617">
          <cell r="BL617">
            <v>4826</v>
          </cell>
        </row>
        <row r="618">
          <cell r="BL618">
            <v>4884</v>
          </cell>
        </row>
        <row r="619">
          <cell r="BL619">
            <v>4891</v>
          </cell>
        </row>
        <row r="620">
          <cell r="BL620">
            <v>4893</v>
          </cell>
        </row>
        <row r="621">
          <cell r="BL621">
            <v>4894</v>
          </cell>
        </row>
        <row r="622">
          <cell r="BL622">
            <v>4900</v>
          </cell>
        </row>
        <row r="623">
          <cell r="BL623">
            <v>4910</v>
          </cell>
        </row>
        <row r="624">
          <cell r="BL624">
            <v>4920</v>
          </cell>
        </row>
        <row r="625">
          <cell r="BL625">
            <v>4930</v>
          </cell>
        </row>
        <row r="626">
          <cell r="BL626">
            <v>4970</v>
          </cell>
        </row>
        <row r="627">
          <cell r="BL627">
            <v>4971</v>
          </cell>
        </row>
        <row r="628">
          <cell r="BL628">
            <v>4972</v>
          </cell>
        </row>
        <row r="629">
          <cell r="BL629">
            <v>4973</v>
          </cell>
        </row>
        <row r="630">
          <cell r="BL630">
            <v>4974</v>
          </cell>
        </row>
        <row r="631">
          <cell r="BL631">
            <v>4975</v>
          </cell>
        </row>
        <row r="632">
          <cell r="BL632">
            <v>4976</v>
          </cell>
        </row>
        <row r="633">
          <cell r="BL633">
            <v>4977</v>
          </cell>
        </row>
        <row r="634">
          <cell r="BL634">
            <v>4978</v>
          </cell>
        </row>
        <row r="635">
          <cell r="BL635">
            <v>4979</v>
          </cell>
        </row>
        <row r="636">
          <cell r="BL636">
            <v>4981</v>
          </cell>
        </row>
        <row r="637">
          <cell r="BL637">
            <v>4982</v>
          </cell>
        </row>
        <row r="638">
          <cell r="BL638">
            <v>4983</v>
          </cell>
        </row>
        <row r="639">
          <cell r="BL639">
            <v>4984</v>
          </cell>
        </row>
        <row r="640">
          <cell r="BL640">
            <v>4985</v>
          </cell>
        </row>
        <row r="641">
          <cell r="BL641">
            <v>4986</v>
          </cell>
        </row>
        <row r="642">
          <cell r="BL642">
            <v>4987</v>
          </cell>
        </row>
        <row r="643">
          <cell r="BL643">
            <v>4988</v>
          </cell>
        </row>
        <row r="644">
          <cell r="BL644">
            <v>4989</v>
          </cell>
        </row>
        <row r="645">
          <cell r="BL645">
            <v>4990</v>
          </cell>
        </row>
        <row r="646">
          <cell r="BL646">
            <v>4991</v>
          </cell>
        </row>
        <row r="647">
          <cell r="BL647">
            <v>4992</v>
          </cell>
        </row>
        <row r="648">
          <cell r="BL648">
            <v>4993</v>
          </cell>
        </row>
        <row r="649">
          <cell r="BL649">
            <v>4994</v>
          </cell>
        </row>
        <row r="650">
          <cell r="BL650">
            <v>4995</v>
          </cell>
        </row>
        <row r="651">
          <cell r="BL651">
            <v>4996</v>
          </cell>
        </row>
        <row r="652">
          <cell r="BL652">
            <v>4997</v>
          </cell>
        </row>
        <row r="653">
          <cell r="BL653">
            <v>4998</v>
          </cell>
        </row>
        <row r="654">
          <cell r="BL654">
            <v>4999</v>
          </cell>
        </row>
        <row r="655">
          <cell r="BL655">
            <v>5010</v>
          </cell>
        </row>
        <row r="656">
          <cell r="BL656">
            <v>5011</v>
          </cell>
        </row>
        <row r="657">
          <cell r="BL657">
            <v>5012</v>
          </cell>
        </row>
        <row r="658">
          <cell r="BL658">
            <v>5013</v>
          </cell>
        </row>
        <row r="659">
          <cell r="BL659">
            <v>5014</v>
          </cell>
        </row>
        <row r="660">
          <cell r="BL660">
            <v>5016</v>
          </cell>
        </row>
        <row r="661">
          <cell r="BL661">
            <v>5018</v>
          </cell>
        </row>
        <row r="662">
          <cell r="BL662">
            <v>5019</v>
          </cell>
        </row>
        <row r="663">
          <cell r="BL663">
            <v>5022</v>
          </cell>
        </row>
        <row r="664">
          <cell r="BL664">
            <v>5024</v>
          </cell>
        </row>
        <row r="665">
          <cell r="BL665">
            <v>5026</v>
          </cell>
        </row>
        <row r="666">
          <cell r="BL666">
            <v>5028</v>
          </cell>
        </row>
        <row r="667">
          <cell r="BL667">
            <v>5032</v>
          </cell>
        </row>
        <row r="668">
          <cell r="BL668">
            <v>5034</v>
          </cell>
        </row>
        <row r="669">
          <cell r="BL669">
            <v>5036</v>
          </cell>
        </row>
        <row r="670">
          <cell r="BL670">
            <v>5371</v>
          </cell>
        </row>
        <row r="671">
          <cell r="BL671">
            <v>5372</v>
          </cell>
        </row>
        <row r="672">
          <cell r="BL672">
            <v>5373</v>
          </cell>
        </row>
        <row r="673">
          <cell r="BL673">
            <v>5381</v>
          </cell>
        </row>
        <row r="674">
          <cell r="BL674">
            <v>5391</v>
          </cell>
        </row>
        <row r="675">
          <cell r="BL675">
            <v>5510</v>
          </cell>
        </row>
        <row r="676">
          <cell r="BL676">
            <v>5512</v>
          </cell>
        </row>
        <row r="677">
          <cell r="BL677">
            <v>5570</v>
          </cell>
        </row>
        <row r="678">
          <cell r="BL678">
            <v>5571</v>
          </cell>
        </row>
        <row r="679">
          <cell r="BL679">
            <v>5572</v>
          </cell>
        </row>
        <row r="680">
          <cell r="BL680">
            <v>5573</v>
          </cell>
        </row>
        <row r="681">
          <cell r="BL681">
            <v>5574</v>
          </cell>
        </row>
        <row r="682">
          <cell r="BL682">
            <v>5575</v>
          </cell>
        </row>
        <row r="683">
          <cell r="BL683">
            <v>5581</v>
          </cell>
        </row>
        <row r="684">
          <cell r="BL684">
            <v>5710</v>
          </cell>
        </row>
        <row r="685">
          <cell r="BL685">
            <v>5711</v>
          </cell>
        </row>
        <row r="686">
          <cell r="BL686">
            <v>5712</v>
          </cell>
        </row>
        <row r="687">
          <cell r="BL687">
            <v>5713</v>
          </cell>
        </row>
        <row r="688">
          <cell r="BL688">
            <v>5771</v>
          </cell>
        </row>
        <row r="689">
          <cell r="BL689">
            <v>5772</v>
          </cell>
        </row>
        <row r="690">
          <cell r="BL690">
            <v>5773</v>
          </cell>
        </row>
        <row r="691">
          <cell r="BL691">
            <v>5781</v>
          </cell>
        </row>
        <row r="692">
          <cell r="BL692">
            <v>5782</v>
          </cell>
        </row>
        <row r="693">
          <cell r="BL693">
            <v>5783</v>
          </cell>
        </row>
        <row r="694">
          <cell r="BL694">
            <v>5784</v>
          </cell>
        </row>
        <row r="695">
          <cell r="BL695">
            <v>5791</v>
          </cell>
        </row>
        <row r="696">
          <cell r="BL696">
            <v>5792</v>
          </cell>
        </row>
        <row r="697">
          <cell r="BL697">
            <v>5794</v>
          </cell>
        </row>
        <row r="698">
          <cell r="BL698">
            <v>5810</v>
          </cell>
        </row>
        <row r="699">
          <cell r="BL699">
            <v>5871</v>
          </cell>
        </row>
        <row r="700">
          <cell r="BL700">
            <v>5872</v>
          </cell>
        </row>
        <row r="701">
          <cell r="BL701">
            <v>5881</v>
          </cell>
        </row>
        <row r="702">
          <cell r="BL702">
            <v>5882</v>
          </cell>
        </row>
        <row r="703">
          <cell r="BL703">
            <v>5883</v>
          </cell>
        </row>
        <row r="704">
          <cell r="BL704">
            <v>5884</v>
          </cell>
        </row>
        <row r="705">
          <cell r="BL705">
            <v>5885</v>
          </cell>
        </row>
        <row r="706">
          <cell r="BL706">
            <v>5886</v>
          </cell>
        </row>
        <row r="707">
          <cell r="BL707">
            <v>5887</v>
          </cell>
        </row>
        <row r="708">
          <cell r="BL708">
            <v>5888</v>
          </cell>
        </row>
        <row r="709">
          <cell r="BL709">
            <v>5889</v>
          </cell>
        </row>
        <row r="710">
          <cell r="BL710">
            <v>5890</v>
          </cell>
        </row>
        <row r="711">
          <cell r="BL711">
            <v>5894</v>
          </cell>
        </row>
        <row r="712">
          <cell r="BL712">
            <v>6011</v>
          </cell>
        </row>
        <row r="713">
          <cell r="BL713">
            <v>6012</v>
          </cell>
        </row>
        <row r="714">
          <cell r="BL714">
            <v>6021</v>
          </cell>
        </row>
        <row r="715">
          <cell r="BL715">
            <v>6022</v>
          </cell>
        </row>
        <row r="716">
          <cell r="BL716">
            <v>6023</v>
          </cell>
        </row>
        <row r="717">
          <cell r="BL717">
            <v>6035</v>
          </cell>
        </row>
        <row r="718">
          <cell r="BL718">
            <v>6037</v>
          </cell>
        </row>
        <row r="719">
          <cell r="BL719">
            <v>6972</v>
          </cell>
        </row>
        <row r="720">
          <cell r="BL720">
            <v>7005</v>
          </cell>
        </row>
        <row r="721">
          <cell r="BL721">
            <v>7007</v>
          </cell>
        </row>
        <row r="722">
          <cell r="BL722">
            <v>7010</v>
          </cell>
        </row>
        <row r="723">
          <cell r="BL723">
            <v>7011</v>
          </cell>
        </row>
        <row r="724">
          <cell r="BL724">
            <v>7020</v>
          </cell>
        </row>
        <row r="725">
          <cell r="BL725">
            <v>7022</v>
          </cell>
        </row>
        <row r="726">
          <cell r="BL726">
            <v>7025</v>
          </cell>
        </row>
        <row r="727">
          <cell r="BL727">
            <v>7071</v>
          </cell>
        </row>
        <row r="728">
          <cell r="BL728">
            <v>7072</v>
          </cell>
        </row>
        <row r="729">
          <cell r="BL729">
            <v>7073</v>
          </cell>
        </row>
        <row r="730">
          <cell r="BL730">
            <v>7077</v>
          </cell>
        </row>
        <row r="731">
          <cell r="BL731">
            <v>7081</v>
          </cell>
        </row>
        <row r="732">
          <cell r="BL732">
            <v>7091</v>
          </cell>
        </row>
        <row r="733">
          <cell r="BL733">
            <v>7095</v>
          </cell>
        </row>
        <row r="734">
          <cell r="BL734">
            <v>7096</v>
          </cell>
        </row>
        <row r="735">
          <cell r="BL735">
            <v>7100</v>
          </cell>
        </row>
        <row r="736">
          <cell r="BL736">
            <v>7110</v>
          </cell>
        </row>
        <row r="737">
          <cell r="BL737">
            <v>7120</v>
          </cell>
        </row>
        <row r="738">
          <cell r="BL738">
            <v>7173</v>
          </cell>
        </row>
        <row r="739">
          <cell r="BL739">
            <v>7175</v>
          </cell>
        </row>
        <row r="740">
          <cell r="BL740">
            <v>7178</v>
          </cell>
        </row>
        <row r="741">
          <cell r="BL741">
            <v>7182</v>
          </cell>
        </row>
        <row r="742">
          <cell r="BL742">
            <v>7183</v>
          </cell>
        </row>
        <row r="743">
          <cell r="BL743">
            <v>7192</v>
          </cell>
        </row>
        <row r="744">
          <cell r="BL744">
            <v>7193</v>
          </cell>
        </row>
        <row r="745">
          <cell r="BL745">
            <v>7194</v>
          </cell>
        </row>
        <row r="746">
          <cell r="BL746">
            <v>7195</v>
          </cell>
        </row>
        <row r="747">
          <cell r="BL747">
            <v>7196</v>
          </cell>
        </row>
        <row r="748">
          <cell r="BL748">
            <v>7197</v>
          </cell>
        </row>
        <row r="749">
          <cell r="BL749">
            <v>7198</v>
          </cell>
        </row>
        <row r="750">
          <cell r="BL750">
            <v>7201</v>
          </cell>
        </row>
        <row r="751">
          <cell r="BL751">
            <v>7202</v>
          </cell>
        </row>
        <row r="752">
          <cell r="BL752">
            <v>7204</v>
          </cell>
        </row>
        <row r="753">
          <cell r="BL753">
            <v>7206</v>
          </cell>
        </row>
        <row r="754">
          <cell r="BL754">
            <v>7210</v>
          </cell>
        </row>
        <row r="755">
          <cell r="BL755">
            <v>7220</v>
          </cell>
        </row>
        <row r="756">
          <cell r="BL756">
            <v>7271</v>
          </cell>
        </row>
        <row r="757">
          <cell r="BL757">
            <v>7272</v>
          </cell>
        </row>
        <row r="758">
          <cell r="BL758">
            <v>7273</v>
          </cell>
        </row>
        <row r="759">
          <cell r="BL759">
            <v>7274</v>
          </cell>
        </row>
        <row r="760">
          <cell r="BL760">
            <v>7275</v>
          </cell>
        </row>
        <row r="761">
          <cell r="BL761">
            <v>7276</v>
          </cell>
        </row>
        <row r="762">
          <cell r="BL762">
            <v>7281</v>
          </cell>
        </row>
        <row r="763">
          <cell r="BL763">
            <v>7282</v>
          </cell>
        </row>
        <row r="764">
          <cell r="BL764">
            <v>7284</v>
          </cell>
        </row>
        <row r="765">
          <cell r="BL765">
            <v>7285</v>
          </cell>
        </row>
        <row r="766">
          <cell r="BL766">
            <v>7300</v>
          </cell>
        </row>
        <row r="767">
          <cell r="BL767">
            <v>7310</v>
          </cell>
        </row>
        <row r="768">
          <cell r="BL768">
            <v>7332</v>
          </cell>
        </row>
        <row r="769">
          <cell r="BL769">
            <v>7334</v>
          </cell>
        </row>
        <row r="770">
          <cell r="BL770">
            <v>7371</v>
          </cell>
        </row>
        <row r="771">
          <cell r="BL771">
            <v>7373</v>
          </cell>
        </row>
        <row r="772">
          <cell r="BL772">
            <v>7374</v>
          </cell>
        </row>
        <row r="773">
          <cell r="BL773">
            <v>7379</v>
          </cell>
        </row>
        <row r="774">
          <cell r="BL774">
            <v>7381</v>
          </cell>
        </row>
        <row r="775">
          <cell r="BL775">
            <v>7382</v>
          </cell>
        </row>
        <row r="776">
          <cell r="BL776">
            <v>7383</v>
          </cell>
        </row>
        <row r="777">
          <cell r="BL777">
            <v>7384</v>
          </cell>
        </row>
        <row r="778">
          <cell r="BL778">
            <v>7385</v>
          </cell>
        </row>
        <row r="779">
          <cell r="BL779">
            <v>7387</v>
          </cell>
        </row>
        <row r="780">
          <cell r="BL780">
            <v>7391</v>
          </cell>
        </row>
        <row r="781">
          <cell r="BL781">
            <v>7392</v>
          </cell>
        </row>
        <row r="782">
          <cell r="BL782">
            <v>7395</v>
          </cell>
        </row>
        <row r="783">
          <cell r="BL783">
            <v>7400</v>
          </cell>
        </row>
        <row r="784">
          <cell r="BL784">
            <v>7402</v>
          </cell>
        </row>
        <row r="785">
          <cell r="BL785">
            <v>7410</v>
          </cell>
        </row>
        <row r="786">
          <cell r="BL786">
            <v>7420</v>
          </cell>
        </row>
        <row r="787">
          <cell r="BL787">
            <v>7430</v>
          </cell>
        </row>
        <row r="788">
          <cell r="BL788">
            <v>7471</v>
          </cell>
        </row>
        <row r="789">
          <cell r="BL789">
            <v>7472</v>
          </cell>
        </row>
        <row r="790">
          <cell r="BL790">
            <v>7473</v>
          </cell>
        </row>
        <row r="791">
          <cell r="BL791">
            <v>7474</v>
          </cell>
        </row>
        <row r="792">
          <cell r="BL792">
            <v>7475</v>
          </cell>
        </row>
        <row r="793">
          <cell r="BL793">
            <v>7476</v>
          </cell>
        </row>
        <row r="794">
          <cell r="BL794">
            <v>7481</v>
          </cell>
        </row>
        <row r="795">
          <cell r="BL795">
            <v>7482</v>
          </cell>
        </row>
        <row r="796">
          <cell r="BL796">
            <v>7483</v>
          </cell>
        </row>
        <row r="797">
          <cell r="BL797">
            <v>7491</v>
          </cell>
        </row>
        <row r="798">
          <cell r="BL798">
            <v>7495</v>
          </cell>
        </row>
        <row r="799">
          <cell r="BL799">
            <v>7500</v>
          </cell>
        </row>
        <row r="800">
          <cell r="BL800">
            <v>7510</v>
          </cell>
        </row>
        <row r="801">
          <cell r="BL801">
            <v>7520</v>
          </cell>
        </row>
        <row r="802">
          <cell r="BL802">
            <v>7571</v>
          </cell>
        </row>
        <row r="803">
          <cell r="BL803">
            <v>7572</v>
          </cell>
        </row>
        <row r="804">
          <cell r="BL804">
            <v>7580</v>
          </cell>
        </row>
        <row r="805">
          <cell r="BL805">
            <v>7581</v>
          </cell>
        </row>
        <row r="806">
          <cell r="BL806">
            <v>7582</v>
          </cell>
        </row>
        <row r="807">
          <cell r="BL807">
            <v>7583</v>
          </cell>
        </row>
        <row r="808">
          <cell r="BL808">
            <v>7591</v>
          </cell>
        </row>
        <row r="809">
          <cell r="BL809">
            <v>7600</v>
          </cell>
        </row>
        <row r="810">
          <cell r="BL810">
            <v>7602</v>
          </cell>
        </row>
        <row r="811">
          <cell r="BL811">
            <v>7604</v>
          </cell>
        </row>
        <row r="812">
          <cell r="BL812">
            <v>7608</v>
          </cell>
        </row>
        <row r="813">
          <cell r="BL813">
            <v>7610</v>
          </cell>
        </row>
        <row r="814">
          <cell r="BL814">
            <v>7614</v>
          </cell>
        </row>
        <row r="815">
          <cell r="BL815">
            <v>7616</v>
          </cell>
        </row>
        <row r="816">
          <cell r="BL816">
            <v>7630</v>
          </cell>
        </row>
        <row r="817">
          <cell r="BL817">
            <v>7632</v>
          </cell>
        </row>
        <row r="818">
          <cell r="BL818">
            <v>7670</v>
          </cell>
        </row>
        <row r="819">
          <cell r="BL819">
            <v>7671</v>
          </cell>
        </row>
        <row r="820">
          <cell r="BL820">
            <v>7672</v>
          </cell>
        </row>
        <row r="821">
          <cell r="BL821">
            <v>7673</v>
          </cell>
        </row>
        <row r="822">
          <cell r="BL822">
            <v>7674</v>
          </cell>
        </row>
        <row r="823">
          <cell r="BL823">
            <v>7675</v>
          </cell>
        </row>
        <row r="824">
          <cell r="BL824">
            <v>7676</v>
          </cell>
        </row>
        <row r="825">
          <cell r="BL825">
            <v>7677</v>
          </cell>
        </row>
        <row r="826">
          <cell r="BL826">
            <v>7678</v>
          </cell>
        </row>
        <row r="827">
          <cell r="BL827">
            <v>7681</v>
          </cell>
        </row>
        <row r="828">
          <cell r="BL828">
            <v>7682</v>
          </cell>
        </row>
        <row r="829">
          <cell r="BL829">
            <v>7683</v>
          </cell>
        </row>
        <row r="830">
          <cell r="BL830">
            <v>7691</v>
          </cell>
        </row>
        <row r="831">
          <cell r="BL831">
            <v>7692</v>
          </cell>
        </row>
        <row r="832">
          <cell r="BL832">
            <v>7700</v>
          </cell>
        </row>
        <row r="833">
          <cell r="BL833">
            <v>7710</v>
          </cell>
        </row>
        <row r="834">
          <cell r="BL834">
            <v>7730</v>
          </cell>
        </row>
        <row r="835">
          <cell r="BL835">
            <v>7771</v>
          </cell>
        </row>
        <row r="836">
          <cell r="BL836">
            <v>7772</v>
          </cell>
        </row>
        <row r="837">
          <cell r="BL837">
            <v>7773</v>
          </cell>
        </row>
        <row r="838">
          <cell r="BL838">
            <v>7774</v>
          </cell>
        </row>
        <row r="839">
          <cell r="BL839">
            <v>7775</v>
          </cell>
        </row>
        <row r="840">
          <cell r="BL840">
            <v>7776</v>
          </cell>
        </row>
        <row r="841">
          <cell r="BL841">
            <v>7777</v>
          </cell>
        </row>
        <row r="842">
          <cell r="BL842">
            <v>7778</v>
          </cell>
        </row>
        <row r="843">
          <cell r="BL843">
            <v>7781</v>
          </cell>
        </row>
        <row r="844">
          <cell r="BL844">
            <v>7782</v>
          </cell>
        </row>
        <row r="845">
          <cell r="BL845">
            <v>7783</v>
          </cell>
        </row>
        <row r="846">
          <cell r="BL846">
            <v>7784</v>
          </cell>
        </row>
        <row r="847">
          <cell r="BL847">
            <v>7791</v>
          </cell>
        </row>
        <row r="848">
          <cell r="BL848">
            <v>7802</v>
          </cell>
        </row>
        <row r="849">
          <cell r="BL849">
            <v>7803</v>
          </cell>
        </row>
        <row r="850">
          <cell r="BL850">
            <v>7804</v>
          </cell>
        </row>
        <row r="851">
          <cell r="BL851">
            <v>7805</v>
          </cell>
        </row>
        <row r="852">
          <cell r="BL852">
            <v>7810</v>
          </cell>
        </row>
        <row r="853">
          <cell r="BL853">
            <v>7811</v>
          </cell>
        </row>
        <row r="854">
          <cell r="BL854">
            <v>7812</v>
          </cell>
        </row>
        <row r="855">
          <cell r="BL855">
            <v>7822</v>
          </cell>
        </row>
        <row r="856">
          <cell r="BL856">
            <v>7823</v>
          </cell>
        </row>
        <row r="857">
          <cell r="BL857">
            <v>7825</v>
          </cell>
        </row>
        <row r="858">
          <cell r="BL858">
            <v>7830</v>
          </cell>
        </row>
        <row r="859">
          <cell r="BL859">
            <v>7832</v>
          </cell>
        </row>
        <row r="860">
          <cell r="BL860">
            <v>7871</v>
          </cell>
        </row>
        <row r="861">
          <cell r="BL861">
            <v>7872</v>
          </cell>
        </row>
        <row r="862">
          <cell r="BL862">
            <v>7873</v>
          </cell>
        </row>
        <row r="863">
          <cell r="BL863">
            <v>7875</v>
          </cell>
        </row>
        <row r="864">
          <cell r="BL864">
            <v>7881</v>
          </cell>
        </row>
        <row r="865">
          <cell r="BL865">
            <v>7882</v>
          </cell>
        </row>
        <row r="866">
          <cell r="BL866">
            <v>7883</v>
          </cell>
        </row>
        <row r="867">
          <cell r="BL867">
            <v>7884</v>
          </cell>
        </row>
        <row r="868">
          <cell r="BL868">
            <v>7885</v>
          </cell>
        </row>
        <row r="869">
          <cell r="BL869">
            <v>7886</v>
          </cell>
        </row>
        <row r="870">
          <cell r="BL870">
            <v>7891</v>
          </cell>
        </row>
        <row r="871">
          <cell r="BL871">
            <v>7892</v>
          </cell>
        </row>
        <row r="872">
          <cell r="BL872">
            <v>7893</v>
          </cell>
        </row>
        <row r="873">
          <cell r="BL873">
            <v>7895</v>
          </cell>
        </row>
        <row r="874">
          <cell r="BL874">
            <v>7901</v>
          </cell>
        </row>
        <row r="875">
          <cell r="BL875">
            <v>7903</v>
          </cell>
        </row>
        <row r="876">
          <cell r="BL876">
            <v>7910</v>
          </cell>
        </row>
        <row r="877">
          <cell r="BL877">
            <v>7912</v>
          </cell>
        </row>
        <row r="878">
          <cell r="BL878">
            <v>7920</v>
          </cell>
        </row>
        <row r="879">
          <cell r="BL879">
            <v>7924</v>
          </cell>
        </row>
        <row r="880">
          <cell r="BL880">
            <v>7925</v>
          </cell>
        </row>
        <row r="881">
          <cell r="BL881">
            <v>7930</v>
          </cell>
        </row>
        <row r="882">
          <cell r="BL882">
            <v>7971</v>
          </cell>
        </row>
        <row r="883">
          <cell r="BL883">
            <v>7972</v>
          </cell>
        </row>
        <row r="884">
          <cell r="BL884">
            <v>7973</v>
          </cell>
        </row>
        <row r="885">
          <cell r="BL885">
            <v>7974</v>
          </cell>
        </row>
        <row r="886">
          <cell r="BL886">
            <v>7977</v>
          </cell>
        </row>
        <row r="887">
          <cell r="BL887">
            <v>7978</v>
          </cell>
        </row>
        <row r="888">
          <cell r="BL888">
            <v>7979</v>
          </cell>
        </row>
        <row r="889">
          <cell r="BL889">
            <v>7980</v>
          </cell>
        </row>
        <row r="890">
          <cell r="BL890">
            <v>7982</v>
          </cell>
        </row>
        <row r="891">
          <cell r="BL891">
            <v>7983</v>
          </cell>
        </row>
        <row r="892">
          <cell r="BL892">
            <v>7984</v>
          </cell>
        </row>
        <row r="893">
          <cell r="BL893">
            <v>7985</v>
          </cell>
        </row>
        <row r="894">
          <cell r="BL894">
            <v>7986</v>
          </cell>
        </row>
        <row r="895">
          <cell r="BL895">
            <v>7987</v>
          </cell>
        </row>
        <row r="896">
          <cell r="BL896">
            <v>7988</v>
          </cell>
        </row>
        <row r="897">
          <cell r="BL897">
            <v>7990</v>
          </cell>
        </row>
        <row r="898">
          <cell r="BL898">
            <v>7991</v>
          </cell>
        </row>
        <row r="899">
          <cell r="BL899">
            <v>7992</v>
          </cell>
        </row>
        <row r="900">
          <cell r="BL900">
            <v>7999</v>
          </cell>
        </row>
        <row r="901">
          <cell r="BL901">
            <v>8011</v>
          </cell>
        </row>
        <row r="902">
          <cell r="BL902">
            <v>8013</v>
          </cell>
        </row>
        <row r="903">
          <cell r="BL903">
            <v>8014</v>
          </cell>
        </row>
        <row r="904">
          <cell r="BL904">
            <v>8022</v>
          </cell>
        </row>
        <row r="905">
          <cell r="BL905">
            <v>8023</v>
          </cell>
        </row>
        <row r="906">
          <cell r="BL906">
            <v>8024</v>
          </cell>
        </row>
        <row r="907">
          <cell r="BL907">
            <v>8025</v>
          </cell>
        </row>
        <row r="908">
          <cell r="BL908">
            <v>8041</v>
          </cell>
        </row>
        <row r="909">
          <cell r="BL909">
            <v>8042</v>
          </cell>
        </row>
        <row r="910">
          <cell r="BL910">
            <v>8051</v>
          </cell>
        </row>
        <row r="911">
          <cell r="BL911">
            <v>8052</v>
          </cell>
        </row>
        <row r="912">
          <cell r="BL912">
            <v>8053</v>
          </cell>
        </row>
        <row r="913">
          <cell r="BL913">
            <v>8061</v>
          </cell>
        </row>
        <row r="914">
          <cell r="BL914">
            <v>8062</v>
          </cell>
        </row>
        <row r="915">
          <cell r="BL915">
            <v>8081</v>
          </cell>
        </row>
        <row r="916">
          <cell r="BL916">
            <v>8082</v>
          </cell>
        </row>
        <row r="917">
          <cell r="BL917">
            <v>8083</v>
          </cell>
        </row>
        <row r="918">
          <cell r="BL918">
            <v>8971</v>
          </cell>
        </row>
        <row r="919">
          <cell r="BL919">
            <v>8972</v>
          </cell>
        </row>
        <row r="920">
          <cell r="BL920">
            <v>9010</v>
          </cell>
        </row>
        <row r="921">
          <cell r="BL921">
            <v>9011</v>
          </cell>
        </row>
        <row r="922">
          <cell r="BL922">
            <v>9012</v>
          </cell>
        </row>
        <row r="923">
          <cell r="BL923">
            <v>9013</v>
          </cell>
        </row>
        <row r="924">
          <cell r="BL924">
            <v>9014</v>
          </cell>
        </row>
        <row r="925">
          <cell r="BL925">
            <v>9016</v>
          </cell>
        </row>
        <row r="926">
          <cell r="BL926">
            <v>9018</v>
          </cell>
        </row>
        <row r="927">
          <cell r="BL927">
            <v>9019</v>
          </cell>
        </row>
        <row r="928">
          <cell r="BL928">
            <v>9022</v>
          </cell>
        </row>
        <row r="929">
          <cell r="BL929">
            <v>9023</v>
          </cell>
        </row>
        <row r="930">
          <cell r="BL930">
            <v>9024</v>
          </cell>
        </row>
        <row r="931">
          <cell r="BL931">
            <v>9035</v>
          </cell>
        </row>
        <row r="932">
          <cell r="BL932">
            <v>9073</v>
          </cell>
        </row>
        <row r="933">
          <cell r="BL933">
            <v>9074</v>
          </cell>
        </row>
        <row r="934">
          <cell r="BL934">
            <v>9076</v>
          </cell>
        </row>
        <row r="935">
          <cell r="BL935">
            <v>9077</v>
          </cell>
        </row>
        <row r="936">
          <cell r="BL936">
            <v>9081</v>
          </cell>
        </row>
        <row r="937">
          <cell r="BL937">
            <v>9082</v>
          </cell>
        </row>
        <row r="938">
          <cell r="BL938">
            <v>9085</v>
          </cell>
        </row>
        <row r="939">
          <cell r="BL939">
            <v>9091</v>
          </cell>
        </row>
        <row r="940">
          <cell r="BL940">
            <v>9092</v>
          </cell>
        </row>
        <row r="941">
          <cell r="BL941">
            <v>9210</v>
          </cell>
        </row>
        <row r="942">
          <cell r="BL942">
            <v>9220</v>
          </cell>
        </row>
        <row r="943">
          <cell r="BL943">
            <v>9230</v>
          </cell>
        </row>
        <row r="944">
          <cell r="BL944">
            <v>9231</v>
          </cell>
        </row>
        <row r="945">
          <cell r="BL945">
            <v>9271</v>
          </cell>
        </row>
        <row r="946">
          <cell r="BL946">
            <v>9272</v>
          </cell>
        </row>
        <row r="947">
          <cell r="BL947">
            <v>9273</v>
          </cell>
        </row>
        <row r="948">
          <cell r="BL948">
            <v>9274</v>
          </cell>
        </row>
        <row r="949">
          <cell r="BL949">
            <v>9281</v>
          </cell>
        </row>
        <row r="950">
          <cell r="BL950">
            <v>9282</v>
          </cell>
        </row>
        <row r="951">
          <cell r="BL951">
            <v>9291</v>
          </cell>
        </row>
        <row r="952">
          <cell r="BL952">
            <v>9292</v>
          </cell>
        </row>
        <row r="953">
          <cell r="BL953">
            <v>9300</v>
          </cell>
        </row>
        <row r="954">
          <cell r="BL954">
            <v>9302</v>
          </cell>
        </row>
        <row r="955">
          <cell r="BL955">
            <v>9304</v>
          </cell>
        </row>
        <row r="956">
          <cell r="BL956">
            <v>9305</v>
          </cell>
        </row>
        <row r="957">
          <cell r="BL957">
            <v>9310</v>
          </cell>
        </row>
        <row r="958">
          <cell r="BL958">
            <v>9320</v>
          </cell>
        </row>
        <row r="959">
          <cell r="BL959">
            <v>9330</v>
          </cell>
        </row>
        <row r="960">
          <cell r="BL960">
            <v>9332</v>
          </cell>
        </row>
        <row r="961">
          <cell r="BL961">
            <v>9371</v>
          </cell>
        </row>
        <row r="962">
          <cell r="BL962">
            <v>9372</v>
          </cell>
        </row>
        <row r="963">
          <cell r="BL963">
            <v>9376</v>
          </cell>
        </row>
        <row r="964">
          <cell r="BL964">
            <v>9377</v>
          </cell>
        </row>
        <row r="965">
          <cell r="BL965">
            <v>9381</v>
          </cell>
        </row>
        <row r="966">
          <cell r="BL966">
            <v>9382</v>
          </cell>
        </row>
        <row r="967">
          <cell r="BL967">
            <v>9383</v>
          </cell>
        </row>
        <row r="968">
          <cell r="BL968">
            <v>9384</v>
          </cell>
        </row>
        <row r="969">
          <cell r="BL969">
            <v>9386</v>
          </cell>
        </row>
        <row r="970">
          <cell r="BL970">
            <v>9387</v>
          </cell>
        </row>
        <row r="971">
          <cell r="BL971">
            <v>9391</v>
          </cell>
        </row>
        <row r="972">
          <cell r="BL972">
            <v>9392</v>
          </cell>
        </row>
        <row r="973">
          <cell r="BL973">
            <v>9393</v>
          </cell>
        </row>
        <row r="974">
          <cell r="BL974">
            <v>9394</v>
          </cell>
        </row>
        <row r="975">
          <cell r="BL975">
            <v>9395</v>
          </cell>
        </row>
        <row r="976">
          <cell r="BL976">
            <v>9396</v>
          </cell>
        </row>
        <row r="977">
          <cell r="BL977">
            <v>9397</v>
          </cell>
        </row>
        <row r="978">
          <cell r="BL978">
            <v>9398</v>
          </cell>
        </row>
        <row r="979">
          <cell r="BL979">
            <v>9400</v>
          </cell>
        </row>
        <row r="980">
          <cell r="BL980">
            <v>9401</v>
          </cell>
        </row>
        <row r="981">
          <cell r="BL981">
            <v>9410</v>
          </cell>
        </row>
        <row r="982">
          <cell r="BL982">
            <v>9412</v>
          </cell>
        </row>
        <row r="983">
          <cell r="BL983">
            <v>9430</v>
          </cell>
        </row>
        <row r="984">
          <cell r="BL984">
            <v>9435</v>
          </cell>
        </row>
        <row r="985">
          <cell r="BL985">
            <v>9471</v>
          </cell>
        </row>
        <row r="986">
          <cell r="BL986">
            <v>9472</v>
          </cell>
        </row>
        <row r="987">
          <cell r="BL987">
            <v>9481</v>
          </cell>
        </row>
        <row r="988">
          <cell r="BL988">
            <v>9482</v>
          </cell>
        </row>
        <row r="989">
          <cell r="BL989">
            <v>9483</v>
          </cell>
        </row>
        <row r="990">
          <cell r="BL990">
            <v>9491</v>
          </cell>
        </row>
        <row r="991">
          <cell r="BL991">
            <v>9492</v>
          </cell>
        </row>
        <row r="992">
          <cell r="BL992">
            <v>9493</v>
          </cell>
        </row>
        <row r="993">
          <cell r="BL993">
            <v>9494</v>
          </cell>
        </row>
        <row r="994">
          <cell r="BL994">
            <v>9495</v>
          </cell>
        </row>
        <row r="995">
          <cell r="BL995">
            <v>9498</v>
          </cell>
        </row>
        <row r="996">
          <cell r="BL996">
            <v>9500</v>
          </cell>
        </row>
        <row r="997">
          <cell r="BL997">
            <v>9510</v>
          </cell>
        </row>
        <row r="998">
          <cell r="BL998">
            <v>9522</v>
          </cell>
        </row>
        <row r="999">
          <cell r="BL999">
            <v>9532</v>
          </cell>
        </row>
        <row r="1000">
          <cell r="BL1000">
            <v>9534</v>
          </cell>
        </row>
        <row r="1001">
          <cell r="BL1001">
            <v>9535</v>
          </cell>
        </row>
        <row r="1002">
          <cell r="BL1002">
            <v>9571</v>
          </cell>
        </row>
        <row r="1003">
          <cell r="BL1003">
            <v>9572</v>
          </cell>
        </row>
        <row r="1004">
          <cell r="BL1004">
            <v>9583</v>
          </cell>
        </row>
        <row r="1005">
          <cell r="BL1005">
            <v>9584</v>
          </cell>
        </row>
        <row r="1006">
          <cell r="BL1006">
            <v>9585</v>
          </cell>
        </row>
        <row r="1007">
          <cell r="BL1007">
            <v>9586</v>
          </cell>
        </row>
        <row r="1008">
          <cell r="BL1008">
            <v>9587</v>
          </cell>
        </row>
        <row r="1009">
          <cell r="BL1009">
            <v>9591</v>
          </cell>
        </row>
        <row r="1010">
          <cell r="BL1010">
            <v>9593</v>
          </cell>
        </row>
        <row r="1011">
          <cell r="BL1011">
            <v>9596</v>
          </cell>
        </row>
        <row r="1012">
          <cell r="BL1012">
            <v>9597</v>
          </cell>
        </row>
        <row r="1013">
          <cell r="BL1013">
            <v>9598</v>
          </cell>
        </row>
        <row r="1014">
          <cell r="BL1014">
            <v>9600</v>
          </cell>
        </row>
        <row r="1015">
          <cell r="BL1015">
            <v>9610</v>
          </cell>
        </row>
        <row r="1016">
          <cell r="BL1016">
            <v>9620</v>
          </cell>
        </row>
        <row r="1017">
          <cell r="BL1017">
            <v>9630</v>
          </cell>
        </row>
        <row r="1018">
          <cell r="BL1018">
            <v>9635</v>
          </cell>
        </row>
        <row r="1019">
          <cell r="BL1019">
            <v>9672</v>
          </cell>
        </row>
        <row r="1020">
          <cell r="BL1020">
            <v>9679</v>
          </cell>
        </row>
        <row r="1021">
          <cell r="BL1021">
            <v>9682</v>
          </cell>
        </row>
        <row r="1022">
          <cell r="BL1022">
            <v>9683</v>
          </cell>
        </row>
        <row r="1023">
          <cell r="BL1023">
            <v>9689</v>
          </cell>
        </row>
        <row r="1024">
          <cell r="BL1024">
            <v>9691</v>
          </cell>
        </row>
        <row r="1025">
          <cell r="BL1025">
            <v>9710</v>
          </cell>
        </row>
        <row r="1026">
          <cell r="BL1026">
            <v>9712</v>
          </cell>
        </row>
        <row r="1027">
          <cell r="BL1027">
            <v>9720</v>
          </cell>
        </row>
        <row r="1028">
          <cell r="BL1028">
            <v>9730</v>
          </cell>
        </row>
        <row r="1029">
          <cell r="BL1029">
            <v>9771</v>
          </cell>
        </row>
        <row r="1030">
          <cell r="BL1030">
            <v>9772</v>
          </cell>
        </row>
        <row r="1031">
          <cell r="BL1031">
            <v>9773</v>
          </cell>
        </row>
        <row r="1032">
          <cell r="BL1032">
            <v>9774</v>
          </cell>
        </row>
        <row r="1033">
          <cell r="BL1033">
            <v>9775</v>
          </cell>
        </row>
        <row r="1034">
          <cell r="BL1034">
            <v>9776</v>
          </cell>
        </row>
        <row r="1035">
          <cell r="BL1035">
            <v>9777</v>
          </cell>
        </row>
        <row r="1036">
          <cell r="BL1036">
            <v>9778</v>
          </cell>
        </row>
        <row r="1037">
          <cell r="BL1037">
            <v>9779</v>
          </cell>
        </row>
        <row r="1038">
          <cell r="BL1038">
            <v>9781</v>
          </cell>
        </row>
        <row r="1039">
          <cell r="BL1039">
            <v>9782</v>
          </cell>
        </row>
        <row r="1040">
          <cell r="BL1040">
            <v>9783</v>
          </cell>
        </row>
        <row r="1041">
          <cell r="BL1041">
            <v>9791</v>
          </cell>
        </row>
        <row r="1042">
          <cell r="BL1042">
            <v>9792</v>
          </cell>
        </row>
        <row r="1043">
          <cell r="BL1043">
            <v>9793</v>
          </cell>
        </row>
        <row r="1044">
          <cell r="BL1044">
            <v>9794</v>
          </cell>
        </row>
        <row r="1045">
          <cell r="BL1045">
            <v>9810</v>
          </cell>
        </row>
        <row r="1046">
          <cell r="BL1046">
            <v>9812</v>
          </cell>
        </row>
        <row r="1047">
          <cell r="BL1047">
            <v>9814</v>
          </cell>
        </row>
        <row r="1048">
          <cell r="BL1048">
            <v>9816</v>
          </cell>
        </row>
        <row r="1049">
          <cell r="BL1049">
            <v>9818</v>
          </cell>
        </row>
        <row r="1050">
          <cell r="BL1050">
            <v>9822</v>
          </cell>
        </row>
        <row r="1051">
          <cell r="BL1051">
            <v>9825</v>
          </cell>
        </row>
        <row r="1052">
          <cell r="BL1052">
            <v>9831</v>
          </cell>
        </row>
        <row r="1053">
          <cell r="BL1053">
            <v>9871</v>
          </cell>
        </row>
        <row r="1054">
          <cell r="BL1054">
            <v>9872</v>
          </cell>
        </row>
        <row r="1055">
          <cell r="BL1055">
            <v>9874</v>
          </cell>
        </row>
        <row r="1056">
          <cell r="BL1056">
            <v>9875</v>
          </cell>
        </row>
        <row r="1057">
          <cell r="BL1057">
            <v>9876</v>
          </cell>
        </row>
        <row r="1058">
          <cell r="BL1058">
            <v>9877</v>
          </cell>
        </row>
        <row r="1059">
          <cell r="BL1059">
            <v>9879</v>
          </cell>
        </row>
        <row r="1060">
          <cell r="BL1060">
            <v>9881</v>
          </cell>
        </row>
        <row r="1061">
          <cell r="BL1061">
            <v>9883</v>
          </cell>
        </row>
        <row r="1062">
          <cell r="BL1062">
            <v>9884</v>
          </cell>
        </row>
        <row r="1063">
          <cell r="BL1063">
            <v>9888</v>
          </cell>
        </row>
        <row r="1064">
          <cell r="BL1064">
            <v>9891</v>
          </cell>
        </row>
        <row r="1065">
          <cell r="BL1065">
            <v>9892</v>
          </cell>
        </row>
        <row r="1066">
          <cell r="BL1066">
            <v>9893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15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7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7"/>
  <sheetViews>
    <sheetView topLeftCell="C23" zoomScale="85" zoomScaleNormal="85" workbookViewId="0">
      <selection activeCell="D37" sqref="D37"/>
    </sheetView>
  </sheetViews>
  <sheetFormatPr defaultRowHeight="15" x14ac:dyDescent="0.25"/>
  <cols>
    <col min="2" max="2" customWidth="true" width="12.140625" collapsed="true"/>
    <col min="3" max="3" customWidth="true" style="3" width="29.28515625" collapsed="true"/>
    <col min="4" max="4" customWidth="true" style="3" width="185.7109375" collapsed="true"/>
    <col min="5" max="5" customWidth="true" style="3" width="46.0" collapsed="true"/>
    <col min="6" max="6" bestFit="true" customWidth="true" style="3" width="77.28515625" collapsed="true"/>
    <col min="7" max="7" bestFit="true" customWidth="true" style="3" width="43.140625" collapsed="true"/>
    <col min="8" max="9" bestFit="true" customWidth="true" width="68.42578125" collapsed="true"/>
    <col min="10" max="10" customWidth="true" width="16.5703125" collapsed="true"/>
    <col min="11" max="11" customWidth="true" width="14.140625" collapsed="true"/>
    <col min="12" max="12" customWidth="true" width="12.5703125" collapsed="true"/>
    <col min="13" max="13" customWidth="true" width="14.140625" collapsed="true"/>
    <col min="14" max="14" customWidth="true" width="15.140625" collapsed="true"/>
    <col min="15" max="15" customWidth="true" width="14.42578125" collapsed="true"/>
    <col min="16" max="16" customWidth="true" width="13.42578125" collapsed="true"/>
    <col min="17" max="17" customWidth="true" width="14.28515625" collapsed="true"/>
    <col min="18" max="18" customWidth="true" width="15.28515625" collapsed="true"/>
    <col min="19" max="19" customWidth="true" width="15.0" collapsed="true"/>
    <col min="20" max="20" customWidth="true" width="13.85546875" collapsed="true"/>
    <col min="21" max="21" customWidth="true" width="13.7109375" collapsed="true"/>
    <col min="22" max="22" customWidth="true" width="15.42578125" collapsed="true"/>
    <col min="23" max="23" customWidth="true" width="14.5703125" collapsed="true"/>
    <col min="24" max="24" customWidth="true" width="13.85546875" collapsed="true"/>
    <col min="25" max="25" customWidth="true" width="15.0" collapsed="true"/>
    <col min="26" max="27" customWidth="true" width="15.140625" collapsed="true"/>
    <col min="28" max="29" customWidth="true" width="14.42578125" collapsed="true"/>
    <col min="30" max="30" customWidth="true" width="15.28515625" collapsed="true"/>
    <col min="31" max="31" customWidth="true" width="15.0" collapsed="true"/>
    <col min="32" max="32" customWidth="true" width="12.7109375" collapsed="true"/>
    <col min="33" max="33" customWidth="true" width="13.85546875" collapsed="true"/>
    <col min="34" max="34" customWidth="true" width="15.7109375" collapsed="true"/>
    <col min="35" max="37" customWidth="true" width="14.7109375" collapsed="true"/>
    <col min="38" max="38" customWidth="true" width="15.0" collapsed="true"/>
    <col min="39" max="39" customWidth="true" width="14.42578125" collapsed="true"/>
    <col min="40" max="40" customWidth="true" width="13.0" collapsed="true"/>
    <col min="41" max="41" customWidth="true" width="15.42578125" collapsed="true"/>
  </cols>
  <sheetData>
    <row r="1" spans="1:27" s="82" customFormat="1" x14ac:dyDescent="0.25">
      <c r="C1" s="3"/>
      <c r="D1" s="3"/>
      <c r="E1" s="3"/>
      <c r="F1" s="3"/>
      <c r="G1" s="3"/>
    </row>
    <row r="2" spans="1:27" s="82" customFormat="1" x14ac:dyDescent="0.25">
      <c r="C2" s="3"/>
      <c r="D2" s="3"/>
      <c r="E2" s="3"/>
      <c r="F2" s="3"/>
      <c r="G2" s="3"/>
    </row>
    <row r="3" spans="1:27" s="82" customFormat="1" x14ac:dyDescent="0.25">
      <c r="C3" s="3"/>
      <c r="D3" s="3"/>
      <c r="E3" s="3"/>
      <c r="F3" s="3"/>
      <c r="I3" s="3"/>
      <c r="J3" s="3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"/>
    </row>
    <row r="4" spans="1:27" ht="15.75" x14ac:dyDescent="0.25">
      <c r="C4" s="412" t="s">
        <v>472</v>
      </c>
      <c r="D4" s="412"/>
      <c r="I4" s="3"/>
      <c r="J4" s="3"/>
      <c r="K4" s="3"/>
    </row>
    <row r="5" spans="1:27" x14ac:dyDescent="0.25">
      <c r="A5" s="82"/>
      <c r="C5" s="5" t="s">
        <v>4</v>
      </c>
      <c r="D5" s="6" t="s">
        <v>5</v>
      </c>
      <c r="I5" s="3"/>
      <c r="J5" s="3"/>
      <c r="K5" s="3"/>
    </row>
    <row r="6" spans="1:27" s="4" customFormat="1" x14ac:dyDescent="0.25">
      <c r="A6" s="82"/>
      <c r="C6" s="7" t="s">
        <v>6</v>
      </c>
      <c r="D6" s="8" t="s">
        <v>7</v>
      </c>
      <c r="E6" s="3"/>
      <c r="F6" s="3"/>
      <c r="I6" s="3"/>
      <c r="J6" s="3"/>
      <c r="K6" s="3"/>
    </row>
    <row r="7" spans="1:27" s="4" customFormat="1" x14ac:dyDescent="0.25">
      <c r="A7" s="162"/>
      <c r="C7" s="7" t="s">
        <v>474</v>
      </c>
      <c r="D7" s="8" t="s">
        <v>517</v>
      </c>
      <c r="E7" s="3"/>
      <c r="F7" s="3"/>
      <c r="I7" s="3"/>
      <c r="J7" s="3"/>
      <c r="K7" s="3"/>
    </row>
    <row r="8" spans="1:27" s="253" customFormat="1" x14ac:dyDescent="0.25">
      <c r="A8" s="251"/>
      <c r="C8" s="257" t="s">
        <v>613</v>
      </c>
      <c r="D8" s="185" t="s">
        <v>883</v>
      </c>
      <c r="E8" s="252"/>
      <c r="F8" s="252"/>
      <c r="I8" s="252"/>
      <c r="J8" s="252"/>
      <c r="K8" s="252"/>
    </row>
    <row r="9" spans="1:27" s="199" customFormat="1" x14ac:dyDescent="0.25">
      <c r="A9" s="216"/>
      <c r="C9" s="257" t="s">
        <v>574</v>
      </c>
      <c r="D9" s="185" t="s">
        <v>575</v>
      </c>
      <c r="E9" s="198"/>
      <c r="F9" s="198"/>
      <c r="I9" s="198"/>
      <c r="J9" s="198"/>
      <c r="K9" s="198"/>
    </row>
    <row r="10" spans="1:27" x14ac:dyDescent="0.25">
      <c r="A10" s="82"/>
      <c r="C10" s="150" t="s">
        <v>394</v>
      </c>
      <c r="D10" s="151" t="s">
        <v>392</v>
      </c>
      <c r="I10" s="3"/>
      <c r="J10" s="3"/>
      <c r="K10" s="3"/>
    </row>
    <row r="11" spans="1:27" s="82" customFormat="1" x14ac:dyDescent="0.25">
      <c r="C11" s="150" t="s">
        <v>374</v>
      </c>
      <c r="D11" s="152" t="s">
        <v>398</v>
      </c>
      <c r="E11" s="3"/>
      <c r="F11" s="3"/>
      <c r="G11" s="3"/>
      <c r="I11" s="3"/>
      <c r="J11" s="3"/>
      <c r="K11" s="3"/>
    </row>
    <row r="12" spans="1:27" s="82" customFormat="1" x14ac:dyDescent="0.25">
      <c r="C12" s="7" t="s">
        <v>376</v>
      </c>
      <c r="D12" s="8" t="s">
        <v>396</v>
      </c>
      <c r="E12" s="3"/>
      <c r="F12" s="196" t="s">
        <v>493</v>
      </c>
      <c r="G12" s="3"/>
      <c r="I12" s="3"/>
      <c r="J12" s="3"/>
      <c r="K12" s="3"/>
    </row>
    <row r="13" spans="1:27" s="82" customFormat="1" x14ac:dyDescent="0.25">
      <c r="C13" s="7" t="s">
        <v>377</v>
      </c>
      <c r="D13" s="8" t="s">
        <v>395</v>
      </c>
      <c r="E13" s="3"/>
      <c r="F13" s="3"/>
      <c r="G13" s="3"/>
      <c r="I13" s="3"/>
      <c r="J13" s="3"/>
      <c r="K13" s="3"/>
    </row>
    <row r="14" spans="1:27" s="82" customFormat="1" x14ac:dyDescent="0.25">
      <c r="C14" s="155" t="s">
        <v>276</v>
      </c>
      <c r="D14" s="151" t="s">
        <v>786</v>
      </c>
      <c r="E14" s="3"/>
      <c r="F14" s="3"/>
      <c r="G14" s="3"/>
      <c r="I14" s="3"/>
      <c r="J14" s="3"/>
      <c r="K14" s="3"/>
    </row>
    <row r="15" spans="1:27" s="82" customFormat="1" x14ac:dyDescent="0.25">
      <c r="C15" s="201" t="s">
        <v>447</v>
      </c>
      <c r="D15" s="8" t="s">
        <v>446</v>
      </c>
      <c r="E15" s="3"/>
      <c r="F15" s="196" t="s">
        <v>494</v>
      </c>
      <c r="I15" s="3"/>
      <c r="J15" s="3"/>
      <c r="K15" s="3"/>
    </row>
    <row r="16" spans="1:27" s="82" customFormat="1" x14ac:dyDescent="0.25">
      <c r="A16" s="156"/>
      <c r="C16" s="150" t="s">
        <v>379</v>
      </c>
      <c r="D16" s="233" t="s">
        <v>899</v>
      </c>
      <c r="E16" s="3"/>
      <c r="I16" s="3"/>
      <c r="J16" s="3"/>
      <c r="K16" s="3"/>
    </row>
    <row r="17" spans="1:24" s="82" customFormat="1" x14ac:dyDescent="0.25">
      <c r="A17" s="156"/>
      <c r="C17" s="257" t="s">
        <v>381</v>
      </c>
      <c r="D17" s="233" t="s">
        <v>382</v>
      </c>
      <c r="E17" s="3"/>
      <c r="I17" s="3"/>
      <c r="J17" s="3"/>
      <c r="K17" s="3"/>
    </row>
    <row r="18" spans="1:24" s="82" customFormat="1" x14ac:dyDescent="0.25">
      <c r="A18" s="156"/>
      <c r="C18" s="155" t="s">
        <v>448</v>
      </c>
      <c r="D18" s="233" t="s">
        <v>884</v>
      </c>
      <c r="E18" s="3"/>
      <c r="I18" s="3"/>
      <c r="J18" s="3"/>
      <c r="K18" s="3"/>
    </row>
    <row r="19" spans="1:24" s="82" customFormat="1" x14ac:dyDescent="0.25">
      <c r="A19" s="156"/>
      <c r="C19" s="155" t="s">
        <v>449</v>
      </c>
      <c r="D19" s="233" t="s">
        <v>496</v>
      </c>
      <c r="E19" s="3"/>
      <c r="I19" s="3"/>
      <c r="J19" s="3"/>
      <c r="K19" s="3"/>
    </row>
    <row r="20" spans="1:24" s="216" customFormat="1" x14ac:dyDescent="0.25">
      <c r="A20" s="156" t="s">
        <v>629</v>
      </c>
      <c r="C20" s="155" t="s">
        <v>788</v>
      </c>
      <c r="D20" s="254" t="s">
        <v>578</v>
      </c>
      <c r="E20" s="198"/>
      <c r="I20" s="198"/>
      <c r="J20" s="198"/>
      <c r="K20" s="198"/>
    </row>
    <row r="21" spans="1:24" s="251" customFormat="1" x14ac:dyDescent="0.25">
      <c r="A21" s="156" t="s">
        <v>629</v>
      </c>
      <c r="C21" s="155" t="s">
        <v>789</v>
      </c>
      <c r="D21" s="254" t="s">
        <v>790</v>
      </c>
      <c r="E21" s="252"/>
      <c r="I21" s="252"/>
      <c r="J21" s="252"/>
      <c r="K21" s="252"/>
    </row>
    <row r="22" spans="1:24" s="227" customFormat="1" x14ac:dyDescent="0.25">
      <c r="A22" s="156"/>
      <c r="C22" s="257" t="s">
        <v>608</v>
      </c>
      <c r="D22" s="185" t="s">
        <v>612</v>
      </c>
      <c r="E22" s="228"/>
      <c r="I22" s="228"/>
      <c r="J22" s="228"/>
      <c r="K22" s="228"/>
    </row>
    <row r="23" spans="1:24" s="251" customFormat="1" x14ac:dyDescent="0.25">
      <c r="A23" s="156"/>
      <c r="C23" s="234" t="s">
        <v>251</v>
      </c>
      <c r="D23" s="186" t="s">
        <v>791</v>
      </c>
      <c r="E23" s="252"/>
      <c r="I23" s="252"/>
      <c r="J23" s="252"/>
      <c r="K23" s="252"/>
    </row>
    <row r="24" spans="1:24" s="82" customFormat="1" x14ac:dyDescent="0.25">
      <c r="A24" s="156"/>
      <c r="E24" s="3"/>
      <c r="I24" s="3"/>
      <c r="J24" s="3"/>
      <c r="K24" s="3"/>
    </row>
    <row r="25" spans="1:24" x14ac:dyDescent="0.25">
      <c r="A25" s="15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.75" x14ac:dyDescent="0.25">
      <c r="A26" s="156"/>
      <c r="C26" s="411" t="s">
        <v>393</v>
      </c>
      <c r="D26" s="411"/>
      <c r="F26" s="8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B27" s="82"/>
      <c r="C27" s="14" t="s">
        <v>4</v>
      </c>
      <c r="D27" s="15" t="s">
        <v>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s="50" customFormat="1" x14ac:dyDescent="0.25">
      <c r="B28" s="82"/>
      <c r="C28" s="201" t="s">
        <v>181</v>
      </c>
      <c r="D28" s="217" t="s">
        <v>180</v>
      </c>
      <c r="E28" s="198"/>
      <c r="F28" s="8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s="197" customFormat="1" x14ac:dyDescent="0.25">
      <c r="C29" s="201" t="s">
        <v>583</v>
      </c>
      <c r="D29" s="247" t="s">
        <v>803</v>
      </c>
      <c r="E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</row>
    <row r="30" spans="1:24" s="197" customFormat="1" x14ac:dyDescent="0.25">
      <c r="C30" s="201" t="s">
        <v>243</v>
      </c>
      <c r="D30" s="223" t="s">
        <v>585</v>
      </c>
      <c r="E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</row>
    <row r="31" spans="1:24" s="50" customFormat="1" x14ac:dyDescent="0.25">
      <c r="B31" s="82"/>
      <c r="C31" s="201" t="s">
        <v>182</v>
      </c>
      <c r="D31" s="218" t="s">
        <v>505</v>
      </c>
      <c r="E31" s="198"/>
      <c r="F31" s="8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B32" s="82"/>
      <c r="C32" s="201" t="s">
        <v>100</v>
      </c>
      <c r="D32" s="247" t="s">
        <v>885</v>
      </c>
      <c r="E32" s="19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B33" s="82"/>
      <c r="C33" s="201" t="s">
        <v>96</v>
      </c>
      <c r="D33" s="240" t="s">
        <v>432</v>
      </c>
      <c r="E33" s="198"/>
      <c r="F33" s="14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B34" s="82"/>
      <c r="C34" s="201" t="s">
        <v>101</v>
      </c>
      <c r="D34" s="255" t="s">
        <v>882</v>
      </c>
      <c r="E34" s="198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B35" s="82"/>
      <c r="C35" s="201" t="s">
        <v>222</v>
      </c>
      <c r="D35" s="217" t="s">
        <v>225</v>
      </c>
      <c r="E35" s="19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B36" s="82"/>
      <c r="C36" s="257" t="s">
        <v>108</v>
      </c>
      <c r="D36" s="217" t="s">
        <v>454</v>
      </c>
      <c r="E36" s="198"/>
      <c r="F36" s="14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156" t="s">
        <v>489</v>
      </c>
      <c r="B37" s="82"/>
      <c r="C37" s="257" t="s">
        <v>111</v>
      </c>
      <c r="D37" s="258" t="s">
        <v>485</v>
      </c>
      <c r="E37" s="19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s="82" customFormat="1" x14ac:dyDescent="0.25">
      <c r="C38" s="257" t="s">
        <v>112</v>
      </c>
      <c r="D38" s="218" t="s">
        <v>584</v>
      </c>
      <c r="E38" s="198"/>
      <c r="F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B39" s="82"/>
      <c r="C39" s="257" t="s">
        <v>224</v>
      </c>
      <c r="D39" s="235" t="s">
        <v>422</v>
      </c>
      <c r="E39" s="19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s="82" customFormat="1" x14ac:dyDescent="0.25">
      <c r="A40" s="162"/>
      <c r="C40" s="257" t="s">
        <v>212</v>
      </c>
      <c r="D40" s="153" t="s">
        <v>530</v>
      </c>
      <c r="E40" s="19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s="82" customFormat="1" x14ac:dyDescent="0.25">
      <c r="A41" s="162"/>
      <c r="C41" s="257" t="s">
        <v>312</v>
      </c>
      <c r="D41" s="153" t="s">
        <v>329</v>
      </c>
      <c r="E41" s="19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s="221" customFormat="1" x14ac:dyDescent="0.25">
      <c r="A42" s="157"/>
      <c r="C42" s="257" t="s">
        <v>106</v>
      </c>
      <c r="D42" s="258" t="s">
        <v>191</v>
      </c>
      <c r="E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</row>
    <row r="43" spans="1:24" s="4" customFormat="1" x14ac:dyDescent="0.25">
      <c r="A43" s="74"/>
      <c r="B43" s="82"/>
      <c r="C43" s="257" t="s">
        <v>218</v>
      </c>
      <c r="D43" s="153" t="s">
        <v>247</v>
      </c>
      <c r="E43" s="198"/>
      <c r="F43" s="8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s="253" customFormat="1" x14ac:dyDescent="0.25">
      <c r="A44" s="74"/>
      <c r="B44" s="251"/>
      <c r="C44" s="257" t="s">
        <v>833</v>
      </c>
      <c r="D44" s="224" t="s">
        <v>834</v>
      </c>
      <c r="E44" s="252"/>
      <c r="F44" s="251"/>
      <c r="I44" s="252"/>
      <c r="J44" s="252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</row>
    <row r="45" spans="1:24" s="253" customFormat="1" x14ac:dyDescent="0.25">
      <c r="A45" s="74"/>
      <c r="B45" s="251"/>
      <c r="C45" s="257" t="s">
        <v>836</v>
      </c>
      <c r="D45" s="224" t="s">
        <v>837</v>
      </c>
      <c r="E45" s="252"/>
      <c r="F45" s="251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</row>
    <row r="46" spans="1:24" s="4" customFormat="1" x14ac:dyDescent="0.25">
      <c r="A46" s="74"/>
      <c r="B46" s="82"/>
      <c r="C46" s="257" t="s">
        <v>132</v>
      </c>
      <c r="D46" s="224" t="s">
        <v>886</v>
      </c>
      <c r="E46" s="198"/>
      <c r="F46" s="8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s="4" customFormat="1" x14ac:dyDescent="0.25">
      <c r="A47" s="74"/>
      <c r="B47" s="82"/>
      <c r="C47" s="257" t="s">
        <v>133</v>
      </c>
      <c r="D47" s="224" t="s">
        <v>887</v>
      </c>
      <c r="E47" s="198"/>
      <c r="F47" s="8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s="4" customFormat="1" x14ac:dyDescent="0.25">
      <c r="A48" s="74"/>
      <c r="B48" s="82"/>
      <c r="C48" s="257" t="s">
        <v>261</v>
      </c>
      <c r="D48" s="224" t="s">
        <v>334</v>
      </c>
      <c r="E48" s="198"/>
      <c r="F48" s="8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s="4" customFormat="1" x14ac:dyDescent="0.25">
      <c r="A49" s="74"/>
      <c r="B49" s="82"/>
      <c r="C49" s="257" t="s">
        <v>450</v>
      </c>
      <c r="D49" s="224" t="s">
        <v>337</v>
      </c>
      <c r="E49" s="198"/>
      <c r="F49" s="16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s="4" customFormat="1" x14ac:dyDescent="0.25">
      <c r="A50" s="74"/>
      <c r="B50" s="82"/>
      <c r="C50" s="257" t="s">
        <v>452</v>
      </c>
      <c r="D50" s="224" t="s">
        <v>333</v>
      </c>
      <c r="E50" s="198"/>
      <c r="F50" s="8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s="4" customFormat="1" x14ac:dyDescent="0.25">
      <c r="A51" s="74"/>
      <c r="B51" s="82"/>
      <c r="C51" s="257" t="s">
        <v>364</v>
      </c>
      <c r="D51" s="224" t="s">
        <v>458</v>
      </c>
      <c r="E51" s="198"/>
      <c r="F51" s="8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s="4" customFormat="1" x14ac:dyDescent="0.25">
      <c r="A52" s="74"/>
      <c r="B52" s="82"/>
      <c r="C52" s="257" t="s">
        <v>363</v>
      </c>
      <c r="D52" s="224" t="s">
        <v>451</v>
      </c>
      <c r="E52" s="198"/>
      <c r="F52" s="8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s="4" customFormat="1" x14ac:dyDescent="0.25">
      <c r="A53" s="74"/>
      <c r="B53" s="82"/>
      <c r="C53" s="257" t="s">
        <v>365</v>
      </c>
      <c r="D53" s="224" t="s">
        <v>366</v>
      </c>
      <c r="E53" s="198"/>
      <c r="F53" s="8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s="4" customFormat="1" x14ac:dyDescent="0.25">
      <c r="A54" s="74"/>
      <c r="B54" s="82"/>
      <c r="C54" s="257" t="s">
        <v>262</v>
      </c>
      <c r="D54" s="224" t="s">
        <v>424</v>
      </c>
      <c r="E54" s="198"/>
      <c r="F54" s="16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s="4" customFormat="1" x14ac:dyDescent="0.25">
      <c r="A55" s="74"/>
      <c r="B55" s="82"/>
      <c r="C55" s="257" t="s">
        <v>263</v>
      </c>
      <c r="D55" s="224" t="s">
        <v>423</v>
      </c>
      <c r="E55" s="198"/>
      <c r="F55" s="16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s="4" customFormat="1" x14ac:dyDescent="0.25">
      <c r="A56" s="74"/>
      <c r="B56" s="82"/>
      <c r="C56" s="109" t="s">
        <v>264</v>
      </c>
      <c r="D56" s="224" t="s">
        <v>888</v>
      </c>
      <c r="E56" s="198"/>
      <c r="F56" s="8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s="199" customFormat="1" x14ac:dyDescent="0.25">
      <c r="A57" s="74"/>
      <c r="B57" s="227"/>
      <c r="C57" s="244" t="s">
        <v>608</v>
      </c>
      <c r="D57" s="245" t="s">
        <v>781</v>
      </c>
      <c r="E57" s="228"/>
      <c r="F57" s="227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</row>
    <row r="58" spans="1:24" s="4" customFormat="1" x14ac:dyDescent="0.25">
      <c r="A58" s="74"/>
      <c r="B58" s="82"/>
      <c r="C58" s="205" t="s">
        <v>367</v>
      </c>
      <c r="D58" s="107" t="s">
        <v>265</v>
      </c>
      <c r="E58" s="198"/>
      <c r="F58" s="8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s="253" customFormat="1" x14ac:dyDescent="0.25">
      <c r="A59" s="74"/>
      <c r="B59" s="251"/>
      <c r="C59" s="74"/>
      <c r="D59" s="74"/>
      <c r="E59" s="252"/>
      <c r="F59" s="251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</row>
    <row r="60" spans="1:24" s="4" customFormat="1" x14ac:dyDescent="0.25">
      <c r="B60" s="82"/>
      <c r="E60" s="3"/>
      <c r="F60" s="8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s="4" customFormat="1" x14ac:dyDescent="0.25">
      <c r="B61" s="82"/>
      <c r="C61" s="410" t="s">
        <v>506</v>
      </c>
      <c r="D61" s="410"/>
      <c r="E61" s="3"/>
      <c r="F61" s="8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s="4" customFormat="1" x14ac:dyDescent="0.25">
      <c r="B62" s="82"/>
      <c r="C62" s="14" t="s">
        <v>4</v>
      </c>
      <c r="D62" s="15" t="s">
        <v>5</v>
      </c>
      <c r="E62" s="3"/>
      <c r="F62" s="8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s="4" customFormat="1" x14ac:dyDescent="0.25">
      <c r="B63" s="162"/>
      <c r="C63" s="7" t="s">
        <v>459</v>
      </c>
      <c r="D63" s="13" t="s">
        <v>481</v>
      </c>
      <c r="E63" s="3"/>
      <c r="F63" s="16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s="4" customFormat="1" x14ac:dyDescent="0.25">
      <c r="B64" s="162"/>
      <c r="C64" s="7" t="s">
        <v>94</v>
      </c>
      <c r="D64" s="13" t="s">
        <v>460</v>
      </c>
      <c r="E64" s="3"/>
      <c r="F64" s="16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s="4" customFormat="1" x14ac:dyDescent="0.25">
      <c r="B65" s="82"/>
      <c r="C65" s="7" t="s">
        <v>8</v>
      </c>
      <c r="D65" s="247" t="s">
        <v>905</v>
      </c>
      <c r="E65" s="3"/>
      <c r="F65" s="8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s="4" customFormat="1" x14ac:dyDescent="0.25">
      <c r="A66" s="156" t="s">
        <v>863</v>
      </c>
      <c r="B66" s="82"/>
      <c r="C66" s="7" t="s">
        <v>873</v>
      </c>
      <c r="D66" s="356" t="s">
        <v>869</v>
      </c>
      <c r="E66" s="3"/>
      <c r="F66" s="15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s="4" customFormat="1" x14ac:dyDescent="0.25">
      <c r="B67" s="82"/>
      <c r="C67" s="7" t="s">
        <v>10</v>
      </c>
      <c r="D67" s="247" t="s">
        <v>903</v>
      </c>
      <c r="E67" s="3"/>
      <c r="F67" s="8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s="4" customFormat="1" x14ac:dyDescent="0.25">
      <c r="B68" s="82"/>
      <c r="C68" s="7" t="s">
        <v>98</v>
      </c>
      <c r="D68" s="203" t="s">
        <v>504</v>
      </c>
      <c r="E68" s="3"/>
      <c r="F68" s="8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s="4" customFormat="1" x14ac:dyDescent="0.25">
      <c r="B69" s="82"/>
      <c r="C69" s="7" t="s">
        <v>97</v>
      </c>
      <c r="D69" s="13" t="s">
        <v>99</v>
      </c>
      <c r="E69" s="3"/>
      <c r="F69" s="8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s="4" customFormat="1" x14ac:dyDescent="0.25">
      <c r="B70" s="82"/>
      <c r="C70" s="105" t="s">
        <v>24</v>
      </c>
      <c r="D70" s="104" t="s">
        <v>349</v>
      </c>
      <c r="E70" s="3"/>
      <c r="F70" s="8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s="4" customFormat="1" x14ac:dyDescent="0.25">
      <c r="B71" s="82"/>
      <c r="E71" s="3"/>
      <c r="F71" s="8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s="4" customFormat="1" x14ac:dyDescent="0.25">
      <c r="B72" s="82"/>
      <c r="F72" s="8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s="4" customFormat="1" ht="15.75" x14ac:dyDescent="0.25">
      <c r="B73" s="82"/>
      <c r="C73" s="411" t="s">
        <v>397</v>
      </c>
      <c r="D73" s="411"/>
      <c r="F73" s="8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s="4" customFormat="1" x14ac:dyDescent="0.25">
      <c r="B74" s="82"/>
      <c r="C74" s="14" t="s">
        <v>4</v>
      </c>
      <c r="D74" s="15" t="s">
        <v>5</v>
      </c>
      <c r="F74" s="8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s="4" customFormat="1" x14ac:dyDescent="0.25">
      <c r="B75" s="82"/>
      <c r="C75" s="7" t="s">
        <v>374</v>
      </c>
      <c r="D75" s="8" t="s">
        <v>380</v>
      </c>
      <c r="F75" s="8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s="4" customFormat="1" x14ac:dyDescent="0.25">
      <c r="B76" s="82"/>
      <c r="C76" s="7" t="s">
        <v>218</v>
      </c>
      <c r="D76" s="8" t="s">
        <v>375</v>
      </c>
      <c r="F76" s="8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s="253" customFormat="1" x14ac:dyDescent="0.25">
      <c r="B77" s="251"/>
      <c r="C77" s="201" t="s">
        <v>833</v>
      </c>
      <c r="D77" s="254" t="s">
        <v>834</v>
      </c>
      <c r="F77" s="251"/>
      <c r="I77" s="252"/>
      <c r="J77" s="252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</row>
    <row r="78" spans="1:24" s="253" customFormat="1" x14ac:dyDescent="0.25">
      <c r="B78" s="251"/>
      <c r="C78" s="201" t="s">
        <v>836</v>
      </c>
      <c r="D78" s="254" t="s">
        <v>837</v>
      </c>
      <c r="F78" s="251"/>
      <c r="I78" s="252"/>
      <c r="J78" s="252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</row>
    <row r="79" spans="1:24" s="4" customFormat="1" x14ac:dyDescent="0.25">
      <c r="B79" s="82"/>
      <c r="C79" s="201" t="s">
        <v>133</v>
      </c>
      <c r="D79" s="233" t="s">
        <v>889</v>
      </c>
      <c r="F79" s="8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s="4" customFormat="1" x14ac:dyDescent="0.25">
      <c r="B80" s="82"/>
      <c r="C80" s="201" t="s">
        <v>385</v>
      </c>
      <c r="D80" s="254" t="s">
        <v>387</v>
      </c>
      <c r="F80" s="8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2:24" s="4" customFormat="1" x14ac:dyDescent="0.25">
      <c r="B81" s="82"/>
      <c r="C81" s="7" t="s">
        <v>386</v>
      </c>
      <c r="D81" s="8" t="s">
        <v>388</v>
      </c>
      <c r="F81" s="8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2:24" s="4" customFormat="1" x14ac:dyDescent="0.25">
      <c r="B82" s="82"/>
      <c r="C82" s="7" t="s">
        <v>263</v>
      </c>
      <c r="D82" s="8" t="s">
        <v>389</v>
      </c>
      <c r="F82" s="8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2:24" s="4" customFormat="1" x14ac:dyDescent="0.25">
      <c r="B83" s="82"/>
      <c r="C83" s="7" t="s">
        <v>264</v>
      </c>
      <c r="D83" s="8" t="s">
        <v>390</v>
      </c>
      <c r="F83" s="8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2:24" s="4" customFormat="1" x14ac:dyDescent="0.25">
      <c r="B84" s="82"/>
      <c r="C84" s="105" t="s">
        <v>367</v>
      </c>
      <c r="D84" s="107" t="s">
        <v>391</v>
      </c>
      <c r="F84" s="8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2:24" s="4" customFormat="1" x14ac:dyDescent="0.25">
      <c r="B85" s="82"/>
      <c r="F85" s="8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2:24" x14ac:dyDescent="0.25">
      <c r="B86" s="82"/>
    </row>
    <row r="87" spans="2:24" x14ac:dyDescent="0.25">
      <c r="C87" s="414" t="s">
        <v>890</v>
      </c>
      <c r="D87" s="414"/>
    </row>
    <row r="88" spans="2:24" x14ac:dyDescent="0.25">
      <c r="C88" s="159" t="s">
        <v>61</v>
      </c>
      <c r="D88" s="79" t="s">
        <v>176</v>
      </c>
      <c r="H88" s="3"/>
      <c r="I88" s="82"/>
      <c r="J88" s="82"/>
    </row>
    <row r="89" spans="2:24" x14ac:dyDescent="0.25">
      <c r="C89" s="76" t="s">
        <v>305</v>
      </c>
      <c r="D89" s="160" t="s">
        <v>175</v>
      </c>
      <c r="H89" s="3"/>
      <c r="I89" s="82"/>
      <c r="J89" s="82"/>
    </row>
    <row r="90" spans="2:24" x14ac:dyDescent="0.25">
      <c r="C90" s="77" t="s">
        <v>306</v>
      </c>
      <c r="D90" s="160" t="s">
        <v>178</v>
      </c>
      <c r="H90" s="3"/>
      <c r="I90" s="82"/>
      <c r="J90" s="82"/>
    </row>
    <row r="91" spans="2:24" x14ac:dyDescent="0.25">
      <c r="C91" s="77" t="s">
        <v>307</v>
      </c>
      <c r="D91" s="160" t="s">
        <v>179</v>
      </c>
      <c r="H91" s="3"/>
      <c r="I91" s="82"/>
      <c r="J91" s="82"/>
    </row>
    <row r="92" spans="2:24" x14ac:dyDescent="0.25">
      <c r="C92" s="78" t="s">
        <v>401</v>
      </c>
      <c r="D92" s="161" t="s">
        <v>177</v>
      </c>
      <c r="H92" s="3"/>
      <c r="I92" s="82"/>
      <c r="J92" s="82"/>
    </row>
    <row r="93" spans="2:24" x14ac:dyDescent="0.25">
      <c r="H93" s="3"/>
      <c r="I93" s="82"/>
      <c r="J93" s="82"/>
    </row>
    <row r="94" spans="2:24" s="82" customFormat="1" x14ac:dyDescent="0.25">
      <c r="F94" s="3"/>
      <c r="G94" s="3"/>
    </row>
    <row r="95" spans="2:24" x14ac:dyDescent="0.25">
      <c r="C95" s="82"/>
      <c r="D95" s="82"/>
      <c r="E95" s="82"/>
    </row>
    <row r="96" spans="2:24" x14ac:dyDescent="0.25">
      <c r="C96" s="246" t="s">
        <v>483</v>
      </c>
      <c r="F96" s="190"/>
    </row>
    <row r="97" spans="3:7" x14ac:dyDescent="0.25">
      <c r="F97" s="190"/>
    </row>
    <row r="98" spans="3:7" ht="15.75" x14ac:dyDescent="0.25">
      <c r="C98" s="411" t="s">
        <v>516</v>
      </c>
      <c r="D98" s="411"/>
      <c r="F98" s="190"/>
    </row>
    <row r="99" spans="3:7" x14ac:dyDescent="0.25">
      <c r="C99" s="14" t="s">
        <v>4</v>
      </c>
      <c r="D99" s="15" t="s">
        <v>5</v>
      </c>
      <c r="F99" s="190"/>
    </row>
    <row r="100" spans="3:7" s="82" customFormat="1" x14ac:dyDescent="0.25">
      <c r="C100" s="201" t="s">
        <v>22</v>
      </c>
      <c r="D100" s="360" t="s">
        <v>891</v>
      </c>
      <c r="F100" s="190"/>
      <c r="G100" s="3"/>
    </row>
    <row r="101" spans="3:7" x14ac:dyDescent="0.25">
      <c r="C101" s="205" t="s">
        <v>473</v>
      </c>
      <c r="D101" s="361" t="s">
        <v>892</v>
      </c>
      <c r="F101" s="191"/>
    </row>
    <row r="102" spans="3:7" s="162" customFormat="1" x14ac:dyDescent="0.25">
      <c r="E102" s="3"/>
      <c r="F102" s="3"/>
      <c r="G102" s="3"/>
    </row>
    <row r="104" spans="3:7" ht="15.75" x14ac:dyDescent="0.25">
      <c r="C104" s="413" t="s">
        <v>859</v>
      </c>
      <c r="D104" s="413"/>
    </row>
    <row r="105" spans="3:7" x14ac:dyDescent="0.25">
      <c r="C105" s="229" t="s">
        <v>4</v>
      </c>
      <c r="D105" s="230" t="s">
        <v>5</v>
      </c>
    </row>
    <row r="106" spans="3:7" s="251" customFormat="1" x14ac:dyDescent="0.25">
      <c r="C106" s="257" t="s">
        <v>754</v>
      </c>
      <c r="D106" s="224" t="s">
        <v>753</v>
      </c>
      <c r="E106" s="252"/>
      <c r="F106" s="252"/>
      <c r="G106" s="252"/>
    </row>
    <row r="107" spans="3:7" x14ac:dyDescent="0.25">
      <c r="C107" s="257" t="s">
        <v>514</v>
      </c>
      <c r="D107" s="224" t="s">
        <v>755</v>
      </c>
    </row>
    <row r="108" spans="3:7" x14ac:dyDescent="0.25">
      <c r="C108" s="109" t="s">
        <v>579</v>
      </c>
      <c r="D108" s="224" t="s">
        <v>580</v>
      </c>
    </row>
    <row r="109" spans="3:7" x14ac:dyDescent="0.25">
      <c r="C109" s="109" t="s">
        <v>243</v>
      </c>
      <c r="D109" s="224" t="s">
        <v>582</v>
      </c>
    </row>
    <row r="110" spans="3:7" x14ac:dyDescent="0.25">
      <c r="C110" s="225" t="s">
        <v>112</v>
      </c>
      <c r="D110" s="186" t="s">
        <v>581</v>
      </c>
    </row>
    <row r="113" spans="3:4" ht="16.5" x14ac:dyDescent="0.3">
      <c r="C113" s="409" t="s">
        <v>752</v>
      </c>
      <c r="D113" s="409"/>
    </row>
    <row r="114" spans="3:4" x14ac:dyDescent="0.25">
      <c r="C114" s="267" t="s">
        <v>751</v>
      </c>
      <c r="D114" s="269" t="s">
        <v>749</v>
      </c>
    </row>
    <row r="115" spans="3:4" x14ac:dyDescent="0.25">
      <c r="C115" s="300" t="s">
        <v>441</v>
      </c>
      <c r="D115" s="301" t="s">
        <v>441</v>
      </c>
    </row>
    <row r="116" spans="3:4" x14ac:dyDescent="0.25">
      <c r="C116" s="302" t="s">
        <v>442</v>
      </c>
      <c r="D116" s="301" t="s">
        <v>442</v>
      </c>
    </row>
    <row r="117" spans="3:4" x14ac:dyDescent="0.25">
      <c r="C117" s="302" t="s">
        <v>684</v>
      </c>
      <c r="D117" s="301" t="s">
        <v>684</v>
      </c>
    </row>
    <row r="118" spans="3:4" x14ac:dyDescent="0.25">
      <c r="C118" s="302" t="s">
        <v>686</v>
      </c>
      <c r="D118" s="301" t="s">
        <v>686</v>
      </c>
    </row>
    <row r="119" spans="3:4" x14ac:dyDescent="0.25">
      <c r="C119" s="302" t="s">
        <v>687</v>
      </c>
      <c r="D119" s="301" t="s">
        <v>687</v>
      </c>
    </row>
    <row r="120" spans="3:4" x14ac:dyDescent="0.25">
      <c r="C120" s="302" t="s">
        <v>688</v>
      </c>
      <c r="D120" s="301" t="s">
        <v>688</v>
      </c>
    </row>
    <row r="121" spans="3:4" x14ac:dyDescent="0.25">
      <c r="C121" s="302" t="s">
        <v>689</v>
      </c>
      <c r="D121" s="301" t="s">
        <v>689</v>
      </c>
    </row>
    <row r="122" spans="3:4" x14ac:dyDescent="0.25">
      <c r="C122" s="302" t="s">
        <v>690</v>
      </c>
      <c r="D122" s="301" t="s">
        <v>690</v>
      </c>
    </row>
    <row r="123" spans="3:4" x14ac:dyDescent="0.25">
      <c r="C123" s="302" t="s">
        <v>691</v>
      </c>
      <c r="D123" s="301" t="s">
        <v>691</v>
      </c>
    </row>
    <row r="124" spans="3:4" x14ac:dyDescent="0.25">
      <c r="C124" s="302" t="s">
        <v>692</v>
      </c>
      <c r="D124" s="301" t="s">
        <v>692</v>
      </c>
    </row>
    <row r="125" spans="3:4" x14ac:dyDescent="0.25">
      <c r="C125" s="302" t="s">
        <v>693</v>
      </c>
      <c r="D125" s="301" t="s">
        <v>693</v>
      </c>
    </row>
    <row r="126" spans="3:4" x14ac:dyDescent="0.25">
      <c r="C126" s="302" t="s">
        <v>694</v>
      </c>
      <c r="D126" s="301" t="s">
        <v>694</v>
      </c>
    </row>
    <row r="127" spans="3:4" x14ac:dyDescent="0.25">
      <c r="C127" s="302" t="s">
        <v>695</v>
      </c>
      <c r="D127" s="301" t="s">
        <v>695</v>
      </c>
    </row>
    <row r="128" spans="3:4" x14ac:dyDescent="0.25">
      <c r="C128" s="302" t="s">
        <v>696</v>
      </c>
      <c r="D128" s="301" t="s">
        <v>696</v>
      </c>
    </row>
    <row r="129" spans="3:4" x14ac:dyDescent="0.25">
      <c r="C129" s="302" t="s">
        <v>697</v>
      </c>
      <c r="D129" s="301" t="s">
        <v>697</v>
      </c>
    </row>
    <row r="130" spans="3:4" x14ac:dyDescent="0.25">
      <c r="C130" s="302" t="s">
        <v>698</v>
      </c>
      <c r="D130" s="301" t="s">
        <v>698</v>
      </c>
    </row>
    <row r="131" spans="3:4" x14ac:dyDescent="0.25">
      <c r="C131" s="302" t="s">
        <v>699</v>
      </c>
      <c r="D131" s="301" t="s">
        <v>699</v>
      </c>
    </row>
    <row r="132" spans="3:4" x14ac:dyDescent="0.25">
      <c r="C132" s="302" t="s">
        <v>700</v>
      </c>
      <c r="D132" s="301" t="s">
        <v>700</v>
      </c>
    </row>
    <row r="133" spans="3:4" x14ac:dyDescent="0.25">
      <c r="C133" s="302" t="s">
        <v>701</v>
      </c>
      <c r="D133" s="301" t="s">
        <v>701</v>
      </c>
    </row>
    <row r="134" spans="3:4" x14ac:dyDescent="0.25">
      <c r="C134" s="302" t="s">
        <v>702</v>
      </c>
      <c r="D134" s="301" t="s">
        <v>702</v>
      </c>
    </row>
    <row r="135" spans="3:4" x14ac:dyDescent="0.25">
      <c r="C135" s="302" t="s">
        <v>703</v>
      </c>
      <c r="D135" s="301" t="s">
        <v>703</v>
      </c>
    </row>
    <row r="136" spans="3:4" x14ac:dyDescent="0.25">
      <c r="C136" s="302" t="s">
        <v>704</v>
      </c>
      <c r="D136" s="301" t="s">
        <v>704</v>
      </c>
    </row>
    <row r="137" spans="3:4" x14ac:dyDescent="0.25">
      <c r="C137" s="302" t="s">
        <v>705</v>
      </c>
      <c r="D137" s="301" t="s">
        <v>705</v>
      </c>
    </row>
    <row r="138" spans="3:4" x14ac:dyDescent="0.25">
      <c r="C138" s="302" t="s">
        <v>706</v>
      </c>
      <c r="D138" s="301" t="s">
        <v>706</v>
      </c>
    </row>
    <row r="139" spans="3:4" x14ac:dyDescent="0.25">
      <c r="C139" s="302" t="s">
        <v>707</v>
      </c>
      <c r="D139" s="301" t="s">
        <v>707</v>
      </c>
    </row>
    <row r="140" spans="3:4" x14ac:dyDescent="0.25">
      <c r="C140" s="302" t="s">
        <v>708</v>
      </c>
      <c r="D140" s="301" t="s">
        <v>708</v>
      </c>
    </row>
    <row r="141" spans="3:4" x14ac:dyDescent="0.25">
      <c r="C141" s="302" t="s">
        <v>709</v>
      </c>
      <c r="D141" s="301" t="s">
        <v>709</v>
      </c>
    </row>
    <row r="142" spans="3:4" x14ac:dyDescent="0.25">
      <c r="C142" s="302" t="s">
        <v>710</v>
      </c>
      <c r="D142" s="301" t="s">
        <v>710</v>
      </c>
    </row>
    <row r="143" spans="3:4" x14ac:dyDescent="0.25">
      <c r="C143" s="302" t="s">
        <v>711</v>
      </c>
      <c r="D143" s="301" t="s">
        <v>711</v>
      </c>
    </row>
    <row r="144" spans="3:4" x14ac:dyDescent="0.25">
      <c r="C144" s="302" t="s">
        <v>712</v>
      </c>
      <c r="D144" s="301" t="s">
        <v>712</v>
      </c>
    </row>
    <row r="145" spans="3:4" x14ac:dyDescent="0.25">
      <c r="C145" s="302" t="s">
        <v>713</v>
      </c>
      <c r="D145" s="301" t="s">
        <v>713</v>
      </c>
    </row>
    <row r="146" spans="3:4" x14ac:dyDescent="0.25">
      <c r="C146" s="302" t="s">
        <v>714</v>
      </c>
      <c r="D146" s="301" t="s">
        <v>714</v>
      </c>
    </row>
    <row r="147" spans="3:4" x14ac:dyDescent="0.25">
      <c r="C147" s="302" t="s">
        <v>715</v>
      </c>
      <c r="D147" s="301" t="s">
        <v>750</v>
      </c>
    </row>
    <row r="148" spans="3:4" x14ac:dyDescent="0.25">
      <c r="C148" s="302" t="s">
        <v>716</v>
      </c>
      <c r="D148" s="301" t="s">
        <v>716</v>
      </c>
    </row>
    <row r="149" spans="3:4" x14ac:dyDescent="0.25">
      <c r="C149" s="302" t="s">
        <v>717</v>
      </c>
      <c r="D149" s="301" t="s">
        <v>750</v>
      </c>
    </row>
    <row r="150" spans="3:4" x14ac:dyDescent="0.25">
      <c r="C150" s="302" t="s">
        <v>718</v>
      </c>
      <c r="D150" s="301" t="s">
        <v>750</v>
      </c>
    </row>
    <row r="151" spans="3:4" x14ac:dyDescent="0.25">
      <c r="C151" s="302" t="s">
        <v>719</v>
      </c>
      <c r="D151" s="301" t="s">
        <v>750</v>
      </c>
    </row>
    <row r="152" spans="3:4" x14ac:dyDescent="0.25">
      <c r="C152" s="302" t="s">
        <v>720</v>
      </c>
      <c r="D152" s="301" t="s">
        <v>750</v>
      </c>
    </row>
    <row r="153" spans="3:4" x14ac:dyDescent="0.25">
      <c r="C153" s="302" t="s">
        <v>721</v>
      </c>
      <c r="D153" s="301" t="s">
        <v>750</v>
      </c>
    </row>
    <row r="154" spans="3:4" x14ac:dyDescent="0.25">
      <c r="C154" s="302" t="s">
        <v>722</v>
      </c>
      <c r="D154" s="301" t="s">
        <v>750</v>
      </c>
    </row>
    <row r="155" spans="3:4" x14ac:dyDescent="0.25">
      <c r="C155" s="302" t="s">
        <v>723</v>
      </c>
      <c r="D155" s="301" t="s">
        <v>750</v>
      </c>
    </row>
    <row r="156" spans="3:4" x14ac:dyDescent="0.25">
      <c r="C156" s="302" t="s">
        <v>724</v>
      </c>
      <c r="D156" s="301" t="s">
        <v>750</v>
      </c>
    </row>
    <row r="157" spans="3:4" x14ac:dyDescent="0.25">
      <c r="C157" s="302" t="s">
        <v>725</v>
      </c>
      <c r="D157" s="301" t="s">
        <v>750</v>
      </c>
    </row>
    <row r="158" spans="3:4" x14ac:dyDescent="0.25">
      <c r="C158" s="302" t="s">
        <v>726</v>
      </c>
      <c r="D158" s="301" t="s">
        <v>750</v>
      </c>
    </row>
    <row r="159" spans="3:4" x14ac:dyDescent="0.25">
      <c r="C159" s="302" t="s">
        <v>727</v>
      </c>
      <c r="D159" s="301" t="s">
        <v>750</v>
      </c>
    </row>
    <row r="160" spans="3:4" x14ac:dyDescent="0.25">
      <c r="C160" s="302" t="s">
        <v>728</v>
      </c>
      <c r="D160" s="301" t="s">
        <v>750</v>
      </c>
    </row>
    <row r="161" spans="3:4" x14ac:dyDescent="0.25">
      <c r="C161" s="302" t="s">
        <v>443</v>
      </c>
      <c r="D161" s="301" t="s">
        <v>750</v>
      </c>
    </row>
    <row r="162" spans="3:4" x14ac:dyDescent="0.25">
      <c r="C162" s="302" t="s">
        <v>729</v>
      </c>
      <c r="D162" s="301" t="s">
        <v>750</v>
      </c>
    </row>
    <row r="163" spans="3:4" x14ac:dyDescent="0.25">
      <c r="C163" s="302" t="s">
        <v>730</v>
      </c>
      <c r="D163" s="301" t="s">
        <v>750</v>
      </c>
    </row>
    <row r="164" spans="3:4" x14ac:dyDescent="0.25">
      <c r="C164" s="302" t="s">
        <v>731</v>
      </c>
      <c r="D164" s="301" t="s">
        <v>750</v>
      </c>
    </row>
    <row r="165" spans="3:4" x14ac:dyDescent="0.25">
      <c r="C165" s="302" t="s">
        <v>732</v>
      </c>
      <c r="D165" s="301" t="s">
        <v>750</v>
      </c>
    </row>
    <row r="166" spans="3:4" x14ac:dyDescent="0.25">
      <c r="C166" s="302" t="s">
        <v>733</v>
      </c>
      <c r="D166" s="301" t="s">
        <v>750</v>
      </c>
    </row>
    <row r="167" spans="3:4" x14ac:dyDescent="0.25">
      <c r="C167" s="302" t="s">
        <v>734</v>
      </c>
      <c r="D167" s="301" t="s">
        <v>750</v>
      </c>
    </row>
    <row r="168" spans="3:4" x14ac:dyDescent="0.25">
      <c r="C168" s="302" t="s">
        <v>735</v>
      </c>
      <c r="D168" s="301" t="s">
        <v>750</v>
      </c>
    </row>
    <row r="169" spans="3:4" x14ac:dyDescent="0.25">
      <c r="C169" s="302" t="s">
        <v>736</v>
      </c>
      <c r="D169" s="301" t="s">
        <v>750</v>
      </c>
    </row>
    <row r="170" spans="3:4" x14ac:dyDescent="0.25">
      <c r="C170" s="302" t="s">
        <v>737</v>
      </c>
      <c r="D170" s="301" t="s">
        <v>750</v>
      </c>
    </row>
    <row r="171" spans="3:4" x14ac:dyDescent="0.25">
      <c r="C171" s="302" t="s">
        <v>738</v>
      </c>
      <c r="D171" s="301" t="s">
        <v>750</v>
      </c>
    </row>
    <row r="172" spans="3:4" x14ac:dyDescent="0.25">
      <c r="C172" s="302" t="s">
        <v>739</v>
      </c>
      <c r="D172" s="301" t="s">
        <v>750</v>
      </c>
    </row>
    <row r="173" spans="3:4" x14ac:dyDescent="0.25">
      <c r="C173" s="302" t="s">
        <v>740</v>
      </c>
      <c r="D173" s="301" t="s">
        <v>750</v>
      </c>
    </row>
    <row r="174" spans="3:4" x14ac:dyDescent="0.25">
      <c r="C174" s="302" t="s">
        <v>741</v>
      </c>
      <c r="D174" s="301" t="s">
        <v>750</v>
      </c>
    </row>
    <row r="175" spans="3:4" x14ac:dyDescent="0.25">
      <c r="C175" s="302" t="s">
        <v>742</v>
      </c>
      <c r="D175" s="301" t="s">
        <v>750</v>
      </c>
    </row>
    <row r="176" spans="3:4" x14ac:dyDescent="0.25">
      <c r="C176" s="303" t="s">
        <v>743</v>
      </c>
      <c r="D176" s="304" t="s">
        <v>750</v>
      </c>
    </row>
    <row r="177" spans="3:4" x14ac:dyDescent="0.25">
      <c r="C177" s="306"/>
      <c r="D177" s="307" t="s">
        <v>758</v>
      </c>
    </row>
  </sheetData>
  <mergeCells count="8">
    <mergeCell ref="C113:D113"/>
    <mergeCell ref="C61:D61"/>
    <mergeCell ref="C26:D26"/>
    <mergeCell ref="C4:D4"/>
    <mergeCell ref="C104:D104"/>
    <mergeCell ref="C73:D73"/>
    <mergeCell ref="C98:D98"/>
    <mergeCell ref="C87:D8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"/>
  <sheetViews>
    <sheetView topLeftCell="B40" zoomScale="85" zoomScaleNormal="85" workbookViewId="0">
      <selection activeCell="E13" sqref="E13"/>
    </sheetView>
  </sheetViews>
  <sheetFormatPr defaultRowHeight="13.5" x14ac:dyDescent="0.25"/>
  <cols>
    <col min="1" max="1" customWidth="true" style="10" width="28.140625" collapsed="true"/>
    <col min="2" max="2" style="10" width="9.140625" collapsed="true"/>
    <col min="3" max="3" customWidth="true" style="10" width="28.28515625" collapsed="true"/>
    <col min="4" max="4" customWidth="true" style="10" width="94.5703125" collapsed="true"/>
    <col min="5" max="5" customWidth="true" style="10" width="47.7109375" collapsed="true"/>
    <col min="6" max="10" customWidth="true" style="10" width="21.28515625" collapsed="true"/>
    <col min="11" max="11" customWidth="true" style="10" width="17.42578125" collapsed="true"/>
    <col min="12" max="12" customWidth="true" style="10" width="23.42578125" collapsed="true"/>
    <col min="13" max="15" style="10" width="9.140625" collapsed="true"/>
    <col min="16" max="16" customWidth="true" style="10" width="30.0" collapsed="true"/>
    <col min="17" max="18" style="10" width="9.140625" collapsed="true"/>
    <col min="19" max="19" customWidth="true" style="10" width="23.5703125" collapsed="true"/>
    <col min="20" max="16384" style="10" width="9.140625" collapsed="true"/>
  </cols>
  <sheetData>
    <row r="1" spans="1:4" s="202" customFormat="1" x14ac:dyDescent="0.25"/>
    <row r="2" spans="1:4" s="202" customFormat="1" x14ac:dyDescent="0.25"/>
    <row r="3" spans="1:4" s="202" customFormat="1" x14ac:dyDescent="0.25">
      <c r="A3" s="357"/>
    </row>
    <row r="4" spans="1:4" s="202" customFormat="1" ht="13.5" customHeight="1" x14ac:dyDescent="0.25">
      <c r="A4" s="358" t="s">
        <v>874</v>
      </c>
      <c r="C4" s="426" t="s">
        <v>868</v>
      </c>
      <c r="D4" s="426"/>
    </row>
    <row r="5" spans="1:4" s="202" customFormat="1" x14ac:dyDescent="0.25">
      <c r="A5" s="358"/>
      <c r="C5" s="265" t="s">
        <v>14</v>
      </c>
      <c r="D5" s="16" t="s">
        <v>16</v>
      </c>
    </row>
    <row r="6" spans="1:4" s="202" customFormat="1" x14ac:dyDescent="0.25">
      <c r="A6" s="358"/>
      <c r="C6" s="265" t="s">
        <v>463</v>
      </c>
      <c r="D6" s="265"/>
    </row>
    <row r="7" spans="1:4" s="202" customFormat="1" x14ac:dyDescent="0.25">
      <c r="A7" s="358"/>
      <c r="C7" s="265" t="s">
        <v>230</v>
      </c>
      <c r="D7" s="265"/>
    </row>
    <row r="8" spans="1:4" s="202" customFormat="1" x14ac:dyDescent="0.25">
      <c r="A8" s="358"/>
      <c r="C8" s="267" t="s">
        <v>461</v>
      </c>
      <c r="D8" s="269" t="s">
        <v>60</v>
      </c>
    </row>
    <row r="9" spans="1:4" s="202" customFormat="1" x14ac:dyDescent="0.25">
      <c r="A9" s="358"/>
      <c r="C9" s="353" t="s">
        <v>67</v>
      </c>
      <c r="D9" s="185" t="s">
        <v>462</v>
      </c>
    </row>
    <row r="10" spans="1:4" s="202" customFormat="1" x14ac:dyDescent="0.25">
      <c r="A10" s="358"/>
      <c r="C10" s="354" t="s">
        <v>68</v>
      </c>
      <c r="D10" s="186" t="s">
        <v>870</v>
      </c>
    </row>
    <row r="11" spans="1:4" s="202" customFormat="1" x14ac:dyDescent="0.25">
      <c r="A11" s="358"/>
    </row>
    <row r="12" spans="1:4" s="202" customFormat="1" x14ac:dyDescent="0.25">
      <c r="A12" s="358"/>
    </row>
    <row r="13" spans="1:4" s="202" customFormat="1" x14ac:dyDescent="0.25">
      <c r="A13" s="358"/>
    </row>
    <row r="14" spans="1:4" s="202" customFormat="1" ht="15.75" x14ac:dyDescent="0.25">
      <c r="A14" s="358" t="s">
        <v>875</v>
      </c>
      <c r="C14" s="411" t="s">
        <v>871</v>
      </c>
      <c r="D14" s="411"/>
    </row>
    <row r="15" spans="1:4" s="202" customFormat="1" x14ac:dyDescent="0.25">
      <c r="C15" s="28" t="s">
        <v>4</v>
      </c>
      <c r="D15" s="230" t="s">
        <v>5</v>
      </c>
    </row>
    <row r="16" spans="1:4" s="202" customFormat="1" x14ac:dyDescent="0.25">
      <c r="C16" s="11" t="s">
        <v>9</v>
      </c>
      <c r="D16" s="254" t="s">
        <v>872</v>
      </c>
    </row>
    <row r="17" spans="3:6" s="202" customFormat="1" x14ac:dyDescent="0.25">
      <c r="C17" s="11" t="s">
        <v>864</v>
      </c>
      <c r="D17" s="255" t="s">
        <v>866</v>
      </c>
    </row>
    <row r="18" spans="3:6" s="202" customFormat="1" x14ac:dyDescent="0.25">
      <c r="C18" s="270" t="s">
        <v>24</v>
      </c>
      <c r="D18" s="204" t="s">
        <v>865</v>
      </c>
    </row>
    <row r="19" spans="3:6" s="202" customFormat="1" x14ac:dyDescent="0.25"/>
    <row r="20" spans="3:6" s="163" customFormat="1" x14ac:dyDescent="0.25"/>
    <row r="22" spans="3:6" ht="15.75" x14ac:dyDescent="0.25">
      <c r="C22" s="411" t="s">
        <v>467</v>
      </c>
      <c r="D22" s="411"/>
    </row>
    <row r="23" spans="3:6" x14ac:dyDescent="0.25">
      <c r="C23" s="28" t="s">
        <v>4</v>
      </c>
      <c r="D23" s="15" t="s">
        <v>5</v>
      </c>
    </row>
    <row r="24" spans="3:6" x14ac:dyDescent="0.25">
      <c r="C24" s="11" t="s">
        <v>183</v>
      </c>
      <c r="D24" s="8" t="s">
        <v>184</v>
      </c>
    </row>
    <row r="25" spans="3:6" x14ac:dyDescent="0.25">
      <c r="C25" s="11" t="s">
        <v>25</v>
      </c>
      <c r="D25" s="13" t="s">
        <v>466</v>
      </c>
    </row>
    <row r="26" spans="3:6" x14ac:dyDescent="0.25">
      <c r="C26" s="11" t="s">
        <v>30</v>
      </c>
      <c r="D26" s="13" t="s">
        <v>173</v>
      </c>
    </row>
    <row r="27" spans="3:6" x14ac:dyDescent="0.25">
      <c r="C27" s="11" t="s">
        <v>115</v>
      </c>
      <c r="D27" s="13" t="s">
        <v>174</v>
      </c>
    </row>
    <row r="28" spans="3:6" x14ac:dyDescent="0.25">
      <c r="C28" s="11" t="s">
        <v>32</v>
      </c>
      <c r="D28" s="13" t="s">
        <v>26</v>
      </c>
    </row>
    <row r="29" spans="3:6" x14ac:dyDescent="0.25">
      <c r="C29" s="11" t="s">
        <v>113</v>
      </c>
      <c r="D29" s="247" t="s">
        <v>468</v>
      </c>
    </row>
    <row r="30" spans="3:6" ht="15" x14ac:dyDescent="0.25">
      <c r="C30" s="11" t="s">
        <v>27</v>
      </c>
      <c r="D30" s="247" t="s">
        <v>893</v>
      </c>
      <c r="F30" s="350" t="s">
        <v>860</v>
      </c>
    </row>
    <row r="31" spans="3:6" x14ac:dyDescent="0.25">
      <c r="C31" s="11" t="s">
        <v>93</v>
      </c>
      <c r="D31" s="13" t="s">
        <v>114</v>
      </c>
    </row>
    <row r="32" spans="3:6" x14ac:dyDescent="0.25">
      <c r="C32" s="174" t="s">
        <v>24</v>
      </c>
      <c r="D32" s="104" t="s">
        <v>475</v>
      </c>
    </row>
    <row r="33" spans="1:16" x14ac:dyDescent="0.25">
      <c r="K33" s="163"/>
    </row>
    <row r="34" spans="1:16" s="163" customFormat="1" x14ac:dyDescent="0.25">
      <c r="D34" s="140"/>
    </row>
    <row r="35" spans="1:16" x14ac:dyDescent="0.25">
      <c r="K35" s="163"/>
    </row>
    <row r="36" spans="1:16" ht="15.75" x14ac:dyDescent="0.25">
      <c r="A36" s="374"/>
      <c r="C36" s="425" t="s">
        <v>465</v>
      </c>
      <c r="D36" s="425"/>
      <c r="E36" s="425"/>
      <c r="F36" s="425"/>
      <c r="G36" s="425"/>
      <c r="H36" s="425"/>
      <c r="I36" s="425"/>
      <c r="J36" s="425"/>
      <c r="K36" s="425"/>
      <c r="L36" s="425"/>
      <c r="M36" s="425"/>
      <c r="N36" s="425"/>
      <c r="O36" s="425"/>
      <c r="P36" s="425"/>
    </row>
    <row r="37" spans="1:16" x14ac:dyDescent="0.25">
      <c r="C37" s="179" t="s">
        <v>14</v>
      </c>
      <c r="D37" s="179" t="s">
        <v>15</v>
      </c>
      <c r="E37" s="21" t="s">
        <v>19</v>
      </c>
      <c r="F37" s="21" t="s">
        <v>20</v>
      </c>
      <c r="G37" s="21" t="s">
        <v>16</v>
      </c>
      <c r="H37" s="21"/>
      <c r="I37" s="21"/>
      <c r="J37" s="21"/>
      <c r="K37" s="21"/>
      <c r="L37" s="21"/>
      <c r="M37" s="266"/>
      <c r="N37" s="266"/>
      <c r="O37" s="266"/>
      <c r="P37" s="266"/>
    </row>
    <row r="38" spans="1:16" x14ac:dyDescent="0.25">
      <c r="C38" s="16" t="s">
        <v>239</v>
      </c>
      <c r="D38" s="16" t="s">
        <v>238</v>
      </c>
      <c r="E38" s="20" t="s">
        <v>91</v>
      </c>
      <c r="F38" s="20" t="s">
        <v>21</v>
      </c>
      <c r="G38" s="20" t="s">
        <v>188</v>
      </c>
      <c r="H38" s="20"/>
      <c r="I38" s="20"/>
      <c r="J38" s="21"/>
      <c r="K38" s="21"/>
      <c r="L38" s="21"/>
      <c r="M38" s="266"/>
      <c r="N38" s="266"/>
      <c r="O38" s="266"/>
      <c r="P38" s="266"/>
    </row>
    <row r="39" spans="1:16" x14ac:dyDescent="0.25">
      <c r="C39" s="17" t="s">
        <v>28</v>
      </c>
      <c r="D39" s="16" t="s">
        <v>29</v>
      </c>
      <c r="E39" s="175" t="s">
        <v>92</v>
      </c>
      <c r="F39" s="175" t="s">
        <v>22</v>
      </c>
      <c r="G39" s="176" t="s">
        <v>31</v>
      </c>
      <c r="H39" s="176"/>
      <c r="I39" s="176"/>
      <c r="J39" s="176"/>
      <c r="K39" s="176"/>
      <c r="L39" s="176"/>
      <c r="M39" s="176"/>
      <c r="N39" s="176"/>
      <c r="O39" s="176"/>
      <c r="P39" s="176"/>
    </row>
    <row r="40" spans="1:16" ht="15" customHeight="1" x14ac:dyDescent="0.25">
      <c r="C40" s="428" t="s">
        <v>17</v>
      </c>
      <c r="D40" s="430" t="s">
        <v>18</v>
      </c>
      <c r="E40" s="432" t="s">
        <v>3</v>
      </c>
      <c r="F40" s="432"/>
      <c r="G40" s="432"/>
      <c r="H40" s="433"/>
      <c r="I40" s="423" t="s">
        <v>2</v>
      </c>
      <c r="J40" s="424"/>
      <c r="K40" s="424"/>
      <c r="L40" s="424"/>
      <c r="M40" s="423" t="s">
        <v>13</v>
      </c>
      <c r="N40" s="424"/>
      <c r="O40" s="424"/>
      <c r="P40" s="424"/>
    </row>
    <row r="41" spans="1:16" x14ac:dyDescent="0.25">
      <c r="C41" s="429"/>
      <c r="D41" s="431"/>
      <c r="E41" s="23" t="s">
        <v>597</v>
      </c>
      <c r="F41" s="23" t="s">
        <v>598</v>
      </c>
      <c r="G41" s="239" t="s">
        <v>600</v>
      </c>
      <c r="H41" s="80" t="s">
        <v>599</v>
      </c>
      <c r="I41" s="23" t="s">
        <v>597</v>
      </c>
      <c r="J41" s="23" t="s">
        <v>598</v>
      </c>
      <c r="K41" s="239" t="s">
        <v>600</v>
      </c>
      <c r="L41" s="80" t="s">
        <v>599</v>
      </c>
      <c r="M41" s="23" t="s">
        <v>597</v>
      </c>
      <c r="N41" s="23" t="s">
        <v>598</v>
      </c>
      <c r="O41" s="239" t="s">
        <v>600</v>
      </c>
      <c r="P41" s="80" t="s">
        <v>599</v>
      </c>
    </row>
    <row r="42" spans="1:16" x14ac:dyDescent="0.25">
      <c r="C42" s="370">
        <v>15</v>
      </c>
      <c r="D42" s="371">
        <v>19</v>
      </c>
      <c r="E42" s="24">
        <v>1.3685</v>
      </c>
      <c r="F42" s="24">
        <v>1.2075</v>
      </c>
      <c r="G42" s="24">
        <v>1.3685</v>
      </c>
      <c r="H42" s="27">
        <v>1.3685</v>
      </c>
      <c r="I42" s="24">
        <v>1.9550000000000001</v>
      </c>
      <c r="J42" s="24">
        <v>1.7250000000000001</v>
      </c>
      <c r="K42" s="24">
        <v>1.9550000000000001</v>
      </c>
      <c r="L42" s="24">
        <v>1.9550000000000001</v>
      </c>
      <c r="M42" s="24">
        <v>1.9550000000000001</v>
      </c>
      <c r="N42" s="24">
        <v>1.7250000000000001</v>
      </c>
      <c r="O42" s="24">
        <v>1.9550000000000001</v>
      </c>
      <c r="P42" s="24">
        <v>1.9550000000000001</v>
      </c>
    </row>
    <row r="43" spans="1:16" x14ac:dyDescent="0.25">
      <c r="C43" s="370">
        <v>19</v>
      </c>
      <c r="D43" s="371">
        <v>20</v>
      </c>
      <c r="E43" s="24">
        <v>1.127</v>
      </c>
      <c r="F43" s="24">
        <v>1.0465</v>
      </c>
      <c r="G43" s="24">
        <v>1.127</v>
      </c>
      <c r="H43" s="27">
        <v>1.127</v>
      </c>
      <c r="I43" s="24">
        <v>1.61</v>
      </c>
      <c r="J43" s="24">
        <v>1.4950000000000001</v>
      </c>
      <c r="K43" s="24">
        <v>1.61</v>
      </c>
      <c r="L43" s="24">
        <v>1.61</v>
      </c>
      <c r="M43" s="24">
        <v>1.61</v>
      </c>
      <c r="N43" s="24">
        <v>1.4950000000000001</v>
      </c>
      <c r="O43" s="24">
        <v>1.61</v>
      </c>
      <c r="P43" s="24">
        <v>1.61</v>
      </c>
    </row>
    <row r="44" spans="1:16" x14ac:dyDescent="0.25">
      <c r="C44" s="370">
        <v>20</v>
      </c>
      <c r="D44" s="371">
        <v>23</v>
      </c>
      <c r="E44" s="24">
        <v>1.0867500000000001</v>
      </c>
      <c r="F44" s="24">
        <v>1.0143</v>
      </c>
      <c r="G44" s="24">
        <v>1.0867500000000001</v>
      </c>
      <c r="H44" s="27">
        <v>1.0867500000000001</v>
      </c>
      <c r="I44" s="24">
        <v>1.5525</v>
      </c>
      <c r="J44" s="24">
        <v>1.4490000000000001</v>
      </c>
      <c r="K44" s="24">
        <v>1.5525</v>
      </c>
      <c r="L44" s="24">
        <v>1.5525</v>
      </c>
      <c r="M44" s="24">
        <v>1.5525</v>
      </c>
      <c r="N44" s="24">
        <v>1.4490000000000001</v>
      </c>
      <c r="O44" s="24">
        <v>1.5525</v>
      </c>
      <c r="P44" s="24">
        <v>1.5525</v>
      </c>
    </row>
    <row r="45" spans="1:16" x14ac:dyDescent="0.25">
      <c r="C45" s="370">
        <v>23</v>
      </c>
      <c r="D45" s="371">
        <v>24</v>
      </c>
      <c r="E45" s="24">
        <v>1.0465</v>
      </c>
      <c r="F45" s="24">
        <v>0.99014999999999997</v>
      </c>
      <c r="G45" s="24">
        <v>1.0465</v>
      </c>
      <c r="H45" s="27">
        <v>1.0465</v>
      </c>
      <c r="I45" s="24">
        <v>1.4950000000000001</v>
      </c>
      <c r="J45" s="24">
        <v>1.4145000000000001</v>
      </c>
      <c r="K45" s="24">
        <v>1.4950000000000001</v>
      </c>
      <c r="L45" s="24">
        <v>1.4950000000000001</v>
      </c>
      <c r="M45" s="24">
        <v>1.4950000000000001</v>
      </c>
      <c r="N45" s="24">
        <v>1.4145000000000001</v>
      </c>
      <c r="O45" s="24">
        <v>1.4950000000000001</v>
      </c>
      <c r="P45" s="24">
        <v>1.4950000000000001</v>
      </c>
    </row>
    <row r="46" spans="1:16" x14ac:dyDescent="0.25">
      <c r="C46" s="370">
        <v>24</v>
      </c>
      <c r="D46" s="371">
        <v>25</v>
      </c>
      <c r="E46" s="24">
        <v>1.0465</v>
      </c>
      <c r="F46" s="24">
        <v>0.99014999999999997</v>
      </c>
      <c r="G46" s="24">
        <v>1.0465</v>
      </c>
      <c r="H46" s="27">
        <v>1.0465</v>
      </c>
      <c r="I46" s="24">
        <v>1.3</v>
      </c>
      <c r="J46" s="24">
        <v>1.23</v>
      </c>
      <c r="K46" s="24">
        <v>1.3</v>
      </c>
      <c r="L46" s="24">
        <v>1.3</v>
      </c>
      <c r="M46" s="24">
        <v>1.3</v>
      </c>
      <c r="N46" s="24">
        <v>1.23</v>
      </c>
      <c r="O46" s="24">
        <v>1.3</v>
      </c>
      <c r="P46" s="24">
        <v>1.3</v>
      </c>
    </row>
    <row r="47" spans="1:16" x14ac:dyDescent="0.25">
      <c r="C47" s="370">
        <v>25</v>
      </c>
      <c r="D47" s="371">
        <v>28</v>
      </c>
      <c r="E47" s="24">
        <v>0.98</v>
      </c>
      <c r="F47" s="24">
        <v>0.95340000000000003</v>
      </c>
      <c r="G47" s="24">
        <v>0.98</v>
      </c>
      <c r="H47" s="27">
        <v>0.98</v>
      </c>
      <c r="I47" s="24">
        <v>1.4</v>
      </c>
      <c r="J47" s="24">
        <v>1.3620000000000001</v>
      </c>
      <c r="K47" s="24">
        <v>1.4</v>
      </c>
      <c r="L47" s="24">
        <v>1.4</v>
      </c>
      <c r="M47" s="24">
        <v>1.4</v>
      </c>
      <c r="N47" s="24">
        <v>1.3620000000000001</v>
      </c>
      <c r="O47" s="24">
        <v>1.4</v>
      </c>
      <c r="P47" s="24">
        <v>1.4</v>
      </c>
    </row>
    <row r="48" spans="1:16" x14ac:dyDescent="0.25">
      <c r="C48" s="370">
        <v>28</v>
      </c>
      <c r="D48" s="371">
        <v>31</v>
      </c>
      <c r="E48" s="24">
        <v>0.94499999999999995</v>
      </c>
      <c r="F48" s="24">
        <v>0.91910000000000003</v>
      </c>
      <c r="G48" s="24">
        <v>0.94499999999999995</v>
      </c>
      <c r="H48" s="27">
        <v>0.94499999999999995</v>
      </c>
      <c r="I48" s="24">
        <v>1.35</v>
      </c>
      <c r="J48" s="24">
        <v>1.3129999999999999</v>
      </c>
      <c r="K48" s="24">
        <v>1.35</v>
      </c>
      <c r="L48" s="24">
        <v>1.35</v>
      </c>
      <c r="M48" s="24">
        <v>1.35</v>
      </c>
      <c r="N48" s="24">
        <v>1.3129999999999999</v>
      </c>
      <c r="O48" s="24">
        <v>1.35</v>
      </c>
      <c r="P48" s="24">
        <v>1.35</v>
      </c>
    </row>
    <row r="49" spans="1:16" x14ac:dyDescent="0.25">
      <c r="C49" s="370">
        <v>31</v>
      </c>
      <c r="D49" s="371">
        <v>34</v>
      </c>
      <c r="E49" s="24">
        <v>0.87150000000000005</v>
      </c>
      <c r="F49" s="24">
        <v>0.87009999999999998</v>
      </c>
      <c r="G49" s="24">
        <v>0.87150000000000005</v>
      </c>
      <c r="H49" s="27">
        <v>0.87150000000000005</v>
      </c>
      <c r="I49" s="24">
        <v>1.2450000000000001</v>
      </c>
      <c r="J49" s="24">
        <v>1.2430000000000001</v>
      </c>
      <c r="K49" s="24">
        <v>1.2450000000000001</v>
      </c>
      <c r="L49" s="24">
        <v>1.2450000000000001</v>
      </c>
      <c r="M49" s="24">
        <v>1.2450000000000001</v>
      </c>
      <c r="N49" s="24">
        <v>1.2430000000000001</v>
      </c>
      <c r="O49" s="24">
        <v>1.2450000000000001</v>
      </c>
      <c r="P49" s="24">
        <v>1.2450000000000001</v>
      </c>
    </row>
    <row r="50" spans="1:16" x14ac:dyDescent="0.25">
      <c r="C50" s="370">
        <v>34</v>
      </c>
      <c r="D50" s="371">
        <v>37</v>
      </c>
      <c r="E50" s="24">
        <v>0.83789999999999998</v>
      </c>
      <c r="F50" s="24">
        <v>0.84909999999999997</v>
      </c>
      <c r="G50" s="24">
        <v>0.84909999999999997</v>
      </c>
      <c r="H50" s="27">
        <v>0.84909999999999997</v>
      </c>
      <c r="I50" s="24">
        <v>1.1970000000000001</v>
      </c>
      <c r="J50" s="24">
        <v>1.2130000000000001</v>
      </c>
      <c r="K50" s="24">
        <v>1.2130000000000001</v>
      </c>
      <c r="L50" s="24">
        <v>1.2130000000000001</v>
      </c>
      <c r="M50" s="24">
        <v>1.1970000000000001</v>
      </c>
      <c r="N50" s="24">
        <v>1.2130000000000001</v>
      </c>
      <c r="O50" s="24">
        <v>1.2130000000000001</v>
      </c>
      <c r="P50" s="24">
        <v>1.2130000000000001</v>
      </c>
    </row>
    <row r="51" spans="1:16" x14ac:dyDescent="0.25">
      <c r="C51" s="370">
        <v>37</v>
      </c>
      <c r="D51" s="371">
        <v>43</v>
      </c>
      <c r="E51" s="24">
        <v>0.80500000000000005</v>
      </c>
      <c r="F51" s="24">
        <v>0.82809999999999995</v>
      </c>
      <c r="G51" s="24">
        <v>0.82809999999999995</v>
      </c>
      <c r="H51" s="27">
        <v>0.82809999999999995</v>
      </c>
      <c r="I51" s="24">
        <v>1.1499999999999999</v>
      </c>
      <c r="J51" s="24">
        <v>1.1830000000000001</v>
      </c>
      <c r="K51" s="24">
        <v>1.1830000000000001</v>
      </c>
      <c r="L51" s="24">
        <v>1.1830000000000001</v>
      </c>
      <c r="M51" s="24">
        <v>1.1499999999999999</v>
      </c>
      <c r="N51" s="24">
        <v>1.1830000000000001</v>
      </c>
      <c r="O51" s="24">
        <v>1.1830000000000001</v>
      </c>
      <c r="P51" s="24">
        <v>1.1830000000000001</v>
      </c>
    </row>
    <row r="52" spans="1:16" x14ac:dyDescent="0.25">
      <c r="C52" s="370">
        <v>43</v>
      </c>
      <c r="D52" s="371">
        <v>47</v>
      </c>
      <c r="E52" s="24">
        <v>0.76929999999999998</v>
      </c>
      <c r="F52" s="24">
        <v>0.79169999999999996</v>
      </c>
      <c r="G52" s="24">
        <v>0.79169999999999996</v>
      </c>
      <c r="H52" s="27">
        <v>0.79169999999999996</v>
      </c>
      <c r="I52" s="24">
        <v>1.099</v>
      </c>
      <c r="J52" s="24">
        <v>1.131</v>
      </c>
      <c r="K52" s="24">
        <v>1.131</v>
      </c>
      <c r="L52" s="24">
        <v>1.131</v>
      </c>
      <c r="M52" s="24">
        <v>1.099</v>
      </c>
      <c r="N52" s="24">
        <v>1.131</v>
      </c>
      <c r="O52" s="24">
        <v>1.131</v>
      </c>
      <c r="P52" s="24">
        <v>1.131</v>
      </c>
    </row>
    <row r="53" spans="1:16" x14ac:dyDescent="0.25">
      <c r="C53" s="370">
        <v>47</v>
      </c>
      <c r="D53" s="371">
        <v>51</v>
      </c>
      <c r="E53" s="24">
        <v>0.73429999999999995</v>
      </c>
      <c r="F53" s="24">
        <v>0.76019999999999999</v>
      </c>
      <c r="G53" s="24">
        <v>0.76019999999999999</v>
      </c>
      <c r="H53" s="27">
        <v>0.76019999999999999</v>
      </c>
      <c r="I53" s="24">
        <v>1.0489999999999999</v>
      </c>
      <c r="J53" s="24">
        <v>1.0860000000000001</v>
      </c>
      <c r="K53" s="24">
        <v>1.0860000000000001</v>
      </c>
      <c r="L53" s="24">
        <v>1.0860000000000001</v>
      </c>
      <c r="M53" s="24">
        <v>1.0489999999999999</v>
      </c>
      <c r="N53" s="24">
        <v>1.0860000000000001</v>
      </c>
      <c r="O53" s="24">
        <v>1.0860000000000001</v>
      </c>
      <c r="P53" s="24">
        <v>1.0860000000000001</v>
      </c>
    </row>
    <row r="54" spans="1:16" x14ac:dyDescent="0.25">
      <c r="C54" s="370">
        <v>51</v>
      </c>
      <c r="D54" s="371">
        <v>61</v>
      </c>
      <c r="E54" s="24">
        <v>0.70630000000000004</v>
      </c>
      <c r="F54" s="24">
        <v>0.72799999999999998</v>
      </c>
      <c r="G54" s="24">
        <v>0.72799999999999998</v>
      </c>
      <c r="H54" s="27">
        <v>0.72799999999999998</v>
      </c>
      <c r="I54" s="24">
        <v>1.0089999999999999</v>
      </c>
      <c r="J54" s="24">
        <v>1.04</v>
      </c>
      <c r="K54" s="24">
        <v>1.04</v>
      </c>
      <c r="L54" s="24">
        <v>1.04</v>
      </c>
      <c r="M54" s="24">
        <v>1.0089999999999999</v>
      </c>
      <c r="N54" s="24">
        <v>1.04</v>
      </c>
      <c r="O54" s="24">
        <v>1.04</v>
      </c>
      <c r="P54" s="24">
        <v>1.04</v>
      </c>
    </row>
    <row r="55" spans="1:16" x14ac:dyDescent="0.25">
      <c r="C55" s="370">
        <v>61</v>
      </c>
      <c r="D55" s="371">
        <v>68</v>
      </c>
      <c r="E55" s="24">
        <v>0.7</v>
      </c>
      <c r="F55" s="24">
        <v>0.71399999999999997</v>
      </c>
      <c r="G55" s="24">
        <v>0.71399999999999997</v>
      </c>
      <c r="H55" s="27">
        <v>0.71399999999999997</v>
      </c>
      <c r="I55" s="24">
        <v>1</v>
      </c>
      <c r="J55" s="24">
        <v>1.02</v>
      </c>
      <c r="K55" s="24">
        <v>1.02</v>
      </c>
      <c r="L55" s="24">
        <v>1.02</v>
      </c>
      <c r="M55" s="24">
        <v>1</v>
      </c>
      <c r="N55" s="24">
        <v>1.02</v>
      </c>
      <c r="O55" s="24">
        <v>1.02</v>
      </c>
      <c r="P55" s="24">
        <v>1.02</v>
      </c>
    </row>
    <row r="56" spans="1:16" x14ac:dyDescent="0.25">
      <c r="C56" s="370">
        <v>68</v>
      </c>
      <c r="D56" s="371">
        <v>71</v>
      </c>
      <c r="E56" s="24">
        <v>0.70630000000000004</v>
      </c>
      <c r="F56" s="24">
        <v>0.74129999999999996</v>
      </c>
      <c r="G56" s="24">
        <v>0.74129999999999996</v>
      </c>
      <c r="H56" s="27">
        <v>0.74129999999999996</v>
      </c>
      <c r="I56" s="24">
        <v>1.0089999999999999</v>
      </c>
      <c r="J56" s="24">
        <v>1.0589999999999999</v>
      </c>
      <c r="K56" s="24">
        <v>1.0589999999999999</v>
      </c>
      <c r="L56" s="24">
        <v>1.0589999999999999</v>
      </c>
      <c r="M56" s="24">
        <v>1.0089999999999999</v>
      </c>
      <c r="N56" s="24">
        <v>1.0589999999999999</v>
      </c>
      <c r="O56" s="24">
        <v>1.0589999999999999</v>
      </c>
      <c r="P56" s="24">
        <v>1.0589999999999999</v>
      </c>
    </row>
    <row r="57" spans="1:16" x14ac:dyDescent="0.25">
      <c r="C57" s="370">
        <v>71</v>
      </c>
      <c r="D57" s="371">
        <v>75</v>
      </c>
      <c r="E57" s="24">
        <v>0.72660000000000002</v>
      </c>
      <c r="F57" s="24">
        <v>0.7833</v>
      </c>
      <c r="G57" s="24">
        <v>0.7833</v>
      </c>
      <c r="H57" s="27">
        <v>0.7833</v>
      </c>
      <c r="I57" s="24">
        <v>1.038</v>
      </c>
      <c r="J57" s="24">
        <v>1.119</v>
      </c>
      <c r="K57" s="24">
        <v>1.119</v>
      </c>
      <c r="L57" s="24">
        <v>1.119</v>
      </c>
      <c r="M57" s="24">
        <v>1.038</v>
      </c>
      <c r="N57" s="24">
        <v>1.119</v>
      </c>
      <c r="O57" s="24">
        <v>1.119</v>
      </c>
      <c r="P57" s="24">
        <v>1.119</v>
      </c>
    </row>
    <row r="58" spans="1:16" x14ac:dyDescent="0.25">
      <c r="C58" s="370">
        <v>75</v>
      </c>
      <c r="D58" s="371">
        <v>78</v>
      </c>
      <c r="E58" s="24">
        <v>0.77700000000000002</v>
      </c>
      <c r="F58" s="24">
        <v>0.80500000000000005</v>
      </c>
      <c r="G58" s="24">
        <v>0.80500000000000005</v>
      </c>
      <c r="H58" s="27">
        <v>0.80500000000000005</v>
      </c>
      <c r="I58" s="24">
        <v>1.1100000000000001</v>
      </c>
      <c r="J58" s="24">
        <v>1.1499999999999999</v>
      </c>
      <c r="K58" s="24">
        <v>1.1499999999999999</v>
      </c>
      <c r="L58" s="24">
        <v>1.1499999999999999</v>
      </c>
      <c r="M58" s="24">
        <v>1.1100000000000001</v>
      </c>
      <c r="N58" s="24">
        <v>1.1499999999999999</v>
      </c>
      <c r="O58" s="24">
        <v>1.1499999999999999</v>
      </c>
      <c r="P58" s="24">
        <v>1.1499999999999999</v>
      </c>
    </row>
    <row r="59" spans="1:16" x14ac:dyDescent="0.25">
      <c r="C59" s="370">
        <v>78</v>
      </c>
      <c r="D59" s="371">
        <v>82</v>
      </c>
      <c r="E59" s="24">
        <v>0.91210000000000002</v>
      </c>
      <c r="F59" s="24">
        <v>0.98209999999999997</v>
      </c>
      <c r="G59" s="24">
        <v>0.98209999999999997</v>
      </c>
      <c r="H59" s="27">
        <v>0.98209999999999997</v>
      </c>
      <c r="I59" s="24">
        <v>1.3029999999999999</v>
      </c>
      <c r="J59" s="24">
        <v>1.403</v>
      </c>
      <c r="K59" s="24">
        <v>1.403</v>
      </c>
      <c r="L59" s="24">
        <v>1.403</v>
      </c>
      <c r="M59" s="24">
        <v>1.3029999999999999</v>
      </c>
      <c r="N59" s="24">
        <v>1.403</v>
      </c>
      <c r="O59" s="24">
        <v>1.403</v>
      </c>
      <c r="P59" s="24">
        <v>1.403</v>
      </c>
    </row>
    <row r="60" spans="1:16" x14ac:dyDescent="0.25">
      <c r="C60" s="370">
        <v>82</v>
      </c>
      <c r="D60" s="371">
        <v>87</v>
      </c>
      <c r="E60" s="24">
        <v>0.98</v>
      </c>
      <c r="F60" s="24">
        <v>1.0521</v>
      </c>
      <c r="G60" s="24">
        <v>1.0521</v>
      </c>
      <c r="H60" s="27">
        <v>1.0521</v>
      </c>
      <c r="I60" s="24">
        <v>1.4</v>
      </c>
      <c r="J60" s="24">
        <v>1.5029999999999999</v>
      </c>
      <c r="K60" s="24">
        <v>1.5029999999999999</v>
      </c>
      <c r="L60" s="24">
        <v>1.5029999999999999</v>
      </c>
      <c r="M60" s="24">
        <v>1.4</v>
      </c>
      <c r="N60" s="24">
        <v>1.5029999999999999</v>
      </c>
      <c r="O60" s="24">
        <v>1.5029999999999999</v>
      </c>
      <c r="P60" s="24">
        <v>1.5029999999999999</v>
      </c>
    </row>
    <row r="61" spans="1:16" x14ac:dyDescent="0.25">
      <c r="C61" s="372">
        <v>87</v>
      </c>
      <c r="D61" s="373"/>
      <c r="E61" s="187">
        <v>1.036</v>
      </c>
      <c r="F61" s="187">
        <v>1.1017999999999999</v>
      </c>
      <c r="G61" s="187">
        <v>1.1017999999999999</v>
      </c>
      <c r="H61" s="188">
        <v>1.1017999999999999</v>
      </c>
      <c r="I61" s="187">
        <v>1.48</v>
      </c>
      <c r="J61" s="187">
        <v>1.5740000000000001</v>
      </c>
      <c r="K61" s="187">
        <v>1.5740000000000001</v>
      </c>
      <c r="L61" s="187">
        <v>1.5740000000000001</v>
      </c>
      <c r="M61" s="187">
        <v>1.48</v>
      </c>
      <c r="N61" s="187">
        <v>1.5740000000000001</v>
      </c>
      <c r="O61" s="187">
        <v>1.5740000000000001</v>
      </c>
      <c r="P61" s="187">
        <v>1.5740000000000001</v>
      </c>
    </row>
    <row r="62" spans="1:16" ht="45" x14ac:dyDescent="0.25">
      <c r="A62" s="349" t="s">
        <v>479</v>
      </c>
      <c r="C62" s="345"/>
      <c r="D62" s="346"/>
      <c r="E62" s="347">
        <v>0.98</v>
      </c>
      <c r="F62" s="347">
        <v>1.0521</v>
      </c>
      <c r="G62" s="347">
        <f t="shared" ref="G62:H62" si="0">MAX(E62,F62)</f>
        <v>1.0521</v>
      </c>
      <c r="H62" s="348">
        <f t="shared" si="0"/>
        <v>1.0521</v>
      </c>
      <c r="I62" s="347">
        <v>1.4</v>
      </c>
      <c r="J62" s="347">
        <v>1.5030000000000001</v>
      </c>
      <c r="K62" s="347">
        <f t="shared" ref="K62:L62" si="1" xml:space="preserve"> MAX(I62,J62)</f>
        <v>1.5030000000000001</v>
      </c>
      <c r="L62" s="347">
        <f t="shared" si="1"/>
        <v>1.5030000000000001</v>
      </c>
      <c r="M62" s="347">
        <v>1.19</v>
      </c>
      <c r="N62" s="347">
        <v>1.2775500000000002</v>
      </c>
      <c r="O62" s="347">
        <v>1.2775500000000002</v>
      </c>
      <c r="P62" s="347">
        <v>1.2775500000000002</v>
      </c>
    </row>
    <row r="63" spans="1:16" s="202" customFormat="1" x14ac:dyDescent="0.25"/>
    <row r="64" spans="1:16" s="202" customFormat="1" x14ac:dyDescent="0.25"/>
    <row r="66" spans="3:5" ht="15.75" x14ac:dyDescent="0.25">
      <c r="C66" s="427" t="s">
        <v>308</v>
      </c>
      <c r="D66" s="427"/>
    </row>
    <row r="67" spans="3:5" x14ac:dyDescent="0.25">
      <c r="C67" s="51" t="s">
        <v>11</v>
      </c>
      <c r="D67" s="121" t="s">
        <v>60</v>
      </c>
    </row>
    <row r="68" spans="3:5" x14ac:dyDescent="0.25">
      <c r="C68" s="122" t="s">
        <v>3</v>
      </c>
      <c r="D68" s="48">
        <v>0.95</v>
      </c>
    </row>
    <row r="69" spans="3:5" x14ac:dyDescent="0.25">
      <c r="C69" s="122" t="s">
        <v>2</v>
      </c>
      <c r="D69" s="48">
        <f xml:space="preserve"> 0.95/0.7</f>
        <v>1.3571428571428572</v>
      </c>
    </row>
    <row r="70" spans="3:5" x14ac:dyDescent="0.25">
      <c r="C70" s="120" t="s">
        <v>13</v>
      </c>
      <c r="D70" s="108">
        <v>1.1535714285714285</v>
      </c>
    </row>
    <row r="72" spans="3:5" x14ac:dyDescent="0.25">
      <c r="C72" s="189"/>
    </row>
    <row r="74" spans="3:5" x14ac:dyDescent="0.25">
      <c r="C74" s="420" t="s">
        <v>438</v>
      </c>
      <c r="D74" s="420"/>
      <c r="E74" s="420"/>
    </row>
    <row r="75" spans="3:5" x14ac:dyDescent="0.25">
      <c r="C75" s="83" t="s">
        <v>71</v>
      </c>
      <c r="D75" s="83" t="s">
        <v>11</v>
      </c>
      <c r="E75" s="12" t="s">
        <v>60</v>
      </c>
    </row>
    <row r="76" spans="3:5" x14ac:dyDescent="0.25">
      <c r="C76" s="391" t="s">
        <v>425</v>
      </c>
      <c r="D76" s="421" t="s">
        <v>878</v>
      </c>
      <c r="E76" s="32">
        <v>1.2</v>
      </c>
    </row>
    <row r="77" spans="3:5" x14ac:dyDescent="0.25">
      <c r="C77" s="391" t="s">
        <v>426</v>
      </c>
      <c r="D77" s="421"/>
      <c r="E77" s="32">
        <v>1.1499999999999999</v>
      </c>
    </row>
    <row r="78" spans="3:5" x14ac:dyDescent="0.25">
      <c r="C78" s="391" t="s">
        <v>427</v>
      </c>
      <c r="D78" s="421"/>
      <c r="E78" s="32">
        <v>1.1000000000000001</v>
      </c>
    </row>
    <row r="79" spans="3:5" x14ac:dyDescent="0.25">
      <c r="C79" s="391" t="s">
        <v>428</v>
      </c>
      <c r="D79" s="421"/>
      <c r="E79" s="32">
        <v>1.05</v>
      </c>
    </row>
    <row r="80" spans="3:5" x14ac:dyDescent="0.25">
      <c r="C80" s="392" t="s">
        <v>429</v>
      </c>
      <c r="D80" s="422"/>
      <c r="E80" s="33">
        <v>1</v>
      </c>
    </row>
    <row r="81" spans="3:5" ht="15" x14ac:dyDescent="0.25">
      <c r="C81" s="123"/>
      <c r="D81" s="123"/>
      <c r="E81" s="101">
        <v>1</v>
      </c>
    </row>
  </sheetData>
  <mergeCells count="12">
    <mergeCell ref="C4:D4"/>
    <mergeCell ref="I40:L40"/>
    <mergeCell ref="C66:D66"/>
    <mergeCell ref="C22:D22"/>
    <mergeCell ref="C40:C41"/>
    <mergeCell ref="D40:D41"/>
    <mergeCell ref="E40:H40"/>
    <mergeCell ref="C74:E74"/>
    <mergeCell ref="D76:D80"/>
    <mergeCell ref="M40:P40"/>
    <mergeCell ref="C36:P36"/>
    <mergeCell ref="C14:D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7"/>
  <sheetViews>
    <sheetView topLeftCell="A19" zoomScale="85" zoomScaleNormal="85" workbookViewId="0">
      <selection activeCell="H45" sqref="H45"/>
    </sheetView>
  </sheetViews>
  <sheetFormatPr defaultColWidth="36.140625" defaultRowHeight="15" x14ac:dyDescent="0.25"/>
  <cols>
    <col min="2" max="2" customWidth="true" width="23.42578125" collapsed="true"/>
    <col min="3" max="3" customWidth="true" width="77.0" collapsed="true"/>
    <col min="4" max="4" customWidth="true" style="50" width="30.140625" collapsed="true"/>
  </cols>
  <sheetData>
    <row r="1" spans="2:3" s="50" customFormat="1" x14ac:dyDescent="0.25">
      <c r="B1" s="74"/>
    </row>
    <row r="2" spans="2:3" x14ac:dyDescent="0.25">
      <c r="B2" s="74"/>
    </row>
    <row r="4" spans="2:3" ht="15" customHeight="1" x14ac:dyDescent="0.25">
      <c r="B4" s="436" t="s">
        <v>415</v>
      </c>
      <c r="C4" s="436"/>
    </row>
    <row r="5" spans="2:3" s="50" customFormat="1" x14ac:dyDescent="0.25">
      <c r="B5" s="28" t="s">
        <v>4</v>
      </c>
      <c r="C5" s="15" t="s">
        <v>5</v>
      </c>
    </row>
    <row r="6" spans="2:3" s="50" customFormat="1" x14ac:dyDescent="0.25">
      <c r="B6" s="11" t="s">
        <v>25</v>
      </c>
      <c r="C6" s="13" t="s">
        <v>421</v>
      </c>
    </row>
    <row r="7" spans="2:3" x14ac:dyDescent="0.25">
      <c r="B7" s="11" t="s">
        <v>144</v>
      </c>
      <c r="C7" s="13" t="s">
        <v>171</v>
      </c>
    </row>
    <row r="8" spans="2:3" s="50" customFormat="1" x14ac:dyDescent="0.25">
      <c r="B8" s="11" t="s">
        <v>145</v>
      </c>
      <c r="C8" s="13" t="s">
        <v>172</v>
      </c>
    </row>
    <row r="9" spans="2:3" x14ac:dyDescent="0.25">
      <c r="B9" s="11" t="s">
        <v>150</v>
      </c>
      <c r="C9" s="13" t="s">
        <v>173</v>
      </c>
    </row>
    <row r="10" spans="2:3" x14ac:dyDescent="0.25">
      <c r="B10" s="11" t="s">
        <v>151</v>
      </c>
      <c r="C10" s="13" t="s">
        <v>174</v>
      </c>
    </row>
    <row r="11" spans="2:3" x14ac:dyDescent="0.25">
      <c r="B11" s="11" t="s">
        <v>146</v>
      </c>
      <c r="C11" s="13" t="s">
        <v>26</v>
      </c>
    </row>
    <row r="12" spans="2:3" x14ac:dyDescent="0.25">
      <c r="B12" s="11" t="s">
        <v>147</v>
      </c>
      <c r="C12" s="13" t="s">
        <v>416</v>
      </c>
    </row>
    <row r="13" spans="2:3" x14ac:dyDescent="0.25">
      <c r="B13" s="11" t="s">
        <v>148</v>
      </c>
      <c r="C13" s="13" t="s">
        <v>417</v>
      </c>
    </row>
    <row r="14" spans="2:3" x14ac:dyDescent="0.25">
      <c r="B14" s="11" t="s">
        <v>149</v>
      </c>
      <c r="C14" s="13" t="s">
        <v>418</v>
      </c>
    </row>
    <row r="15" spans="2:3" ht="27" x14ac:dyDescent="0.25">
      <c r="B15" s="11" t="s">
        <v>152</v>
      </c>
      <c r="C15" s="13" t="s">
        <v>154</v>
      </c>
    </row>
    <row r="16" spans="2:3" x14ac:dyDescent="0.25">
      <c r="B16" s="11" t="s">
        <v>153</v>
      </c>
      <c r="C16" s="13" t="s">
        <v>155</v>
      </c>
    </row>
    <row r="17" spans="2:12" x14ac:dyDescent="0.25">
      <c r="B17" s="11" t="s">
        <v>156</v>
      </c>
      <c r="C17" s="13" t="s">
        <v>159</v>
      </c>
    </row>
    <row r="18" spans="2:12" x14ac:dyDescent="0.25">
      <c r="B18" s="11" t="s">
        <v>157</v>
      </c>
      <c r="C18" s="13" t="s">
        <v>158</v>
      </c>
    </row>
    <row r="19" spans="2:12" x14ac:dyDescent="0.25">
      <c r="B19" s="174" t="s">
        <v>24</v>
      </c>
      <c r="C19" s="104" t="s">
        <v>160</v>
      </c>
    </row>
    <row r="20" spans="2:12" x14ac:dyDescent="0.25">
      <c r="K20" s="162"/>
    </row>
    <row r="21" spans="2:12" x14ac:dyDescent="0.25">
      <c r="K21" s="162"/>
    </row>
    <row r="22" spans="2:12" x14ac:dyDescent="0.25">
      <c r="B22" s="50"/>
      <c r="C22" s="50"/>
      <c r="E22" s="50"/>
      <c r="F22" s="50"/>
      <c r="G22" s="50"/>
      <c r="H22" s="50"/>
      <c r="I22" s="50"/>
      <c r="J22" s="50"/>
      <c r="K22" s="162"/>
    </row>
    <row r="23" spans="2:12" x14ac:dyDescent="0.25">
      <c r="B23" s="50"/>
      <c r="C23" s="50"/>
      <c r="E23" s="50"/>
      <c r="F23" s="50"/>
      <c r="G23" s="50"/>
      <c r="H23" s="50"/>
      <c r="I23" s="50"/>
      <c r="J23" s="50"/>
      <c r="K23" s="162"/>
    </row>
    <row r="24" spans="2:12" x14ac:dyDescent="0.25">
      <c r="B24" s="427" t="s">
        <v>419</v>
      </c>
      <c r="C24" s="427"/>
      <c r="D24" s="427"/>
      <c r="E24" s="427"/>
      <c r="F24" s="427"/>
      <c r="G24" s="427"/>
      <c r="H24" s="427"/>
      <c r="I24" s="427"/>
      <c r="J24" s="427"/>
      <c r="K24" s="427"/>
    </row>
    <row r="25" spans="2:12" x14ac:dyDescent="0.25">
      <c r="B25" s="178" t="s">
        <v>14</v>
      </c>
      <c r="C25" s="178" t="s">
        <v>15</v>
      </c>
      <c r="D25" s="179" t="s">
        <v>63</v>
      </c>
      <c r="E25" s="178" t="s">
        <v>19</v>
      </c>
      <c r="F25" s="178" t="s">
        <v>20</v>
      </c>
      <c r="G25" s="75" t="s">
        <v>16</v>
      </c>
      <c r="H25" s="75"/>
      <c r="I25" s="75"/>
      <c r="J25" s="75"/>
      <c r="K25" s="75"/>
    </row>
    <row r="26" spans="2:12" x14ac:dyDescent="0.25">
      <c r="B26" s="75" t="s">
        <v>161</v>
      </c>
      <c r="C26" s="75" t="s">
        <v>164</v>
      </c>
      <c r="D26" s="16" t="s">
        <v>370</v>
      </c>
      <c r="E26" s="75" t="s">
        <v>162</v>
      </c>
      <c r="F26" s="75" t="s">
        <v>163</v>
      </c>
      <c r="G26" s="75" t="s">
        <v>190</v>
      </c>
      <c r="H26" s="75"/>
      <c r="I26" s="75"/>
      <c r="J26" s="75"/>
      <c r="K26" s="75"/>
    </row>
    <row r="27" spans="2:12" x14ac:dyDescent="0.25">
      <c r="B27" s="177" t="s">
        <v>166</v>
      </c>
      <c r="C27" s="177" t="s">
        <v>165</v>
      </c>
      <c r="D27" s="16" t="s">
        <v>420</v>
      </c>
      <c r="E27" s="177" t="s">
        <v>169</v>
      </c>
      <c r="F27" s="177" t="s">
        <v>170</v>
      </c>
      <c r="G27" s="177" t="s">
        <v>31</v>
      </c>
      <c r="H27" s="177"/>
      <c r="I27" s="177"/>
      <c r="J27" s="177"/>
      <c r="K27" s="177"/>
    </row>
    <row r="28" spans="2:12" x14ac:dyDescent="0.25">
      <c r="B28" s="437" t="s">
        <v>143</v>
      </c>
      <c r="C28" s="437" t="s">
        <v>143</v>
      </c>
      <c r="D28" s="438" t="s">
        <v>313</v>
      </c>
      <c r="E28" s="73">
        <v>200</v>
      </c>
      <c r="F28" s="73">
        <v>400</v>
      </c>
      <c r="G28" s="73">
        <v>500</v>
      </c>
      <c r="H28" s="73">
        <v>750</v>
      </c>
      <c r="I28" s="73">
        <v>1000</v>
      </c>
      <c r="J28" s="73">
        <v>2000</v>
      </c>
      <c r="K28" s="73">
        <v>3000</v>
      </c>
      <c r="L28" s="73">
        <v>4000</v>
      </c>
    </row>
    <row r="29" spans="2:12" x14ac:dyDescent="0.25">
      <c r="B29" s="437"/>
      <c r="C29" s="437"/>
      <c r="D29" s="437"/>
      <c r="E29" s="73">
        <v>400</v>
      </c>
      <c r="F29" s="73">
        <v>500</v>
      </c>
      <c r="G29" s="73">
        <v>750</v>
      </c>
      <c r="H29" s="73">
        <v>1000</v>
      </c>
      <c r="I29" s="73">
        <v>2000</v>
      </c>
      <c r="J29" s="73">
        <v>3000</v>
      </c>
      <c r="K29" s="73">
        <v>4000</v>
      </c>
      <c r="L29" s="73"/>
    </row>
    <row r="30" spans="2:12" ht="15.75" customHeight="1" x14ac:dyDescent="0.25">
      <c r="B30" s="25">
        <v>0</v>
      </c>
      <c r="C30" s="25">
        <v>5000</v>
      </c>
      <c r="D30" s="434" t="s">
        <v>414</v>
      </c>
      <c r="E30" s="375">
        <v>1.1499999999999999</v>
      </c>
      <c r="F30" s="71">
        <v>1</v>
      </c>
      <c r="G30" s="71">
        <v>0.95</v>
      </c>
      <c r="H30" s="71">
        <v>0.85</v>
      </c>
      <c r="I30" s="71">
        <v>0.77</v>
      </c>
      <c r="J30" s="375">
        <v>0.7</v>
      </c>
      <c r="K30" s="375">
        <v>0.65</v>
      </c>
      <c r="L30" s="375">
        <v>0.67500000000000004</v>
      </c>
    </row>
    <row r="31" spans="2:12" ht="15.75" customHeight="1" x14ac:dyDescent="0.25">
      <c r="B31" s="25">
        <v>5000</v>
      </c>
      <c r="C31" s="25">
        <v>10000</v>
      </c>
      <c r="D31" s="434"/>
      <c r="E31" s="375">
        <v>1.1499999999999999</v>
      </c>
      <c r="F31" s="71">
        <v>1</v>
      </c>
      <c r="G31" s="71">
        <v>0.95</v>
      </c>
      <c r="H31" s="71">
        <v>0.85</v>
      </c>
      <c r="I31" s="71">
        <v>0.77</v>
      </c>
      <c r="J31" s="375">
        <v>0.7</v>
      </c>
      <c r="K31" s="375">
        <v>0.65</v>
      </c>
      <c r="L31" s="375">
        <v>0.67500000000000004</v>
      </c>
    </row>
    <row r="32" spans="2:12" ht="15.75" customHeight="1" x14ac:dyDescent="0.25">
      <c r="B32" s="25">
        <v>10000</v>
      </c>
      <c r="C32" s="25">
        <v>15000</v>
      </c>
      <c r="D32" s="434"/>
      <c r="E32" s="375">
        <v>1.1499999999999999</v>
      </c>
      <c r="F32" s="71">
        <v>1</v>
      </c>
      <c r="G32" s="71">
        <v>0.95</v>
      </c>
      <c r="H32" s="71">
        <v>0.85</v>
      </c>
      <c r="I32" s="71">
        <v>0.77</v>
      </c>
      <c r="J32" s="375">
        <v>0.7</v>
      </c>
      <c r="K32" s="375">
        <v>0.65</v>
      </c>
      <c r="L32" s="375">
        <v>0.67500000000000004</v>
      </c>
    </row>
    <row r="33" spans="2:12" ht="15.75" customHeight="1" x14ac:dyDescent="0.25">
      <c r="B33" s="25">
        <v>15000</v>
      </c>
      <c r="C33" s="25">
        <v>20000</v>
      </c>
      <c r="D33" s="434"/>
      <c r="E33" s="375">
        <v>1.1499999999999999</v>
      </c>
      <c r="F33" s="71">
        <v>1</v>
      </c>
      <c r="G33" s="71">
        <v>0.95</v>
      </c>
      <c r="H33" s="71">
        <v>0.85</v>
      </c>
      <c r="I33" s="71">
        <v>0.77</v>
      </c>
      <c r="J33" s="375">
        <v>0.7</v>
      </c>
      <c r="K33" s="375">
        <v>0.65</v>
      </c>
      <c r="L33" s="375">
        <v>0.67500000000000004</v>
      </c>
    </row>
    <row r="34" spans="2:12" ht="15.75" customHeight="1" x14ac:dyDescent="0.25">
      <c r="B34" s="25">
        <v>20000</v>
      </c>
      <c r="C34" s="25">
        <v>30000</v>
      </c>
      <c r="D34" s="434"/>
      <c r="E34" s="375">
        <v>1.1499999999999999</v>
      </c>
      <c r="F34" s="71">
        <v>1</v>
      </c>
      <c r="G34" s="71">
        <v>0.95</v>
      </c>
      <c r="H34" s="71">
        <v>0.85</v>
      </c>
      <c r="I34" s="71">
        <v>0.77</v>
      </c>
      <c r="J34" s="375">
        <v>0.7</v>
      </c>
      <c r="K34" s="375">
        <v>0.65</v>
      </c>
      <c r="L34" s="375">
        <v>0.67500000000000004</v>
      </c>
    </row>
    <row r="35" spans="2:12" ht="15.75" customHeight="1" x14ac:dyDescent="0.25">
      <c r="B35" s="25">
        <v>30000</v>
      </c>
      <c r="C35" s="25">
        <v>50000</v>
      </c>
      <c r="D35" s="434"/>
      <c r="E35" s="375">
        <v>1.1499999999999999</v>
      </c>
      <c r="F35" s="71">
        <v>1</v>
      </c>
      <c r="G35" s="71">
        <v>0.95</v>
      </c>
      <c r="H35" s="71">
        <v>0.85</v>
      </c>
      <c r="I35" s="71">
        <v>0.77</v>
      </c>
      <c r="J35" s="375">
        <v>0.7</v>
      </c>
      <c r="K35" s="375">
        <v>0.65</v>
      </c>
      <c r="L35" s="375">
        <v>0.67500000000000004</v>
      </c>
    </row>
    <row r="36" spans="2:12" ht="15.75" customHeight="1" x14ac:dyDescent="0.25">
      <c r="B36" s="25">
        <v>50000</v>
      </c>
      <c r="C36" s="25">
        <v>80000</v>
      </c>
      <c r="D36" s="434"/>
      <c r="E36" s="375">
        <v>1.1499999999999999</v>
      </c>
      <c r="F36" s="71">
        <v>1</v>
      </c>
      <c r="G36" s="71">
        <v>0.95</v>
      </c>
      <c r="H36" s="71">
        <v>0.85</v>
      </c>
      <c r="I36" s="71">
        <v>0.77</v>
      </c>
      <c r="J36" s="375">
        <v>0.7</v>
      </c>
      <c r="K36" s="375">
        <v>0.65</v>
      </c>
      <c r="L36" s="375">
        <v>0.67500000000000004</v>
      </c>
    </row>
    <row r="37" spans="2:12" ht="15.75" customHeight="1" x14ac:dyDescent="0.25">
      <c r="B37" s="25">
        <v>80000</v>
      </c>
      <c r="C37" s="25">
        <v>100000</v>
      </c>
      <c r="D37" s="434"/>
      <c r="E37" s="375">
        <v>1.1499999999999999</v>
      </c>
      <c r="F37" s="71">
        <v>1</v>
      </c>
      <c r="G37" s="71">
        <v>0.95</v>
      </c>
      <c r="H37" s="71">
        <v>0.85</v>
      </c>
      <c r="I37" s="71">
        <v>0.77</v>
      </c>
      <c r="J37" s="375">
        <v>0.7</v>
      </c>
      <c r="K37" s="375">
        <v>0.65</v>
      </c>
      <c r="L37" s="375">
        <v>0.67500000000000004</v>
      </c>
    </row>
    <row r="38" spans="2:12" ht="15.75" customHeight="1" x14ac:dyDescent="0.25">
      <c r="B38" s="25">
        <v>100000</v>
      </c>
      <c r="C38" s="25">
        <v>200000</v>
      </c>
      <c r="D38" s="434"/>
      <c r="E38" s="375">
        <v>1.1499999999999999</v>
      </c>
      <c r="F38" s="71">
        <v>1</v>
      </c>
      <c r="G38" s="71">
        <v>0.95</v>
      </c>
      <c r="H38" s="71">
        <v>0.85</v>
      </c>
      <c r="I38" s="71">
        <v>0.77</v>
      </c>
      <c r="J38" s="375">
        <v>0.7</v>
      </c>
      <c r="K38" s="375">
        <v>0.65</v>
      </c>
      <c r="L38" s="375">
        <v>0.67500000000000004</v>
      </c>
    </row>
    <row r="39" spans="2:12" ht="15.75" customHeight="1" x14ac:dyDescent="0.25">
      <c r="B39" s="173">
        <v>200000</v>
      </c>
      <c r="C39" s="173"/>
      <c r="D39" s="435"/>
      <c r="E39" s="376">
        <v>1.1499999999999999</v>
      </c>
      <c r="F39" s="72">
        <v>1</v>
      </c>
      <c r="G39" s="72">
        <v>0.95</v>
      </c>
      <c r="H39" s="72">
        <v>0.85</v>
      </c>
      <c r="I39" s="72">
        <v>0.77</v>
      </c>
      <c r="J39" s="376">
        <v>0.7</v>
      </c>
      <c r="K39" s="376">
        <v>0.65</v>
      </c>
      <c r="L39" s="376">
        <v>0.67500000000000004</v>
      </c>
    </row>
    <row r="40" spans="2:12" x14ac:dyDescent="0.25">
      <c r="B40" s="208">
        <v>0</v>
      </c>
      <c r="C40" s="208">
        <v>5000</v>
      </c>
      <c r="D40" s="434" t="s">
        <v>477</v>
      </c>
      <c r="E40" s="71">
        <v>-2.5000000000000001E-2</v>
      </c>
      <c r="F40" s="71">
        <v>0</v>
      </c>
      <c r="G40" s="71">
        <v>0.05</v>
      </c>
      <c r="H40" s="71">
        <v>0.15</v>
      </c>
      <c r="I40" s="71">
        <v>0.23</v>
      </c>
      <c r="J40" s="71">
        <v>0.28000000000000003</v>
      </c>
      <c r="K40" s="71">
        <v>0.32</v>
      </c>
      <c r="L40" s="71">
        <v>0.37</v>
      </c>
    </row>
    <row r="41" spans="2:12" s="197" customFormat="1" x14ac:dyDescent="0.25">
      <c r="B41" s="208">
        <v>5000</v>
      </c>
      <c r="C41" s="208">
        <v>10000</v>
      </c>
      <c r="D41" s="434"/>
      <c r="E41" s="71">
        <v>-2.5000000000000001E-2</v>
      </c>
      <c r="F41" s="71">
        <v>0</v>
      </c>
      <c r="G41" s="71">
        <v>0.05</v>
      </c>
      <c r="H41" s="71">
        <v>0.15</v>
      </c>
      <c r="I41" s="71">
        <v>0.23</v>
      </c>
      <c r="J41" s="71">
        <v>0.28000000000000003</v>
      </c>
      <c r="K41" s="71">
        <v>0.32</v>
      </c>
      <c r="L41" s="71">
        <v>0.37</v>
      </c>
    </row>
    <row r="42" spans="2:12" s="197" customFormat="1" x14ac:dyDescent="0.25">
      <c r="B42" s="208">
        <v>10000</v>
      </c>
      <c r="C42" s="208">
        <v>15000</v>
      </c>
      <c r="D42" s="434"/>
      <c r="E42" s="71">
        <v>-7.4999999999999997E-2</v>
      </c>
      <c r="F42" s="71">
        <v>0</v>
      </c>
      <c r="G42" s="71">
        <v>0.05</v>
      </c>
      <c r="H42" s="71">
        <v>0.15</v>
      </c>
      <c r="I42" s="71">
        <v>0.23</v>
      </c>
      <c r="J42" s="71">
        <v>0.28000000000000003</v>
      </c>
      <c r="K42" s="71">
        <v>0.32</v>
      </c>
      <c r="L42" s="71">
        <v>0.37</v>
      </c>
    </row>
    <row r="43" spans="2:12" s="197" customFormat="1" x14ac:dyDescent="0.25">
      <c r="B43" s="208">
        <v>15000</v>
      </c>
      <c r="C43" s="208">
        <v>20000</v>
      </c>
      <c r="D43" s="434"/>
      <c r="E43" s="71">
        <v>-7.4999999999999997E-2</v>
      </c>
      <c r="F43" s="71">
        <v>0</v>
      </c>
      <c r="G43" s="71">
        <v>0.05</v>
      </c>
      <c r="H43" s="71">
        <v>0.15</v>
      </c>
      <c r="I43" s="71">
        <v>0.23</v>
      </c>
      <c r="J43" s="71">
        <v>0.28000000000000003</v>
      </c>
      <c r="K43" s="71">
        <v>0.32</v>
      </c>
      <c r="L43" s="71">
        <v>0.37</v>
      </c>
    </row>
    <row r="44" spans="2:12" s="197" customFormat="1" x14ac:dyDescent="0.25">
      <c r="B44" s="208">
        <v>20000</v>
      </c>
      <c r="C44" s="208">
        <v>30000</v>
      </c>
      <c r="D44" s="434"/>
      <c r="E44" s="71">
        <v>-7.4999999999999997E-2</v>
      </c>
      <c r="F44" s="71">
        <v>0</v>
      </c>
      <c r="G44" s="71">
        <v>0.05</v>
      </c>
      <c r="H44" s="71">
        <v>0.15</v>
      </c>
      <c r="I44" s="71">
        <v>0.23</v>
      </c>
      <c r="J44" s="71">
        <v>0.28000000000000003</v>
      </c>
      <c r="K44" s="71">
        <v>0.32</v>
      </c>
      <c r="L44" s="71">
        <v>0.37</v>
      </c>
    </row>
    <row r="45" spans="2:12" s="197" customFormat="1" x14ac:dyDescent="0.25">
      <c r="B45" s="208">
        <v>30000</v>
      </c>
      <c r="C45" s="208">
        <v>50000</v>
      </c>
      <c r="D45" s="434"/>
      <c r="E45" s="71">
        <v>-0.125</v>
      </c>
      <c r="F45" s="71">
        <v>0</v>
      </c>
      <c r="G45" s="71">
        <v>0.05</v>
      </c>
      <c r="H45" s="71">
        <v>0.15</v>
      </c>
      <c r="I45" s="71">
        <v>0.23</v>
      </c>
      <c r="J45" s="71">
        <v>0.28000000000000003</v>
      </c>
      <c r="K45" s="71">
        <v>0.32</v>
      </c>
      <c r="L45" s="71">
        <v>0.37</v>
      </c>
    </row>
    <row r="46" spans="2:12" s="197" customFormat="1" x14ac:dyDescent="0.25">
      <c r="B46" s="208">
        <v>50000</v>
      </c>
      <c r="C46" s="208">
        <v>80000</v>
      </c>
      <c r="D46" s="434"/>
      <c r="E46" s="71">
        <v>-0.125</v>
      </c>
      <c r="F46" s="71">
        <v>-0.05</v>
      </c>
      <c r="G46" s="71">
        <v>0</v>
      </c>
      <c r="H46" s="71">
        <v>0.05</v>
      </c>
      <c r="I46" s="71">
        <v>0.12</v>
      </c>
      <c r="J46" s="71">
        <v>0.17</v>
      </c>
      <c r="K46" s="71">
        <v>0.21</v>
      </c>
      <c r="L46" s="71">
        <v>0.25</v>
      </c>
    </row>
    <row r="47" spans="2:12" s="197" customFormat="1" x14ac:dyDescent="0.25">
      <c r="B47" s="208">
        <v>80000</v>
      </c>
      <c r="C47" s="208">
        <v>100000</v>
      </c>
      <c r="D47" s="434"/>
      <c r="E47" s="71">
        <v>-0.17499999999999999</v>
      </c>
      <c r="F47" s="71">
        <v>-0.15</v>
      </c>
      <c r="G47" s="71">
        <v>-0.05</v>
      </c>
      <c r="H47" s="71">
        <v>0</v>
      </c>
      <c r="I47" s="71">
        <v>0.05</v>
      </c>
      <c r="J47" s="71">
        <v>0.1</v>
      </c>
      <c r="K47" s="71">
        <v>0.12</v>
      </c>
      <c r="L47" s="71">
        <v>0.17</v>
      </c>
    </row>
    <row r="48" spans="2:12" s="197" customFormat="1" x14ac:dyDescent="0.25">
      <c r="B48" s="208">
        <v>100000</v>
      </c>
      <c r="C48" s="208">
        <v>200000</v>
      </c>
      <c r="D48" s="434"/>
      <c r="E48" s="71">
        <v>-0.17499999999999999</v>
      </c>
      <c r="F48" s="71">
        <v>-0.25</v>
      </c>
      <c r="G48" s="71">
        <v>-0.15</v>
      </c>
      <c r="H48" s="71">
        <v>-0.05</v>
      </c>
      <c r="I48" s="71">
        <v>0</v>
      </c>
      <c r="J48" s="71">
        <v>0.03</v>
      </c>
      <c r="K48" s="71">
        <v>0.05</v>
      </c>
      <c r="L48" s="71">
        <v>0.09</v>
      </c>
    </row>
    <row r="49" spans="2:12" s="197" customFormat="1" x14ac:dyDescent="0.25">
      <c r="B49" s="209">
        <v>200000</v>
      </c>
      <c r="C49" s="209"/>
      <c r="D49" s="435"/>
      <c r="E49" s="72">
        <v>-0.27500000000000002</v>
      </c>
      <c r="F49" s="72">
        <v>-0.35</v>
      </c>
      <c r="G49" s="72">
        <v>-0.25</v>
      </c>
      <c r="H49" s="72">
        <v>-0.1</v>
      </c>
      <c r="I49" s="72">
        <v>-0.05</v>
      </c>
      <c r="J49" s="72">
        <v>0</v>
      </c>
      <c r="K49" s="72">
        <v>0</v>
      </c>
      <c r="L49" s="72">
        <v>0.05</v>
      </c>
    </row>
    <row r="50" spans="2:12" s="197" customFormat="1" x14ac:dyDescent="0.25"/>
    <row r="51" spans="2:12" s="197" customFormat="1" x14ac:dyDescent="0.25"/>
    <row r="52" spans="2:12" s="197" customFormat="1" x14ac:dyDescent="0.25"/>
    <row r="53" spans="2:12" s="197" customFormat="1" x14ac:dyDescent="0.25"/>
    <row r="54" spans="2:12" s="197" customFormat="1" x14ac:dyDescent="0.25"/>
    <row r="55" spans="2:12" s="197" customFormat="1" x14ac:dyDescent="0.25"/>
    <row r="56" spans="2:12" s="197" customFormat="1" x14ac:dyDescent="0.25"/>
    <row r="57" spans="2:12" s="197" customFormat="1" x14ac:dyDescent="0.25"/>
    <row r="58" spans="2:12" s="197" customFormat="1" x14ac:dyDescent="0.25"/>
    <row r="59" spans="2:12" s="197" customFormat="1" x14ac:dyDescent="0.25"/>
    <row r="60" spans="2:12" s="197" customFormat="1" x14ac:dyDescent="0.25"/>
    <row r="61" spans="2:12" s="197" customFormat="1" x14ac:dyDescent="0.25">
      <c r="B61" s="216"/>
      <c r="C61" s="216"/>
    </row>
    <row r="62" spans="2:12" s="197" customFormat="1" x14ac:dyDescent="0.25">
      <c r="B62" s="216"/>
      <c r="C62" s="216"/>
    </row>
    <row r="63" spans="2:12" x14ac:dyDescent="0.25">
      <c r="B63" s="216"/>
      <c r="C63" s="216"/>
    </row>
    <row r="64" spans="2:12" x14ac:dyDescent="0.25">
      <c r="B64" s="216"/>
      <c r="C64" s="216"/>
    </row>
    <row r="65" spans="2:3" x14ac:dyDescent="0.25">
      <c r="B65" s="216"/>
      <c r="C65" s="216"/>
    </row>
    <row r="66" spans="2:3" x14ac:dyDescent="0.25">
      <c r="B66" s="216"/>
      <c r="C66" s="216"/>
    </row>
    <row r="67" spans="2:3" x14ac:dyDescent="0.25">
      <c r="B67" s="216"/>
      <c r="C67" s="216"/>
    </row>
    <row r="68" spans="2:3" x14ac:dyDescent="0.25">
      <c r="B68" s="216"/>
      <c r="C68" s="216"/>
    </row>
    <row r="69" spans="2:3" s="50" customFormat="1" x14ac:dyDescent="0.25">
      <c r="B69" s="216"/>
      <c r="C69" s="216"/>
    </row>
    <row r="70" spans="2:3" s="50" customFormat="1" x14ac:dyDescent="0.25">
      <c r="B70" s="216"/>
      <c r="C70" s="216"/>
    </row>
    <row r="71" spans="2:3" x14ac:dyDescent="0.25">
      <c r="B71" s="216"/>
      <c r="C71" s="216"/>
    </row>
    <row r="72" spans="2:3" x14ac:dyDescent="0.25">
      <c r="B72" s="216"/>
      <c r="C72" s="216"/>
    </row>
    <row r="73" spans="2:3" x14ac:dyDescent="0.25">
      <c r="B73" s="216"/>
      <c r="C73" s="216"/>
    </row>
    <row r="74" spans="2:3" x14ac:dyDescent="0.25">
      <c r="B74" s="216"/>
      <c r="C74" s="216"/>
    </row>
    <row r="75" spans="2:3" x14ac:dyDescent="0.25">
      <c r="B75" s="216"/>
      <c r="C75" s="216"/>
    </row>
    <row r="76" spans="2:3" x14ac:dyDescent="0.25">
      <c r="B76" s="216"/>
      <c r="C76" s="216"/>
    </row>
    <row r="77" spans="2:3" x14ac:dyDescent="0.25">
      <c r="B77" s="216"/>
      <c r="C77" s="216"/>
    </row>
  </sheetData>
  <mergeCells count="7">
    <mergeCell ref="D40:D49"/>
    <mergeCell ref="B4:C4"/>
    <mergeCell ref="B28:B29"/>
    <mergeCell ref="C28:C29"/>
    <mergeCell ref="D28:D29"/>
    <mergeCell ref="D30:D39"/>
    <mergeCell ref="B24:K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opLeftCell="C19" zoomScale="85" zoomScaleNormal="85" workbookViewId="0">
      <selection activeCell="D29" sqref="D29"/>
    </sheetView>
  </sheetViews>
  <sheetFormatPr defaultColWidth="53.5703125" defaultRowHeight="15" x14ac:dyDescent="0.25"/>
  <cols>
    <col min="1" max="1" customWidth="true" width="20.28515625" collapsed="true"/>
    <col min="2" max="2" customWidth="true" width="15.28515625" collapsed="true"/>
    <col min="4" max="4" customWidth="true" width="79.5703125" collapsed="false"/>
  </cols>
  <sheetData>
    <row r="1" spans="3:5" s="162" customFormat="1" x14ac:dyDescent="0.25"/>
    <row r="2" spans="3:5" s="162" customFormat="1" x14ac:dyDescent="0.25"/>
    <row r="3" spans="3:5" s="162" customFormat="1" x14ac:dyDescent="0.25"/>
    <row r="4" spans="3:5" s="162" customFormat="1" x14ac:dyDescent="0.25">
      <c r="C4" s="439" t="s">
        <v>410</v>
      </c>
      <c r="D4" s="439"/>
    </row>
    <row r="5" spans="3:5" s="162" customFormat="1" x14ac:dyDescent="0.25">
      <c r="C5" s="28" t="s">
        <v>4</v>
      </c>
      <c r="D5" s="15" t="s">
        <v>5</v>
      </c>
    </row>
    <row r="6" spans="3:5" s="162" customFormat="1" x14ac:dyDescent="0.25">
      <c r="C6" s="11" t="s">
        <v>87</v>
      </c>
      <c r="D6" s="13" t="s">
        <v>88</v>
      </c>
    </row>
    <row r="7" spans="3:5" s="162" customFormat="1" x14ac:dyDescent="0.25">
      <c r="C7" s="11" t="s">
        <v>25</v>
      </c>
      <c r="D7" s="13" t="s">
        <v>411</v>
      </c>
    </row>
    <row r="8" spans="3:5" s="162" customFormat="1" x14ac:dyDescent="0.25">
      <c r="C8" s="11" t="s">
        <v>30</v>
      </c>
      <c r="D8" s="13" t="s">
        <v>171</v>
      </c>
    </row>
    <row r="9" spans="3:5" s="162" customFormat="1" x14ac:dyDescent="0.25">
      <c r="C9" s="11" t="s">
        <v>115</v>
      </c>
      <c r="D9" s="13" t="s">
        <v>172</v>
      </c>
    </row>
    <row r="10" spans="3:5" s="162" customFormat="1" x14ac:dyDescent="0.25">
      <c r="C10" s="11" t="s">
        <v>32</v>
      </c>
      <c r="D10" s="13" t="s">
        <v>26</v>
      </c>
    </row>
    <row r="11" spans="3:5" s="162" customFormat="1" x14ac:dyDescent="0.25">
      <c r="C11" s="11" t="s">
        <v>113</v>
      </c>
      <c r="D11" s="13" t="s">
        <v>412</v>
      </c>
    </row>
    <row r="12" spans="3:5" s="162" customFormat="1" x14ac:dyDescent="0.25">
      <c r="C12" s="11" t="s">
        <v>27</v>
      </c>
      <c r="D12" s="13" t="s">
        <v>116</v>
      </c>
    </row>
    <row r="13" spans="3:5" s="82" customFormat="1" x14ac:dyDescent="0.25">
      <c r="C13" s="174" t="s">
        <v>24</v>
      </c>
      <c r="D13" s="104" t="s">
        <v>114</v>
      </c>
    </row>
    <row r="14" spans="3:5" s="162" customFormat="1" x14ac:dyDescent="0.25"/>
    <row r="15" spans="3:5" s="162" customFormat="1" x14ac:dyDescent="0.25"/>
    <row r="16" spans="3:5" s="82" customFormat="1" x14ac:dyDescent="0.25">
      <c r="C16" s="162"/>
      <c r="D16" s="162"/>
      <c r="E16" s="162"/>
    </row>
    <row r="17" spans="2:14" ht="15.75" x14ac:dyDescent="0.25">
      <c r="C17" s="412" t="s">
        <v>413</v>
      </c>
      <c r="D17" s="412"/>
      <c r="E17" s="412"/>
      <c r="F17" s="412"/>
      <c r="G17" s="412"/>
    </row>
    <row r="18" spans="2:14" x14ac:dyDescent="0.25">
      <c r="C18" s="40" t="s">
        <v>14</v>
      </c>
      <c r="D18" s="40" t="s">
        <v>15</v>
      </c>
      <c r="E18" s="40" t="s">
        <v>63</v>
      </c>
      <c r="F18" s="21" t="s">
        <v>19</v>
      </c>
      <c r="G18" s="19" t="s">
        <v>16</v>
      </c>
    </row>
    <row r="19" spans="2:14" x14ac:dyDescent="0.25">
      <c r="C19" s="17" t="s">
        <v>186</v>
      </c>
      <c r="D19" s="16" t="s">
        <v>187</v>
      </c>
      <c r="E19" s="16" t="s">
        <v>370</v>
      </c>
      <c r="F19" s="20" t="s">
        <v>91</v>
      </c>
      <c r="G19" s="21" t="s">
        <v>189</v>
      </c>
    </row>
    <row r="20" spans="2:14" x14ac:dyDescent="0.25">
      <c r="C20" s="17" t="s">
        <v>167</v>
      </c>
      <c r="D20" s="16" t="s">
        <v>168</v>
      </c>
      <c r="E20" s="16" t="s">
        <v>420</v>
      </c>
      <c r="F20" s="175" t="s">
        <v>92</v>
      </c>
      <c r="G20" s="176" t="s">
        <v>31</v>
      </c>
    </row>
    <row r="21" spans="2:14" x14ac:dyDescent="0.25">
      <c r="C21" s="172" t="s">
        <v>89</v>
      </c>
      <c r="D21" s="46" t="s">
        <v>90</v>
      </c>
      <c r="E21" s="46" t="s">
        <v>313</v>
      </c>
      <c r="F21" s="44" t="s">
        <v>3</v>
      </c>
      <c r="G21" s="44" t="s">
        <v>13</v>
      </c>
    </row>
    <row r="22" spans="2:14" x14ac:dyDescent="0.25">
      <c r="C22" s="377">
        <v>0</v>
      </c>
      <c r="D22" s="408">
        <v>1000</v>
      </c>
      <c r="E22" s="440" t="s">
        <v>414</v>
      </c>
      <c r="F22" s="42">
        <v>469.2</v>
      </c>
      <c r="G22" s="42">
        <v>469.2</v>
      </c>
    </row>
    <row r="23" spans="2:14" x14ac:dyDescent="0.25">
      <c r="C23" s="377">
        <v>1000</v>
      </c>
      <c r="D23" s="408">
        <v>3000</v>
      </c>
      <c r="E23" s="440"/>
      <c r="F23" s="42">
        <v>469.2</v>
      </c>
      <c r="G23" s="42">
        <v>469.2</v>
      </c>
    </row>
    <row r="24" spans="2:14" x14ac:dyDescent="0.25">
      <c r="C24" s="377">
        <v>3000</v>
      </c>
      <c r="D24" s="408">
        <v>5000</v>
      </c>
      <c r="E24" s="440"/>
      <c r="F24" s="42">
        <v>750.72</v>
      </c>
      <c r="G24" s="42">
        <v>750.72</v>
      </c>
    </row>
    <row r="25" spans="2:14" x14ac:dyDescent="0.25">
      <c r="B25" s="251"/>
      <c r="C25" s="377">
        <v>5000</v>
      </c>
      <c r="D25" s="408">
        <v>10000</v>
      </c>
      <c r="E25" s="440"/>
      <c r="F25" s="42">
        <v>938.4</v>
      </c>
      <c r="G25" s="42">
        <v>938.4</v>
      </c>
    </row>
    <row r="26" spans="2:14" x14ac:dyDescent="0.25">
      <c r="B26" s="251"/>
      <c r="C26" s="377">
        <v>10000</v>
      </c>
      <c r="D26" s="408">
        <v>20000</v>
      </c>
      <c r="E26" s="440"/>
      <c r="F26" s="42">
        <v>1173</v>
      </c>
      <c r="G26" s="42">
        <v>1173</v>
      </c>
    </row>
    <row r="27" spans="2:14" x14ac:dyDescent="0.25">
      <c r="B27" s="251"/>
      <c r="C27" s="377">
        <v>20000</v>
      </c>
      <c r="D27" s="408">
        <v>300000</v>
      </c>
      <c r="E27" s="440"/>
      <c r="F27" s="42">
        <v>1407.6</v>
      </c>
      <c r="G27" s="42">
        <v>1407.6</v>
      </c>
    </row>
    <row r="28" spans="2:14" s="251" customFormat="1" x14ac:dyDescent="0.25">
      <c r="C28" s="377">
        <v>300000</v>
      </c>
      <c r="D28" s="408">
        <v>500000</v>
      </c>
      <c r="E28" s="440"/>
      <c r="F28" s="42">
        <v>4692</v>
      </c>
      <c r="G28" s="42">
        <v>4692</v>
      </c>
    </row>
    <row r="29" spans="2:14" x14ac:dyDescent="0.25">
      <c r="B29" s="251"/>
      <c r="C29" s="378">
        <v>500000</v>
      </c>
      <c r="D29" s="379">
        <v>10000000</v>
      </c>
      <c r="E29" s="441"/>
      <c r="F29" s="407">
        <v>118472.99</v>
      </c>
      <c r="G29" s="407">
        <v>118472.99</v>
      </c>
    </row>
    <row r="30" spans="2:14" x14ac:dyDescent="0.25">
      <c r="C30" s="192">
        <v>0</v>
      </c>
      <c r="D30" s="45">
        <v>5000</v>
      </c>
      <c r="E30" s="440" t="s">
        <v>477</v>
      </c>
      <c r="F30" s="42">
        <v>1</v>
      </c>
      <c r="G30" s="42">
        <v>1</v>
      </c>
      <c r="H30" s="162"/>
      <c r="I30" s="162"/>
      <c r="J30" s="162"/>
      <c r="K30" s="162"/>
      <c r="L30" s="162"/>
      <c r="M30" s="162"/>
      <c r="N30" s="162"/>
    </row>
    <row r="31" spans="2:14" s="162" customFormat="1" x14ac:dyDescent="0.25">
      <c r="C31" s="192">
        <v>5000</v>
      </c>
      <c r="D31" s="45">
        <v>10000</v>
      </c>
      <c r="E31" s="440"/>
      <c r="F31" s="42">
        <v>2</v>
      </c>
      <c r="G31" s="42">
        <v>2</v>
      </c>
    </row>
    <row r="32" spans="2:14" x14ac:dyDescent="0.25">
      <c r="C32" s="192">
        <v>10000</v>
      </c>
      <c r="D32" s="45">
        <v>20000</v>
      </c>
      <c r="E32" s="440"/>
      <c r="F32" s="42">
        <v>2.52</v>
      </c>
      <c r="G32" s="42">
        <v>2.52</v>
      </c>
    </row>
    <row r="33" spans="1:7" x14ac:dyDescent="0.25">
      <c r="C33" s="192">
        <v>20000</v>
      </c>
      <c r="D33" s="45">
        <v>40000</v>
      </c>
      <c r="E33" s="440"/>
      <c r="F33" s="42">
        <v>3.3264</v>
      </c>
      <c r="G33" s="42">
        <v>3.3264</v>
      </c>
    </row>
    <row r="34" spans="1:7" x14ac:dyDescent="0.25">
      <c r="A34" s="380" t="s">
        <v>902</v>
      </c>
      <c r="C34" s="192">
        <v>40000</v>
      </c>
      <c r="D34" s="45">
        <v>80000</v>
      </c>
      <c r="E34" s="440"/>
      <c r="F34" s="42">
        <v>4.2577920000000002</v>
      </c>
      <c r="G34" s="42">
        <v>4.2577920000000002</v>
      </c>
    </row>
    <row r="35" spans="1:7" x14ac:dyDescent="0.25">
      <c r="C35" s="192">
        <v>80000</v>
      </c>
      <c r="D35" s="45">
        <v>100000</v>
      </c>
      <c r="E35" s="440"/>
      <c r="F35" s="42">
        <v>5.49255168</v>
      </c>
      <c r="G35" s="42">
        <v>5.49255168</v>
      </c>
    </row>
    <row r="36" spans="1:7" x14ac:dyDescent="0.25">
      <c r="C36" s="192">
        <v>100000</v>
      </c>
      <c r="D36" s="45">
        <v>120000</v>
      </c>
      <c r="E36" s="440"/>
      <c r="F36" s="42">
        <v>6.3164344319999994</v>
      </c>
      <c r="G36" s="42">
        <v>6.3164344319999994</v>
      </c>
    </row>
    <row r="37" spans="1:7" x14ac:dyDescent="0.25">
      <c r="C37" s="192">
        <v>120000</v>
      </c>
      <c r="D37" s="45">
        <v>300000</v>
      </c>
      <c r="E37" s="440"/>
      <c r="F37" s="42">
        <v>7.1059887359999996</v>
      </c>
      <c r="G37" s="42">
        <v>7.1059887359999996</v>
      </c>
    </row>
    <row r="38" spans="1:7" x14ac:dyDescent="0.25">
      <c r="C38" s="192">
        <v>300000</v>
      </c>
      <c r="D38" s="45">
        <v>600000</v>
      </c>
      <c r="E38" s="440"/>
      <c r="F38" s="42">
        <v>12.0801808512</v>
      </c>
      <c r="G38" s="42">
        <v>12.0801808512</v>
      </c>
    </row>
    <row r="39" spans="1:7" x14ac:dyDescent="0.25">
      <c r="C39" s="192">
        <v>600000</v>
      </c>
      <c r="D39" s="45">
        <v>1000000</v>
      </c>
      <c r="E39" s="440"/>
      <c r="F39" s="42">
        <v>24.160361702399999</v>
      </c>
      <c r="G39" s="42">
        <v>24.160361702399999</v>
      </c>
    </row>
    <row r="40" spans="1:7" x14ac:dyDescent="0.25">
      <c r="C40" s="81">
        <v>1000000</v>
      </c>
      <c r="D40" s="47"/>
      <c r="E40" s="441"/>
      <c r="F40" s="43">
        <v>50.736759575040004</v>
      </c>
      <c r="G40" s="43">
        <v>50.736759575040004</v>
      </c>
    </row>
  </sheetData>
  <mergeCells count="4">
    <mergeCell ref="C4:D4"/>
    <mergeCell ref="C17:G17"/>
    <mergeCell ref="E22:E29"/>
    <mergeCell ref="E30:E4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B1:G45"/>
  <sheetViews>
    <sheetView topLeftCell="A10" zoomScale="70" zoomScaleNormal="70" workbookViewId="0">
      <selection activeCell="D27" sqref="D27"/>
    </sheetView>
  </sheetViews>
  <sheetFormatPr defaultRowHeight="15" x14ac:dyDescent="0.25"/>
  <cols>
    <col min="1" max="1" style="82" width="9.140625" collapsed="true"/>
    <col min="3" max="3" bestFit="true" customWidth="true" width="26.42578125" collapsed="true"/>
    <col min="4" max="4" customWidth="true" width="147.7109375" collapsed="true"/>
    <col min="5" max="5" bestFit="true" customWidth="true" width="72.28515625" collapsed="true"/>
    <col min="6" max="6" bestFit="true" customWidth="true" width="71.42578125" collapsed="true"/>
  </cols>
  <sheetData>
    <row r="1" spans="3:7" s="82" customFormat="1" x14ac:dyDescent="0.25"/>
    <row r="2" spans="3:7" s="82" customFormat="1" x14ac:dyDescent="0.25"/>
    <row r="3" spans="3:7" s="82" customFormat="1" x14ac:dyDescent="0.25"/>
    <row r="4" spans="3:7" s="82" customFormat="1" x14ac:dyDescent="0.25">
      <c r="C4" s="443" t="s">
        <v>532</v>
      </c>
      <c r="D4" s="443"/>
    </row>
    <row r="5" spans="3:7" s="82" customFormat="1" x14ac:dyDescent="0.25">
      <c r="C5" s="14" t="s">
        <v>4</v>
      </c>
      <c r="D5" s="15" t="s">
        <v>5</v>
      </c>
    </row>
    <row r="6" spans="3:7" s="197" customFormat="1" x14ac:dyDescent="0.25">
      <c r="C6" s="201" t="s">
        <v>531</v>
      </c>
      <c r="D6" s="203" t="s">
        <v>529</v>
      </c>
    </row>
    <row r="7" spans="3:7" s="82" customFormat="1" x14ac:dyDescent="0.25">
      <c r="C7" s="7" t="s">
        <v>355</v>
      </c>
      <c r="D7" s="203" t="s">
        <v>533</v>
      </c>
    </row>
    <row r="8" spans="3:7" s="82" customFormat="1" x14ac:dyDescent="0.25">
      <c r="C8" s="7" t="s">
        <v>356</v>
      </c>
      <c r="D8" s="203" t="s">
        <v>534</v>
      </c>
    </row>
    <row r="9" spans="3:7" s="82" customFormat="1" x14ac:dyDescent="0.25">
      <c r="C9" s="7" t="s">
        <v>357</v>
      </c>
      <c r="D9" s="203" t="s">
        <v>535</v>
      </c>
    </row>
    <row r="10" spans="3:7" s="82" customFormat="1" x14ac:dyDescent="0.25">
      <c r="C10" s="7" t="s">
        <v>346</v>
      </c>
      <c r="D10" s="255" t="s">
        <v>586</v>
      </c>
    </row>
    <row r="11" spans="3:7" s="82" customFormat="1" x14ac:dyDescent="0.25">
      <c r="C11" s="7" t="s">
        <v>347</v>
      </c>
      <c r="D11" s="247" t="s">
        <v>766</v>
      </c>
    </row>
    <row r="12" spans="3:7" s="82" customFormat="1" x14ac:dyDescent="0.25">
      <c r="C12" s="105" t="s">
        <v>24</v>
      </c>
      <c r="D12" s="104" t="s">
        <v>348</v>
      </c>
    </row>
    <row r="13" spans="3:7" s="82" customFormat="1" x14ac:dyDescent="0.25"/>
    <row r="14" spans="3:7" s="82" customFormat="1" x14ac:dyDescent="0.25"/>
    <row r="16" spans="3:7" x14ac:dyDescent="0.25">
      <c r="C16" s="442" t="s">
        <v>359</v>
      </c>
      <c r="D16" s="442"/>
      <c r="E16" s="10"/>
      <c r="F16" s="10"/>
      <c r="G16" s="10"/>
    </row>
    <row r="17" spans="3:7" x14ac:dyDescent="0.25">
      <c r="C17" s="28" t="s">
        <v>4</v>
      </c>
      <c r="D17" s="15" t="s">
        <v>5</v>
      </c>
      <c r="E17" s="10"/>
      <c r="F17" s="10"/>
      <c r="G17" s="10"/>
    </row>
    <row r="18" spans="3:7" x14ac:dyDescent="0.25">
      <c r="C18" s="11" t="s">
        <v>25</v>
      </c>
      <c r="D18" s="13" t="s">
        <v>360</v>
      </c>
      <c r="E18" s="10"/>
      <c r="F18" s="10"/>
      <c r="G18" s="10"/>
    </row>
    <row r="19" spans="3:7" x14ac:dyDescent="0.25">
      <c r="C19" s="11" t="s">
        <v>350</v>
      </c>
      <c r="D19" s="13" t="s">
        <v>171</v>
      </c>
      <c r="E19" s="10"/>
      <c r="F19" s="10"/>
      <c r="G19" s="10"/>
    </row>
    <row r="20" spans="3:7" x14ac:dyDescent="0.25">
      <c r="C20" s="11" t="s">
        <v>351</v>
      </c>
      <c r="D20" s="13" t="s">
        <v>172</v>
      </c>
      <c r="E20" s="10"/>
      <c r="F20" s="10"/>
      <c r="G20" s="10"/>
    </row>
    <row r="21" spans="3:7" x14ac:dyDescent="0.25">
      <c r="C21" s="11" t="s">
        <v>353</v>
      </c>
      <c r="D21" s="13" t="s">
        <v>26</v>
      </c>
      <c r="E21" s="10"/>
      <c r="F21" s="10"/>
      <c r="G21" s="10"/>
    </row>
    <row r="22" spans="3:7" x14ac:dyDescent="0.25">
      <c r="C22" s="11" t="s">
        <v>354</v>
      </c>
      <c r="D22" s="13" t="s">
        <v>362</v>
      </c>
      <c r="E22" s="10"/>
      <c r="F22" s="10"/>
      <c r="G22" s="10"/>
    </row>
    <row r="23" spans="3:7" x14ac:dyDescent="0.25">
      <c r="C23" s="11" t="s">
        <v>27</v>
      </c>
      <c r="D23" s="13" t="s">
        <v>352</v>
      </c>
      <c r="E23" s="10"/>
      <c r="F23" s="10"/>
      <c r="G23" s="10"/>
    </row>
    <row r="24" spans="3:7" x14ac:dyDescent="0.25">
      <c r="C24" s="138" t="s">
        <v>24</v>
      </c>
      <c r="D24" s="139" t="s">
        <v>358</v>
      </c>
      <c r="E24" s="10"/>
      <c r="F24" s="10"/>
      <c r="G24" s="10"/>
    </row>
    <row r="25" spans="3:7" x14ac:dyDescent="0.25">
      <c r="C25" s="10"/>
      <c r="D25" s="10"/>
      <c r="E25" s="10"/>
      <c r="F25" s="10"/>
      <c r="G25" s="10"/>
    </row>
    <row r="26" spans="3:7" s="82" customFormat="1" x14ac:dyDescent="0.25">
      <c r="C26" s="10"/>
      <c r="D26" s="10"/>
      <c r="E26" s="10"/>
      <c r="F26" s="10"/>
      <c r="G26" s="10"/>
    </row>
    <row r="27" spans="3:7" x14ac:dyDescent="0.25">
      <c r="C27" s="10"/>
      <c r="D27" s="10"/>
      <c r="E27" s="10"/>
      <c r="F27" s="10"/>
      <c r="G27" s="10"/>
    </row>
    <row r="28" spans="3:7" ht="15.75" x14ac:dyDescent="0.25">
      <c r="C28" s="412" t="s">
        <v>361</v>
      </c>
      <c r="D28" s="412"/>
      <c r="E28" s="412"/>
      <c r="F28" s="10"/>
      <c r="G28" s="10"/>
    </row>
    <row r="29" spans="3:7" x14ac:dyDescent="0.25">
      <c r="C29" s="40" t="s">
        <v>14</v>
      </c>
      <c r="D29" s="40" t="s">
        <v>15</v>
      </c>
      <c r="E29" s="19" t="s">
        <v>16</v>
      </c>
      <c r="F29" s="10"/>
    </row>
    <row r="30" spans="3:7" x14ac:dyDescent="0.25">
      <c r="C30" s="17" t="s">
        <v>341</v>
      </c>
      <c r="D30" s="17" t="s">
        <v>343</v>
      </c>
      <c r="E30" s="21" t="s">
        <v>345</v>
      </c>
      <c r="F30" s="10"/>
    </row>
    <row r="31" spans="3:7" x14ac:dyDescent="0.25">
      <c r="C31" s="17" t="s">
        <v>342</v>
      </c>
      <c r="D31" s="17" t="s">
        <v>344</v>
      </c>
      <c r="E31" s="22" t="s">
        <v>31</v>
      </c>
      <c r="F31" s="10"/>
    </row>
    <row r="32" spans="3:7" x14ac:dyDescent="0.25">
      <c r="C32" s="125" t="s">
        <v>338</v>
      </c>
      <c r="D32" s="125" t="s">
        <v>339</v>
      </c>
      <c r="E32" s="145" t="s">
        <v>340</v>
      </c>
      <c r="F32" s="10"/>
    </row>
    <row r="33" spans="2:7" x14ac:dyDescent="0.25">
      <c r="C33" s="142">
        <v>0</v>
      </c>
      <c r="D33" s="143">
        <v>1</v>
      </c>
      <c r="E33" s="381">
        <v>0.4</v>
      </c>
      <c r="F33" s="10"/>
    </row>
    <row r="34" spans="2:7" x14ac:dyDescent="0.25">
      <c r="C34" s="142">
        <v>1</v>
      </c>
      <c r="D34" s="143">
        <v>2</v>
      </c>
      <c r="E34" s="381">
        <v>0.55000000000000004</v>
      </c>
      <c r="F34" s="10"/>
    </row>
    <row r="35" spans="2:7" x14ac:dyDescent="0.25">
      <c r="C35" s="142">
        <v>2</v>
      </c>
      <c r="D35" s="143">
        <v>3</v>
      </c>
      <c r="E35" s="382">
        <v>0.7</v>
      </c>
      <c r="F35" s="10"/>
    </row>
    <row r="36" spans="2:7" x14ac:dyDescent="0.25">
      <c r="C36" s="142">
        <v>3</v>
      </c>
      <c r="D36" s="143">
        <v>4</v>
      </c>
      <c r="E36" s="382">
        <v>0.85</v>
      </c>
      <c r="F36" s="10"/>
    </row>
    <row r="37" spans="2:7" x14ac:dyDescent="0.25">
      <c r="C37" s="384">
        <v>4</v>
      </c>
      <c r="D37" s="144"/>
      <c r="E37" s="383">
        <v>1.1000000000000001</v>
      </c>
      <c r="F37" s="10"/>
    </row>
    <row r="38" spans="2:7" x14ac:dyDescent="0.25">
      <c r="C38" s="82"/>
      <c r="D38" s="82"/>
      <c r="E38" s="141"/>
      <c r="F38" s="10"/>
    </row>
    <row r="39" spans="2:7" x14ac:dyDescent="0.25">
      <c r="B39" s="82"/>
      <c r="C39" s="82"/>
      <c r="D39" s="82"/>
      <c r="E39" s="82"/>
      <c r="F39" s="10"/>
    </row>
    <row r="40" spans="2:7" x14ac:dyDescent="0.25">
      <c r="B40" s="82"/>
      <c r="C40" s="82"/>
      <c r="D40" s="82"/>
      <c r="E40" s="82"/>
      <c r="F40" s="82"/>
    </row>
    <row r="41" spans="2:7" ht="15.75" x14ac:dyDescent="0.25">
      <c r="B41" s="82"/>
      <c r="C41" s="411" t="s">
        <v>528</v>
      </c>
      <c r="D41" s="411"/>
      <c r="E41" s="82"/>
      <c r="F41" s="82"/>
    </row>
    <row r="42" spans="2:7" x14ac:dyDescent="0.25">
      <c r="B42" s="82"/>
      <c r="C42" s="14" t="s">
        <v>4</v>
      </c>
      <c r="D42" s="15" t="s">
        <v>5</v>
      </c>
      <c r="E42" s="82"/>
      <c r="F42" s="82"/>
    </row>
    <row r="43" spans="2:7" x14ac:dyDescent="0.25">
      <c r="B43" s="82"/>
      <c r="C43" s="201" t="s">
        <v>520</v>
      </c>
      <c r="D43" s="213" t="s">
        <v>525</v>
      </c>
      <c r="E43" s="82"/>
      <c r="F43" s="82"/>
      <c r="G43" s="10"/>
    </row>
    <row r="44" spans="2:7" x14ac:dyDescent="0.25">
      <c r="C44" s="201" t="s">
        <v>521</v>
      </c>
      <c r="D44" s="213" t="s">
        <v>526</v>
      </c>
      <c r="E44" s="82"/>
      <c r="F44" s="82"/>
      <c r="G44" s="82"/>
    </row>
    <row r="45" spans="2:7" x14ac:dyDescent="0.25">
      <c r="C45" s="205" t="s">
        <v>524</v>
      </c>
      <c r="D45" s="214" t="s">
        <v>527</v>
      </c>
    </row>
  </sheetData>
  <mergeCells count="4">
    <mergeCell ref="C16:D16"/>
    <mergeCell ref="C28:E28"/>
    <mergeCell ref="C4:D4"/>
    <mergeCell ref="C41:D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C3:I29"/>
  <sheetViews>
    <sheetView zoomScale="85" zoomScaleNormal="85" workbookViewId="0">
      <selection activeCell="D15" sqref="D15"/>
    </sheetView>
  </sheetViews>
  <sheetFormatPr defaultRowHeight="15" x14ac:dyDescent="0.25"/>
  <cols>
    <col min="3" max="3" bestFit="true" customWidth="true" width="54.28515625" collapsed="true"/>
    <col min="4" max="4" customWidth="true" width="96.42578125" collapsed="true"/>
    <col min="5" max="5" customWidth="true" width="24.85546875" collapsed="true"/>
    <col min="6" max="6" customWidth="true" width="25.7109375" collapsed="false"/>
  </cols>
  <sheetData>
    <row r="3" spans="3:9" x14ac:dyDescent="0.25">
      <c r="I3" s="251"/>
    </row>
    <row r="4" spans="3:9" ht="15.75" x14ac:dyDescent="0.25">
      <c r="C4" s="419" t="s">
        <v>904</v>
      </c>
      <c r="D4" s="419"/>
      <c r="E4" s="419"/>
      <c r="I4" s="251"/>
    </row>
    <row r="5" spans="3:9" x14ac:dyDescent="0.25">
      <c r="C5" s="267" t="s">
        <v>313</v>
      </c>
      <c r="D5" s="267" t="s">
        <v>11</v>
      </c>
      <c r="E5" s="267" t="s">
        <v>61</v>
      </c>
      <c r="F5" s="269" t="s">
        <v>12</v>
      </c>
      <c r="I5" s="251"/>
    </row>
    <row r="6" spans="3:9" x14ac:dyDescent="0.25">
      <c r="C6" s="445" t="s">
        <v>414</v>
      </c>
      <c r="D6" s="448" t="s">
        <v>3</v>
      </c>
      <c r="E6" s="386" t="s">
        <v>305</v>
      </c>
      <c r="F6" s="48">
        <v>1.4702</v>
      </c>
      <c r="I6" s="251"/>
    </row>
    <row r="7" spans="3:9" s="251" customFormat="1" x14ac:dyDescent="0.25">
      <c r="C7" s="445"/>
      <c r="D7" s="449"/>
      <c r="E7" s="387" t="s">
        <v>306</v>
      </c>
      <c r="F7" s="137">
        <v>1.3964000000000001</v>
      </c>
    </row>
    <row r="8" spans="3:9" x14ac:dyDescent="0.25">
      <c r="C8" s="445"/>
      <c r="D8" s="388" t="s">
        <v>13</v>
      </c>
      <c r="E8" s="388"/>
      <c r="F8" s="48">
        <v>0.61119999999999997</v>
      </c>
      <c r="I8" s="251"/>
    </row>
    <row r="9" spans="3:9" x14ac:dyDescent="0.25">
      <c r="C9" s="446"/>
      <c r="D9" s="389" t="s">
        <v>2</v>
      </c>
      <c r="E9" s="389"/>
      <c r="F9" s="108">
        <v>1</v>
      </c>
      <c r="I9" s="251"/>
    </row>
    <row r="10" spans="3:9" s="251" customFormat="1" x14ac:dyDescent="0.25">
      <c r="C10" s="447" t="s">
        <v>477</v>
      </c>
      <c r="D10" s="351" t="s">
        <v>3</v>
      </c>
      <c r="E10" s="351"/>
      <c r="F10" s="126">
        <v>175</v>
      </c>
    </row>
    <row r="11" spans="3:9" s="251" customFormat="1" x14ac:dyDescent="0.25">
      <c r="C11" s="445"/>
      <c r="D11" s="351" t="s">
        <v>13</v>
      </c>
      <c r="E11" s="351"/>
      <c r="F11" s="126">
        <v>100</v>
      </c>
    </row>
    <row r="12" spans="3:9" s="251" customFormat="1" x14ac:dyDescent="0.25">
      <c r="C12" s="446"/>
      <c r="D12" s="362" t="s">
        <v>2</v>
      </c>
      <c r="E12" s="362"/>
      <c r="F12" s="385">
        <v>125</v>
      </c>
    </row>
    <row r="13" spans="3:9" x14ac:dyDescent="0.25">
      <c r="C13" s="10"/>
      <c r="D13" s="10"/>
    </row>
    <row r="14" spans="3:9" s="82" customFormat="1" x14ac:dyDescent="0.25">
      <c r="C14" s="10"/>
      <c r="D14" s="10"/>
    </row>
    <row r="16" spans="3:9" s="82" customFormat="1" ht="15.75" x14ac:dyDescent="0.25">
      <c r="C16" s="444" t="s">
        <v>328</v>
      </c>
      <c r="D16" s="444"/>
      <c r="E16" s="444"/>
    </row>
    <row r="17" spans="3:5" x14ac:dyDescent="0.25">
      <c r="C17" s="124" t="s">
        <v>313</v>
      </c>
      <c r="D17" s="124" t="s">
        <v>314</v>
      </c>
      <c r="E17" s="12" t="s">
        <v>315</v>
      </c>
    </row>
    <row r="18" spans="3:5" x14ac:dyDescent="0.25">
      <c r="C18" s="128" t="s">
        <v>316</v>
      </c>
      <c r="D18" s="128" t="s">
        <v>317</v>
      </c>
      <c r="E18" s="126">
        <v>1.1200000000000001</v>
      </c>
    </row>
    <row r="19" spans="3:5" x14ac:dyDescent="0.25">
      <c r="C19" s="128" t="s">
        <v>316</v>
      </c>
      <c r="D19" s="128" t="s">
        <v>318</v>
      </c>
      <c r="E19" s="126">
        <v>1.05</v>
      </c>
    </row>
    <row r="20" spans="3:5" x14ac:dyDescent="0.25">
      <c r="C20" s="128" t="s">
        <v>316</v>
      </c>
      <c r="D20" s="128" t="s">
        <v>319</v>
      </c>
      <c r="E20" s="126">
        <v>1.08</v>
      </c>
    </row>
    <row r="21" spans="3:5" x14ac:dyDescent="0.25">
      <c r="C21" s="128" t="s">
        <v>316</v>
      </c>
      <c r="D21" s="128" t="s">
        <v>320</v>
      </c>
      <c r="E21" s="126">
        <v>1.08</v>
      </c>
    </row>
    <row r="22" spans="3:5" x14ac:dyDescent="0.25">
      <c r="C22" s="128" t="s">
        <v>316</v>
      </c>
      <c r="D22" s="128" t="s">
        <v>321</v>
      </c>
      <c r="E22" s="126">
        <v>10</v>
      </c>
    </row>
    <row r="23" spans="3:5" x14ac:dyDescent="0.25">
      <c r="C23" s="128" t="s">
        <v>316</v>
      </c>
      <c r="D23" s="128" t="s">
        <v>322</v>
      </c>
      <c r="E23" s="126">
        <v>10</v>
      </c>
    </row>
    <row r="24" spans="3:5" x14ac:dyDescent="0.25">
      <c r="C24" s="128" t="s">
        <v>316</v>
      </c>
      <c r="D24" s="128" t="s">
        <v>323</v>
      </c>
      <c r="E24" s="126">
        <v>10</v>
      </c>
    </row>
    <row r="25" spans="3:5" x14ac:dyDescent="0.25">
      <c r="C25" s="128" t="s">
        <v>316</v>
      </c>
      <c r="D25" s="128" t="s">
        <v>324</v>
      </c>
      <c r="E25" s="126">
        <v>10</v>
      </c>
    </row>
    <row r="26" spans="3:5" x14ac:dyDescent="0.25">
      <c r="C26" s="128" t="s">
        <v>316</v>
      </c>
      <c r="D26" s="128" t="s">
        <v>325</v>
      </c>
      <c r="E26" s="126">
        <v>10</v>
      </c>
    </row>
    <row r="27" spans="3:5" x14ac:dyDescent="0.25">
      <c r="C27" s="128" t="s">
        <v>316</v>
      </c>
      <c r="D27" s="128" t="s">
        <v>326</v>
      </c>
      <c r="E27" s="126">
        <v>10</v>
      </c>
    </row>
    <row r="28" spans="3:5" x14ac:dyDescent="0.25">
      <c r="C28" s="128" t="s">
        <v>316</v>
      </c>
      <c r="D28" s="128" t="s">
        <v>327</v>
      </c>
      <c r="E28" s="126">
        <v>10</v>
      </c>
    </row>
    <row r="29" spans="3:5" x14ac:dyDescent="0.25">
      <c r="C29" s="129"/>
      <c r="D29" s="129"/>
      <c r="E29" s="127">
        <v>1</v>
      </c>
    </row>
  </sheetData>
  <mergeCells count="5">
    <mergeCell ref="C16:E16"/>
    <mergeCell ref="C4:E4"/>
    <mergeCell ref="C6:C9"/>
    <mergeCell ref="C10:C12"/>
    <mergeCell ref="D6:D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K506"/>
  <sheetViews>
    <sheetView topLeftCell="A37" zoomScaleNormal="100" workbookViewId="0">
      <selection activeCell="D55" sqref="D55"/>
    </sheetView>
  </sheetViews>
  <sheetFormatPr defaultRowHeight="15" x14ac:dyDescent="0.25"/>
  <cols>
    <col min="3" max="3" customWidth="true" width="28.140625" collapsed="true"/>
    <col min="4" max="4" customWidth="true" width="64.85546875" collapsed="true"/>
    <col min="5" max="5" customWidth="true" width="36.7109375" collapsed="true"/>
    <col min="6" max="6" customWidth="true" width="24.42578125" collapsed="true"/>
    <col min="7" max="7" customWidth="true" width="48.5703125" collapsed="true"/>
    <col min="8" max="8" customWidth="true" width="13.140625" collapsed="true"/>
    <col min="9" max="9" customWidth="true" width="39.140625" collapsed="true"/>
    <col min="10" max="10" customWidth="true" width="34.140625" collapsed="true"/>
    <col min="11" max="11" customWidth="true" width="56.0" collapsed="true"/>
    <col min="12" max="12" customWidth="true" width="15.5703125" collapsed="true"/>
    <col min="13" max="13" customWidth="true" width="29.28515625" collapsed="true"/>
    <col min="14" max="14" customWidth="true" width="39.42578125" collapsed="true"/>
    <col min="15" max="15" customWidth="true" width="15.85546875" collapsed="true"/>
    <col min="17" max="17" customWidth="true" width="24.42578125" collapsed="true"/>
    <col min="18" max="18" customWidth="true" width="20.85546875" collapsed="true"/>
    <col min="20" max="20" customWidth="true" width="14.0" collapsed="true"/>
    <col min="21" max="21" customWidth="true" width="34.5703125" collapsed="true"/>
    <col min="22" max="22" customWidth="true" width="16.42578125" collapsed="true"/>
    <col min="24" max="24" customWidth="true" width="23.7109375" collapsed="true"/>
    <col min="25" max="25" customWidth="true" width="24.85546875" collapsed="true"/>
  </cols>
  <sheetData>
    <row r="1" spans="3:4" s="82" customFormat="1" x14ac:dyDescent="0.25"/>
    <row r="2" spans="3:4" s="82" customFormat="1" x14ac:dyDescent="0.25"/>
    <row r="3" spans="3:4" s="82" customFormat="1" x14ac:dyDescent="0.25"/>
    <row r="4" spans="3:4" s="82" customFormat="1" x14ac:dyDescent="0.25">
      <c r="C4" s="452" t="s">
        <v>503</v>
      </c>
      <c r="D4" s="452"/>
    </row>
    <row r="5" spans="3:4" s="82" customFormat="1" x14ac:dyDescent="0.25">
      <c r="C5" s="28" t="s">
        <v>4</v>
      </c>
      <c r="D5" s="15" t="s">
        <v>5</v>
      </c>
    </row>
    <row r="6" spans="3:4" s="251" customFormat="1" ht="27" x14ac:dyDescent="0.25">
      <c r="C6" s="11" t="s">
        <v>844</v>
      </c>
      <c r="D6" s="255" t="s">
        <v>845</v>
      </c>
    </row>
    <row r="7" spans="3:4" s="82" customFormat="1" x14ac:dyDescent="0.25">
      <c r="C7" s="11" t="s">
        <v>72</v>
      </c>
      <c r="D7" s="256" t="s">
        <v>876</v>
      </c>
    </row>
    <row r="8" spans="3:4" s="82" customFormat="1" x14ac:dyDescent="0.25">
      <c r="C8" s="11" t="s">
        <v>75</v>
      </c>
      <c r="D8" s="245" t="s">
        <v>894</v>
      </c>
    </row>
    <row r="9" spans="3:4" s="82" customFormat="1" x14ac:dyDescent="0.25">
      <c r="C9" s="11" t="s">
        <v>74</v>
      </c>
      <c r="D9" s="256" t="s">
        <v>235</v>
      </c>
    </row>
    <row r="10" spans="3:4" s="82" customFormat="1" x14ac:dyDescent="0.25">
      <c r="C10" s="11" t="s">
        <v>76</v>
      </c>
      <c r="D10" s="256" t="s">
        <v>898</v>
      </c>
    </row>
    <row r="11" spans="3:4" s="82" customFormat="1" x14ac:dyDescent="0.25">
      <c r="C11" s="11" t="s">
        <v>236</v>
      </c>
      <c r="D11" s="13" t="s">
        <v>487</v>
      </c>
    </row>
    <row r="12" spans="3:4" s="82" customFormat="1" x14ac:dyDescent="0.25">
      <c r="C12" s="11" t="s">
        <v>73</v>
      </c>
      <c r="D12" s="255" t="s">
        <v>484</v>
      </c>
    </row>
    <row r="13" spans="3:4" s="82" customFormat="1" x14ac:dyDescent="0.25">
      <c r="C13" s="11" t="s">
        <v>237</v>
      </c>
      <c r="D13" s="13" t="s">
        <v>244</v>
      </c>
    </row>
    <row r="14" spans="3:4" s="82" customFormat="1" x14ac:dyDescent="0.25">
      <c r="C14" s="11" t="s">
        <v>241</v>
      </c>
      <c r="D14" s="226" t="s">
        <v>310</v>
      </c>
    </row>
    <row r="15" spans="3:4" s="82" customFormat="1" x14ac:dyDescent="0.25">
      <c r="C15" s="29" t="s">
        <v>24</v>
      </c>
      <c r="D15" s="30" t="s">
        <v>492</v>
      </c>
    </row>
    <row r="16" spans="3:4" s="82" customFormat="1" x14ac:dyDescent="0.25"/>
    <row r="17" spans="1:11" x14ac:dyDescent="0.25">
      <c r="E17" s="31"/>
      <c r="H17" s="31"/>
      <c r="I17" s="31"/>
      <c r="J17" s="31"/>
      <c r="K17" s="31"/>
    </row>
    <row r="18" spans="1:11" x14ac:dyDescent="0.25">
      <c r="E18" s="31"/>
      <c r="F18" s="31"/>
      <c r="G18" s="31"/>
      <c r="H18" s="31"/>
      <c r="I18" s="31"/>
      <c r="J18" s="31"/>
      <c r="K18" s="31"/>
    </row>
    <row r="19" spans="1:11" x14ac:dyDescent="0.25">
      <c r="C19" s="426" t="s">
        <v>877</v>
      </c>
      <c r="D19" s="426"/>
      <c r="E19" s="426"/>
      <c r="F19" s="426"/>
      <c r="G19" s="251"/>
      <c r="H19" s="74"/>
      <c r="K19" s="31"/>
    </row>
    <row r="20" spans="1:11" x14ac:dyDescent="0.25">
      <c r="C20" s="18" t="s">
        <v>58</v>
      </c>
      <c r="D20" s="269" t="s">
        <v>3</v>
      </c>
      <c r="E20" s="269" t="s">
        <v>13</v>
      </c>
      <c r="F20" s="269" t="s">
        <v>2</v>
      </c>
      <c r="G20" s="251"/>
      <c r="H20" s="31"/>
      <c r="K20" s="31"/>
    </row>
    <row r="21" spans="1:11" x14ac:dyDescent="0.25">
      <c r="C21" s="370" t="s">
        <v>33</v>
      </c>
      <c r="D21" s="32">
        <v>0.6</v>
      </c>
      <c r="E21" s="32">
        <v>1</v>
      </c>
      <c r="F21" s="32">
        <v>0.6</v>
      </c>
      <c r="G21" s="251"/>
      <c r="H21" s="31"/>
      <c r="K21" s="31"/>
    </row>
    <row r="22" spans="1:11" x14ac:dyDescent="0.25">
      <c r="A22" s="31"/>
      <c r="C22" s="370" t="s">
        <v>34</v>
      </c>
      <c r="D22" s="32">
        <v>0.64500000000000002</v>
      </c>
      <c r="E22" s="32">
        <v>1</v>
      </c>
      <c r="F22" s="32">
        <v>0.64500000000000002</v>
      </c>
      <c r="G22" s="251"/>
      <c r="H22" s="31"/>
      <c r="K22" s="31"/>
    </row>
    <row r="23" spans="1:11" x14ac:dyDescent="0.25">
      <c r="A23" s="31"/>
      <c r="C23" s="370" t="s">
        <v>35</v>
      </c>
      <c r="D23" s="32">
        <v>0.6996</v>
      </c>
      <c r="E23" s="32">
        <v>1</v>
      </c>
      <c r="F23" s="32">
        <v>0.6996</v>
      </c>
      <c r="G23" s="251"/>
      <c r="H23" s="31"/>
      <c r="K23" s="31"/>
    </row>
    <row r="24" spans="1:11" x14ac:dyDescent="0.25">
      <c r="A24" s="31"/>
      <c r="C24" s="370" t="s">
        <v>36</v>
      </c>
      <c r="D24" s="32">
        <v>0.71040000000000003</v>
      </c>
      <c r="E24" s="32">
        <v>1</v>
      </c>
      <c r="F24" s="32">
        <v>0.71040000000000003</v>
      </c>
      <c r="G24" s="251"/>
      <c r="H24" s="31"/>
      <c r="K24" s="31"/>
    </row>
    <row r="25" spans="1:11" x14ac:dyDescent="0.25">
      <c r="A25" s="31"/>
      <c r="C25" s="370" t="s">
        <v>37</v>
      </c>
      <c r="D25" s="32">
        <v>0.73860000000000003</v>
      </c>
      <c r="E25" s="32">
        <v>1</v>
      </c>
      <c r="F25" s="32">
        <v>0.73860000000000003</v>
      </c>
      <c r="G25" s="251"/>
      <c r="H25" s="31"/>
      <c r="K25" s="31"/>
    </row>
    <row r="26" spans="1:11" x14ac:dyDescent="0.25">
      <c r="A26" s="31"/>
      <c r="C26" s="370" t="s">
        <v>38</v>
      </c>
      <c r="D26" s="32">
        <v>0.76739999999999997</v>
      </c>
      <c r="E26" s="32">
        <v>1</v>
      </c>
      <c r="F26" s="32">
        <v>0.76739999999999997</v>
      </c>
      <c r="G26" s="251"/>
      <c r="H26" s="31"/>
      <c r="K26" s="31"/>
    </row>
    <row r="27" spans="1:11" x14ac:dyDescent="0.25">
      <c r="A27" s="31"/>
      <c r="C27" s="370" t="s">
        <v>39</v>
      </c>
      <c r="D27" s="32">
        <v>0.80220000000000002</v>
      </c>
      <c r="E27" s="32">
        <v>1</v>
      </c>
      <c r="F27" s="32">
        <v>0.80220000000000002</v>
      </c>
      <c r="G27" s="251"/>
      <c r="H27" s="31"/>
      <c r="K27" s="31"/>
    </row>
    <row r="28" spans="1:11" x14ac:dyDescent="0.25">
      <c r="A28" s="31"/>
      <c r="C28" s="370" t="s">
        <v>40</v>
      </c>
      <c r="D28" s="32">
        <v>0.81059999999999999</v>
      </c>
      <c r="E28" s="32">
        <v>1</v>
      </c>
      <c r="F28" s="32">
        <v>0.81059999999999999</v>
      </c>
      <c r="G28" s="251"/>
      <c r="H28" s="31"/>
      <c r="K28" s="31"/>
    </row>
    <row r="29" spans="1:11" x14ac:dyDescent="0.25">
      <c r="A29" s="31"/>
      <c r="C29" s="370" t="s">
        <v>41</v>
      </c>
      <c r="D29" s="32">
        <v>0.83399999999999996</v>
      </c>
      <c r="E29" s="32">
        <v>1</v>
      </c>
      <c r="F29" s="32">
        <v>0.83399999999999996</v>
      </c>
      <c r="G29" s="251"/>
      <c r="H29" s="31"/>
      <c r="K29" s="31"/>
    </row>
    <row r="30" spans="1:11" x14ac:dyDescent="0.25">
      <c r="A30" s="31"/>
      <c r="C30" s="370" t="s">
        <v>42</v>
      </c>
      <c r="D30" s="32">
        <v>0.8508</v>
      </c>
      <c r="E30" s="32">
        <v>1</v>
      </c>
      <c r="F30" s="32">
        <v>0.8508</v>
      </c>
      <c r="G30" s="251"/>
      <c r="H30" s="31"/>
      <c r="K30" s="31"/>
    </row>
    <row r="31" spans="1:11" x14ac:dyDescent="0.25">
      <c r="A31" s="31"/>
      <c r="C31" s="370" t="s">
        <v>43</v>
      </c>
      <c r="D31" s="32">
        <v>0.87719999999999998</v>
      </c>
      <c r="E31" s="32">
        <v>1</v>
      </c>
      <c r="F31" s="32">
        <v>0.87719999999999998</v>
      </c>
      <c r="G31" s="251"/>
      <c r="H31" s="31"/>
      <c r="K31" s="31"/>
    </row>
    <row r="32" spans="1:11" x14ac:dyDescent="0.25">
      <c r="A32" s="31"/>
      <c r="C32" s="370" t="s">
        <v>44</v>
      </c>
      <c r="D32" s="32">
        <v>0.88680000000000003</v>
      </c>
      <c r="E32" s="32">
        <v>1</v>
      </c>
      <c r="F32" s="32">
        <v>0.88680000000000003</v>
      </c>
      <c r="G32" s="251"/>
      <c r="H32" s="31"/>
      <c r="K32" s="31"/>
    </row>
    <row r="33" spans="1:11" x14ac:dyDescent="0.25">
      <c r="A33" s="31"/>
      <c r="C33" s="370" t="s">
        <v>45</v>
      </c>
      <c r="D33" s="32">
        <v>0.90659999999999996</v>
      </c>
      <c r="E33" s="32">
        <v>1</v>
      </c>
      <c r="F33" s="32">
        <v>0.90659999999999996</v>
      </c>
      <c r="G33" s="251"/>
      <c r="H33" s="31"/>
      <c r="K33" s="31"/>
    </row>
    <row r="34" spans="1:11" x14ac:dyDescent="0.25">
      <c r="A34" s="31"/>
      <c r="C34" s="370" t="s">
        <v>46</v>
      </c>
      <c r="D34" s="32">
        <v>0.93659999999999999</v>
      </c>
      <c r="E34" s="32">
        <v>1</v>
      </c>
      <c r="F34" s="32">
        <v>0.93659999999999999</v>
      </c>
      <c r="G34" s="251"/>
      <c r="H34" s="31"/>
      <c r="K34" s="31"/>
    </row>
    <row r="35" spans="1:11" x14ac:dyDescent="0.25">
      <c r="A35" s="31"/>
      <c r="C35" s="370" t="s">
        <v>47</v>
      </c>
      <c r="D35" s="32">
        <v>0.94799999999999995</v>
      </c>
      <c r="E35" s="32">
        <v>1</v>
      </c>
      <c r="F35" s="32">
        <v>0.94799999999999995</v>
      </c>
      <c r="G35" s="251"/>
    </row>
    <row r="36" spans="1:11" x14ac:dyDescent="0.25">
      <c r="A36" s="31"/>
      <c r="C36" s="370" t="s">
        <v>48</v>
      </c>
      <c r="D36" s="32">
        <v>0.97499999999999998</v>
      </c>
      <c r="E36" s="32">
        <v>1</v>
      </c>
      <c r="F36" s="32">
        <v>0.97499999999999998</v>
      </c>
      <c r="G36" s="251"/>
    </row>
    <row r="37" spans="1:11" x14ac:dyDescent="0.25">
      <c r="A37" s="31"/>
      <c r="C37" s="370" t="s">
        <v>49</v>
      </c>
      <c r="D37" s="32">
        <v>1.014</v>
      </c>
      <c r="E37" s="32">
        <v>1</v>
      </c>
      <c r="F37" s="32">
        <v>1.014</v>
      </c>
    </row>
    <row r="38" spans="1:11" x14ac:dyDescent="0.25">
      <c r="A38" s="31"/>
      <c r="C38" s="370" t="s">
        <v>50</v>
      </c>
      <c r="D38" s="32">
        <v>1.0329999999999999</v>
      </c>
      <c r="E38" s="32">
        <v>1</v>
      </c>
      <c r="F38" s="32">
        <v>1.0329999999999999</v>
      </c>
    </row>
    <row r="39" spans="1:11" x14ac:dyDescent="0.25">
      <c r="A39" s="31"/>
      <c r="C39" s="370" t="s">
        <v>51</v>
      </c>
      <c r="D39" s="32">
        <v>1.0940000000000001</v>
      </c>
      <c r="E39" s="32">
        <v>1</v>
      </c>
      <c r="F39" s="32">
        <v>1.0940000000000001</v>
      </c>
    </row>
    <row r="40" spans="1:11" x14ac:dyDescent="0.25">
      <c r="A40" s="31"/>
      <c r="C40" s="370" t="s">
        <v>52</v>
      </c>
      <c r="D40" s="32">
        <v>1.1279999999999999</v>
      </c>
      <c r="E40" s="32">
        <v>1</v>
      </c>
      <c r="F40" s="32">
        <v>1.1279999999999999</v>
      </c>
    </row>
    <row r="41" spans="1:11" x14ac:dyDescent="0.25">
      <c r="A41" s="31"/>
      <c r="C41" s="370" t="s">
        <v>53</v>
      </c>
      <c r="D41" s="32">
        <v>1.1910000000000001</v>
      </c>
      <c r="E41" s="32">
        <v>1</v>
      </c>
      <c r="F41" s="32">
        <v>1.1910000000000001</v>
      </c>
    </row>
    <row r="42" spans="1:11" x14ac:dyDescent="0.25">
      <c r="A42" s="31"/>
      <c r="C42" s="370" t="s">
        <v>54</v>
      </c>
      <c r="D42" s="32">
        <v>1.2949999999999999</v>
      </c>
      <c r="E42" s="32">
        <v>1</v>
      </c>
      <c r="F42" s="32">
        <v>1.2949999999999999</v>
      </c>
    </row>
    <row r="43" spans="1:11" x14ac:dyDescent="0.25">
      <c r="A43" s="31"/>
      <c r="C43" s="370" t="s">
        <v>55</v>
      </c>
      <c r="D43" s="32">
        <v>1.5</v>
      </c>
      <c r="E43" s="32">
        <v>1</v>
      </c>
      <c r="F43" s="32">
        <v>1.5</v>
      </c>
    </row>
    <row r="44" spans="1:11" x14ac:dyDescent="0.25">
      <c r="A44" s="31"/>
      <c r="C44" s="370" t="s">
        <v>56</v>
      </c>
      <c r="D44" s="32">
        <v>1.75</v>
      </c>
      <c r="E44" s="32">
        <v>1</v>
      </c>
      <c r="F44" s="32">
        <v>1.75</v>
      </c>
      <c r="H44" s="31"/>
      <c r="I44" s="31"/>
    </row>
    <row r="45" spans="1:11" x14ac:dyDescent="0.25">
      <c r="A45" s="31"/>
      <c r="C45" s="372" t="s">
        <v>57</v>
      </c>
      <c r="D45" s="297">
        <v>2.5</v>
      </c>
      <c r="E45" s="297">
        <v>1</v>
      </c>
      <c r="F45" s="297">
        <v>2.5</v>
      </c>
      <c r="H45" s="31"/>
      <c r="I45" s="31"/>
    </row>
    <row r="46" spans="1:11" x14ac:dyDescent="0.25">
      <c r="C46" s="390"/>
      <c r="D46" s="359">
        <v>1</v>
      </c>
      <c r="E46" s="359">
        <v>1</v>
      </c>
      <c r="F46" s="359">
        <v>1</v>
      </c>
      <c r="H46" s="31"/>
      <c r="I46" s="31"/>
    </row>
    <row r="47" spans="1:11" x14ac:dyDescent="0.25">
      <c r="G47" s="162"/>
      <c r="H47" s="162"/>
    </row>
    <row r="48" spans="1:11" s="31" customFormat="1" x14ac:dyDescent="0.25">
      <c r="G48" s="162"/>
      <c r="H48" s="162"/>
    </row>
    <row r="49" spans="2:9" x14ac:dyDescent="0.25">
      <c r="B49" s="82"/>
      <c r="C49" s="82"/>
      <c r="D49" s="82"/>
      <c r="F49" s="31"/>
      <c r="G49" s="162"/>
      <c r="H49" s="162"/>
      <c r="I49" s="31"/>
    </row>
    <row r="50" spans="2:9" x14ac:dyDescent="0.25">
      <c r="B50" s="82"/>
      <c r="F50" s="85"/>
      <c r="G50" s="162"/>
      <c r="H50" s="162"/>
      <c r="I50" s="31"/>
    </row>
    <row r="51" spans="2:9" x14ac:dyDescent="0.25">
      <c r="B51" s="82"/>
      <c r="G51" s="162"/>
      <c r="H51" s="162"/>
      <c r="I51" s="31"/>
    </row>
    <row r="52" spans="2:9" x14ac:dyDescent="0.25">
      <c r="F52" s="181"/>
      <c r="G52" s="162"/>
      <c r="H52" s="162"/>
      <c r="I52" s="31"/>
    </row>
    <row r="53" spans="2:9" x14ac:dyDescent="0.25">
      <c r="F53" s="181"/>
      <c r="G53" s="162"/>
      <c r="H53" s="162"/>
      <c r="I53" s="31"/>
    </row>
    <row r="54" spans="2:9" x14ac:dyDescent="0.25">
      <c r="F54" s="181"/>
      <c r="G54" s="162"/>
      <c r="H54" s="162"/>
      <c r="I54" s="31"/>
    </row>
    <row r="55" spans="2:9" x14ac:dyDescent="0.25">
      <c r="F55" s="181"/>
      <c r="G55" s="162"/>
      <c r="H55" s="162"/>
      <c r="I55" s="31"/>
    </row>
    <row r="56" spans="2:9" x14ac:dyDescent="0.25">
      <c r="F56" s="181"/>
      <c r="G56" s="162"/>
      <c r="H56" s="162"/>
      <c r="I56" s="31"/>
    </row>
    <row r="57" spans="2:9" x14ac:dyDescent="0.25">
      <c r="G57" s="162"/>
      <c r="H57" s="162"/>
      <c r="I57" s="31"/>
    </row>
    <row r="58" spans="2:9" x14ac:dyDescent="0.25">
      <c r="C58" s="82"/>
      <c r="D58" s="82"/>
      <c r="E58" s="82"/>
      <c r="F58" s="82"/>
      <c r="H58" s="31"/>
      <c r="I58" s="31"/>
    </row>
    <row r="59" spans="2:9" s="251" customFormat="1" x14ac:dyDescent="0.25">
      <c r="C59"/>
      <c r="D59"/>
      <c r="E59"/>
      <c r="F59"/>
      <c r="G59"/>
    </row>
    <row r="60" spans="2:9" s="251" customFormat="1" x14ac:dyDescent="0.25">
      <c r="C60"/>
      <c r="D60"/>
      <c r="E60"/>
      <c r="G60"/>
    </row>
    <row r="61" spans="2:9" s="251" customFormat="1" x14ac:dyDescent="0.25">
      <c r="C61" s="426" t="s">
        <v>897</v>
      </c>
      <c r="D61" s="426"/>
      <c r="E61" s="426"/>
    </row>
    <row r="62" spans="2:9" s="251" customFormat="1" x14ac:dyDescent="0.25">
      <c r="C62" s="267" t="s">
        <v>69</v>
      </c>
      <c r="D62" s="267" t="s">
        <v>61</v>
      </c>
      <c r="E62" s="269" t="s">
        <v>60</v>
      </c>
    </row>
    <row r="63" spans="2:9" s="251" customFormat="1" x14ac:dyDescent="0.25">
      <c r="C63" s="453" t="s">
        <v>304</v>
      </c>
      <c r="D63" s="86" t="s">
        <v>305</v>
      </c>
      <c r="E63" s="32">
        <v>1</v>
      </c>
    </row>
    <row r="64" spans="2:9" s="251" customFormat="1" x14ac:dyDescent="0.25">
      <c r="C64" s="451"/>
      <c r="D64" s="87" t="s">
        <v>306</v>
      </c>
      <c r="E64" s="32">
        <v>1</v>
      </c>
    </row>
    <row r="65" spans="3:7" s="251" customFormat="1" x14ac:dyDescent="0.25">
      <c r="C65" s="451"/>
      <c r="D65" s="355"/>
      <c r="E65" s="32">
        <v>1</v>
      </c>
    </row>
    <row r="66" spans="3:7" s="251" customFormat="1" x14ac:dyDescent="0.25">
      <c r="C66" s="450" t="s">
        <v>744</v>
      </c>
      <c r="D66" s="298" t="s">
        <v>305</v>
      </c>
      <c r="E66" s="299">
        <v>1.05</v>
      </c>
    </row>
    <row r="67" spans="3:7" s="251" customFormat="1" x14ac:dyDescent="0.25">
      <c r="C67" s="451"/>
      <c r="D67" s="87" t="s">
        <v>306</v>
      </c>
      <c r="E67" s="32">
        <v>1.05</v>
      </c>
    </row>
    <row r="68" spans="3:7" s="251" customFormat="1" x14ac:dyDescent="0.25">
      <c r="C68" s="451"/>
      <c r="D68" s="355"/>
      <c r="E68" s="32">
        <v>1.05</v>
      </c>
    </row>
    <row r="69" spans="3:7" s="251" customFormat="1" x14ac:dyDescent="0.25">
      <c r="C69" s="450" t="s">
        <v>745</v>
      </c>
      <c r="D69" s="298" t="s">
        <v>305</v>
      </c>
      <c r="E69" s="299">
        <v>1.05</v>
      </c>
      <c r="G69"/>
    </row>
    <row r="70" spans="3:7" s="251" customFormat="1" x14ac:dyDescent="0.25">
      <c r="C70" s="451"/>
      <c r="D70" s="87" t="s">
        <v>306</v>
      </c>
      <c r="E70" s="32">
        <v>1.05</v>
      </c>
      <c r="G70"/>
    </row>
    <row r="71" spans="3:7" s="251" customFormat="1" x14ac:dyDescent="0.25">
      <c r="C71" s="451"/>
      <c r="D71" s="355"/>
      <c r="E71" s="32">
        <v>1.05</v>
      </c>
      <c r="G71"/>
    </row>
    <row r="72" spans="3:7" s="251" customFormat="1" x14ac:dyDescent="0.25">
      <c r="C72" s="450" t="s">
        <v>746</v>
      </c>
      <c r="D72" s="298" t="s">
        <v>305</v>
      </c>
      <c r="E72" s="299">
        <v>1.05</v>
      </c>
      <c r="G72"/>
    </row>
    <row r="73" spans="3:7" s="251" customFormat="1" x14ac:dyDescent="0.25">
      <c r="C73" s="451"/>
      <c r="D73" s="87" t="s">
        <v>306</v>
      </c>
      <c r="E73" s="32">
        <v>1.05</v>
      </c>
      <c r="G73"/>
    </row>
    <row r="74" spans="3:7" s="251" customFormat="1" x14ac:dyDescent="0.25">
      <c r="C74" s="451"/>
      <c r="D74" s="355"/>
      <c r="E74" s="32">
        <v>1.05</v>
      </c>
      <c r="G74"/>
    </row>
    <row r="75" spans="3:7" s="251" customFormat="1" x14ac:dyDescent="0.25">
      <c r="C75" s="450" t="s">
        <v>747</v>
      </c>
      <c r="D75" s="298" t="s">
        <v>305</v>
      </c>
      <c r="E75" s="299">
        <v>1.05</v>
      </c>
      <c r="G75"/>
    </row>
    <row r="76" spans="3:7" s="251" customFormat="1" x14ac:dyDescent="0.25">
      <c r="C76" s="451"/>
      <c r="D76" s="87" t="s">
        <v>306</v>
      </c>
      <c r="E76" s="32">
        <v>1.05</v>
      </c>
      <c r="G76"/>
    </row>
    <row r="77" spans="3:7" s="251" customFormat="1" x14ac:dyDescent="0.25">
      <c r="C77" s="451"/>
      <c r="D77" s="355"/>
      <c r="E77" s="32">
        <v>1.05</v>
      </c>
      <c r="G77"/>
    </row>
    <row r="78" spans="3:7" s="251" customFormat="1" x14ac:dyDescent="0.25">
      <c r="C78" s="450" t="s">
        <v>748</v>
      </c>
      <c r="D78" s="298" t="s">
        <v>305</v>
      </c>
      <c r="E78" s="299">
        <v>1.05</v>
      </c>
      <c r="G78"/>
    </row>
    <row r="79" spans="3:7" s="251" customFormat="1" x14ac:dyDescent="0.25">
      <c r="C79" s="451"/>
      <c r="D79" s="87" t="s">
        <v>306</v>
      </c>
      <c r="E79" s="32">
        <v>1.05</v>
      </c>
      <c r="G79"/>
    </row>
    <row r="80" spans="3:7" s="251" customFormat="1" x14ac:dyDescent="0.25">
      <c r="C80" s="451"/>
      <c r="D80" s="355"/>
      <c r="E80" s="32">
        <v>1.05</v>
      </c>
      <c r="G80"/>
    </row>
    <row r="81" spans="1:9" x14ac:dyDescent="0.25">
      <c r="C81" s="294"/>
      <c r="D81" s="294"/>
      <c r="E81" s="297">
        <v>1</v>
      </c>
      <c r="G81" s="31"/>
      <c r="H81" s="31"/>
      <c r="I81" s="31"/>
    </row>
    <row r="82" spans="1:9" s="82" customFormat="1" x14ac:dyDescent="0.25">
      <c r="C82" s="251"/>
      <c r="D82" s="251"/>
      <c r="E82" s="251"/>
      <c r="F82" s="251"/>
    </row>
    <row r="84" spans="1:9" s="82" customFormat="1" x14ac:dyDescent="0.25">
      <c r="C84" s="251"/>
      <c r="D84" s="251"/>
      <c r="E84" s="251"/>
      <c r="F84" s="251"/>
    </row>
    <row r="85" spans="1:9" x14ac:dyDescent="0.25">
      <c r="A85" s="364" t="s">
        <v>895</v>
      </c>
      <c r="B85" s="363"/>
      <c r="C85" s="420" t="s">
        <v>234</v>
      </c>
      <c r="D85" s="420"/>
      <c r="E85" s="420"/>
      <c r="F85" s="420"/>
    </row>
    <row r="86" spans="1:9" x14ac:dyDescent="0.25">
      <c r="C86" s="207" t="s">
        <v>61</v>
      </c>
      <c r="D86" s="35" t="s">
        <v>193</v>
      </c>
      <c r="E86" s="207"/>
      <c r="F86" s="164" t="s">
        <v>60</v>
      </c>
      <c r="G86" s="396"/>
    </row>
    <row r="87" spans="1:9" x14ac:dyDescent="0.25">
      <c r="C87" s="456" t="s">
        <v>305</v>
      </c>
      <c r="D87" s="103" t="s">
        <v>227</v>
      </c>
      <c r="E87" s="421" t="s">
        <v>3</v>
      </c>
      <c r="F87" s="32">
        <v>1</v>
      </c>
      <c r="H87" s="74" t="s">
        <v>1265</v>
      </c>
    </row>
    <row r="88" spans="1:9" x14ac:dyDescent="0.25">
      <c r="C88" s="456"/>
      <c r="D88" s="93" t="s">
        <v>194</v>
      </c>
      <c r="E88" s="421"/>
      <c r="F88" s="32">
        <v>1</v>
      </c>
      <c r="H88" s="74" t="s">
        <v>1266</v>
      </c>
    </row>
    <row r="89" spans="1:9" x14ac:dyDescent="0.25">
      <c r="C89" s="456"/>
      <c r="D89" s="93" t="s">
        <v>195</v>
      </c>
      <c r="E89" s="421"/>
      <c r="F89" s="32">
        <v>1</v>
      </c>
      <c r="H89" s="74" t="s">
        <v>1267</v>
      </c>
    </row>
    <row r="90" spans="1:9" x14ac:dyDescent="0.25">
      <c r="C90" s="456"/>
      <c r="D90" s="93" t="s">
        <v>196</v>
      </c>
      <c r="E90" s="421"/>
      <c r="F90" s="32">
        <v>1</v>
      </c>
      <c r="H90" s="74" t="s">
        <v>1268</v>
      </c>
    </row>
    <row r="91" spans="1:9" x14ac:dyDescent="0.25">
      <c r="C91" s="456"/>
      <c r="D91" s="93" t="s">
        <v>197</v>
      </c>
      <c r="E91" s="421"/>
      <c r="F91" s="32">
        <v>1</v>
      </c>
      <c r="H91" s="74" t="s">
        <v>1269</v>
      </c>
    </row>
    <row r="92" spans="1:9" x14ac:dyDescent="0.25">
      <c r="C92" s="456"/>
      <c r="D92" s="93" t="s">
        <v>192</v>
      </c>
      <c r="E92" s="421"/>
      <c r="F92" s="32">
        <v>1</v>
      </c>
      <c r="H92" s="74" t="s">
        <v>1270</v>
      </c>
    </row>
    <row r="93" spans="1:9" x14ac:dyDescent="0.25">
      <c r="C93" s="456"/>
      <c r="D93" s="95"/>
      <c r="E93" s="96" t="s">
        <v>510</v>
      </c>
      <c r="F93" s="97">
        <v>1</v>
      </c>
      <c r="H93" s="74" t="s">
        <v>896</v>
      </c>
    </row>
    <row r="94" spans="1:9" x14ac:dyDescent="0.25">
      <c r="C94" s="98"/>
      <c r="D94" s="99"/>
      <c r="E94" s="100"/>
      <c r="F94" s="101">
        <v>1</v>
      </c>
    </row>
    <row r="96" spans="1:9" x14ac:dyDescent="0.25">
      <c r="C96" s="82"/>
      <c r="D96" s="82"/>
      <c r="E96" s="82"/>
      <c r="F96" s="82"/>
    </row>
    <row r="97" spans="3:10" x14ac:dyDescent="0.25">
      <c r="F97" s="251"/>
    </row>
    <row r="98" spans="3:10" x14ac:dyDescent="0.25">
      <c r="C98" s="420" t="s">
        <v>486</v>
      </c>
      <c r="D98" s="420"/>
      <c r="E98" s="420"/>
      <c r="F98" s="251"/>
      <c r="J98" s="197"/>
    </row>
    <row r="99" spans="3:10" s="82" customFormat="1" x14ac:dyDescent="0.25">
      <c r="C99" s="35" t="s">
        <v>210</v>
      </c>
      <c r="D99" s="84" t="s">
        <v>11</v>
      </c>
      <c r="E99" s="12" t="s">
        <v>60</v>
      </c>
      <c r="F99" s="251"/>
    </row>
    <row r="100" spans="3:10" x14ac:dyDescent="0.25">
      <c r="C100" s="398" t="s">
        <v>198</v>
      </c>
      <c r="D100" s="454" t="s">
        <v>878</v>
      </c>
      <c r="E100" s="91">
        <v>1</v>
      </c>
    </row>
    <row r="101" spans="3:10" x14ac:dyDescent="0.25">
      <c r="C101" s="399" t="s">
        <v>199</v>
      </c>
      <c r="D101" s="454"/>
      <c r="E101" s="91">
        <v>1</v>
      </c>
    </row>
    <row r="102" spans="3:10" x14ac:dyDescent="0.25">
      <c r="C102" s="399" t="s">
        <v>200</v>
      </c>
      <c r="D102" s="454"/>
      <c r="E102" s="91">
        <v>1</v>
      </c>
    </row>
    <row r="103" spans="3:10" x14ac:dyDescent="0.25">
      <c r="C103" s="400" t="s">
        <v>201</v>
      </c>
      <c r="D103" s="454"/>
      <c r="E103" s="91">
        <v>1</v>
      </c>
    </row>
    <row r="104" spans="3:10" x14ac:dyDescent="0.25">
      <c r="C104" s="400" t="s">
        <v>202</v>
      </c>
      <c r="D104" s="454"/>
      <c r="E104" s="91">
        <v>1</v>
      </c>
    </row>
    <row r="105" spans="3:10" x14ac:dyDescent="0.25">
      <c r="C105" s="400" t="s">
        <v>203</v>
      </c>
      <c r="D105" s="454"/>
      <c r="E105" s="91">
        <v>1</v>
      </c>
    </row>
    <row r="106" spans="3:10" x14ac:dyDescent="0.25">
      <c r="C106" s="400" t="s">
        <v>204</v>
      </c>
      <c r="D106" s="454"/>
      <c r="E106" s="91">
        <v>1</v>
      </c>
    </row>
    <row r="107" spans="3:10" x14ac:dyDescent="0.25">
      <c r="C107" s="400" t="s">
        <v>205</v>
      </c>
      <c r="D107" s="454"/>
      <c r="E107" s="91">
        <v>1</v>
      </c>
    </row>
    <row r="108" spans="3:10" x14ac:dyDescent="0.25">
      <c r="C108" s="400" t="s">
        <v>206</v>
      </c>
      <c r="D108" s="454"/>
      <c r="E108" s="91">
        <v>1</v>
      </c>
    </row>
    <row r="109" spans="3:10" x14ac:dyDescent="0.25">
      <c r="C109" s="400" t="s">
        <v>207</v>
      </c>
      <c r="D109" s="454"/>
      <c r="E109" s="91">
        <v>1</v>
      </c>
    </row>
    <row r="110" spans="3:10" x14ac:dyDescent="0.25">
      <c r="C110" s="400" t="s">
        <v>208</v>
      </c>
      <c r="D110" s="454"/>
      <c r="E110" s="91">
        <v>1</v>
      </c>
    </row>
    <row r="111" spans="3:10" x14ac:dyDescent="0.25">
      <c r="C111" s="401" t="s">
        <v>209</v>
      </c>
      <c r="D111" s="455"/>
      <c r="E111" s="92">
        <v>1</v>
      </c>
    </row>
    <row r="112" spans="3:10" x14ac:dyDescent="0.25">
      <c r="C112" s="123"/>
      <c r="D112" s="123"/>
      <c r="E112" s="94">
        <v>1</v>
      </c>
    </row>
    <row r="113" spans="3:8" x14ac:dyDescent="0.25">
      <c r="C113" s="82"/>
      <c r="D113" s="82"/>
      <c r="E113" s="82"/>
      <c r="F113" s="82"/>
    </row>
    <row r="114" spans="3:8" s="251" customFormat="1" x14ac:dyDescent="0.25"/>
    <row r="115" spans="3:8" x14ac:dyDescent="0.25">
      <c r="C115" s="82"/>
      <c r="D115" s="82"/>
      <c r="E115" s="82"/>
      <c r="F115" s="82"/>
      <c r="G115" s="251"/>
    </row>
    <row r="116" spans="3:8" x14ac:dyDescent="0.25">
      <c r="C116" s="426" t="s">
        <v>879</v>
      </c>
      <c r="D116" s="426"/>
      <c r="E116" s="426"/>
      <c r="F116" s="426"/>
      <c r="G116" s="251"/>
    </row>
    <row r="117" spans="3:8" x14ac:dyDescent="0.25">
      <c r="C117" s="170" t="s">
        <v>404</v>
      </c>
      <c r="D117" s="164" t="s">
        <v>3</v>
      </c>
      <c r="E117" s="269" t="s">
        <v>13</v>
      </c>
      <c r="F117" s="269" t="s">
        <v>2</v>
      </c>
      <c r="G117" s="251"/>
    </row>
    <row r="118" spans="3:8" x14ac:dyDescent="0.25">
      <c r="C118" s="402">
        <v>2500</v>
      </c>
      <c r="D118" s="165">
        <v>1</v>
      </c>
      <c r="E118" s="165">
        <v>1</v>
      </c>
      <c r="F118" s="165">
        <v>1</v>
      </c>
      <c r="H118" s="397" t="s">
        <v>1271</v>
      </c>
    </row>
    <row r="119" spans="3:8" x14ac:dyDescent="0.25">
      <c r="C119" s="402">
        <v>7500</v>
      </c>
      <c r="D119" s="166">
        <v>1</v>
      </c>
      <c r="E119" s="166">
        <v>1</v>
      </c>
      <c r="F119" s="166">
        <v>1</v>
      </c>
      <c r="H119" s="397" t="s">
        <v>1265</v>
      </c>
    </row>
    <row r="120" spans="3:8" x14ac:dyDescent="0.25">
      <c r="C120" s="402">
        <v>15000</v>
      </c>
      <c r="D120" s="166">
        <v>1</v>
      </c>
      <c r="E120" s="166">
        <v>1</v>
      </c>
      <c r="F120" s="166">
        <v>1</v>
      </c>
      <c r="H120" s="397" t="s">
        <v>1272</v>
      </c>
    </row>
    <row r="121" spans="3:8" x14ac:dyDescent="0.25">
      <c r="C121" s="403">
        <v>25000</v>
      </c>
      <c r="D121" s="167">
        <v>1</v>
      </c>
      <c r="E121" s="167">
        <v>1</v>
      </c>
      <c r="F121" s="167">
        <v>1</v>
      </c>
      <c r="H121" s="397" t="s">
        <v>1273</v>
      </c>
    </row>
    <row r="122" spans="3:8" x14ac:dyDescent="0.25">
      <c r="C122" s="169"/>
      <c r="D122" s="168">
        <v>1</v>
      </c>
      <c r="E122" s="168">
        <v>1</v>
      </c>
      <c r="F122" s="168">
        <v>1</v>
      </c>
      <c r="H122" s="397" t="s">
        <v>1271</v>
      </c>
    </row>
    <row r="123" spans="3:8" x14ac:dyDescent="0.25">
      <c r="C123" s="162"/>
      <c r="D123" s="162"/>
      <c r="E123" s="162"/>
      <c r="F123" s="82"/>
      <c r="G123" s="251"/>
    </row>
    <row r="124" spans="3:8" s="251" customFormat="1" x14ac:dyDescent="0.25"/>
    <row r="125" spans="3:8" x14ac:dyDescent="0.25">
      <c r="F125" s="82"/>
    </row>
    <row r="126" spans="3:8" x14ac:dyDescent="0.25">
      <c r="C126" s="426" t="s">
        <v>881</v>
      </c>
      <c r="D126" s="426"/>
      <c r="E126" s="426"/>
      <c r="F126" s="426"/>
    </row>
    <row r="127" spans="3:8" x14ac:dyDescent="0.25">
      <c r="C127" s="35" t="s">
        <v>211</v>
      </c>
      <c r="D127" s="164" t="s">
        <v>3</v>
      </c>
      <c r="E127" s="269" t="s">
        <v>13</v>
      </c>
      <c r="F127" s="269" t="s">
        <v>2</v>
      </c>
    </row>
    <row r="128" spans="3:8" x14ac:dyDescent="0.25">
      <c r="C128" s="404">
        <v>0</v>
      </c>
      <c r="D128" s="165">
        <v>1</v>
      </c>
      <c r="E128" s="165">
        <v>1</v>
      </c>
      <c r="F128" s="165">
        <v>1</v>
      </c>
      <c r="H128" s="397" t="s">
        <v>1271</v>
      </c>
    </row>
    <row r="129" spans="3:8" x14ac:dyDescent="0.25">
      <c r="C129" s="398">
        <v>1</v>
      </c>
      <c r="D129" s="166">
        <v>1</v>
      </c>
      <c r="E129" s="166">
        <v>1</v>
      </c>
      <c r="F129" s="166">
        <v>1</v>
      </c>
      <c r="H129" s="397" t="s">
        <v>1274</v>
      </c>
    </row>
    <row r="130" spans="3:8" x14ac:dyDescent="0.25">
      <c r="C130" s="398">
        <v>2</v>
      </c>
      <c r="D130" s="166">
        <v>1</v>
      </c>
      <c r="E130" s="166">
        <v>1</v>
      </c>
      <c r="F130" s="166">
        <v>1</v>
      </c>
      <c r="H130" s="397" t="s">
        <v>1271</v>
      </c>
    </row>
    <row r="131" spans="3:8" x14ac:dyDescent="0.25">
      <c r="C131" s="398">
        <v>3</v>
      </c>
      <c r="D131" s="166">
        <v>1</v>
      </c>
      <c r="E131" s="166">
        <v>1</v>
      </c>
      <c r="F131" s="166">
        <v>1</v>
      </c>
      <c r="H131" s="397" t="s">
        <v>1275</v>
      </c>
    </row>
    <row r="132" spans="3:8" x14ac:dyDescent="0.25">
      <c r="C132" s="398">
        <v>4</v>
      </c>
      <c r="D132" s="166">
        <v>1</v>
      </c>
      <c r="E132" s="166">
        <v>1</v>
      </c>
      <c r="F132" s="166">
        <v>1</v>
      </c>
      <c r="H132" s="397" t="s">
        <v>1276</v>
      </c>
    </row>
    <row r="133" spans="3:8" x14ac:dyDescent="0.25">
      <c r="C133" s="398">
        <v>5</v>
      </c>
      <c r="D133" s="166">
        <v>1</v>
      </c>
      <c r="E133" s="166">
        <v>1</v>
      </c>
      <c r="F133" s="166">
        <v>1</v>
      </c>
      <c r="H133" s="397" t="s">
        <v>1277</v>
      </c>
    </row>
    <row r="134" spans="3:8" x14ac:dyDescent="0.25">
      <c r="C134" s="398">
        <v>6</v>
      </c>
      <c r="D134" s="166">
        <v>1</v>
      </c>
      <c r="E134" s="166">
        <v>1</v>
      </c>
      <c r="F134" s="166">
        <v>1</v>
      </c>
      <c r="H134" s="397" t="s">
        <v>1278</v>
      </c>
    </row>
    <row r="135" spans="3:8" x14ac:dyDescent="0.25">
      <c r="C135" s="398">
        <v>7</v>
      </c>
      <c r="D135" s="166">
        <v>1</v>
      </c>
      <c r="E135" s="166">
        <v>1</v>
      </c>
      <c r="F135" s="166">
        <v>1</v>
      </c>
      <c r="H135" s="397" t="s">
        <v>1279</v>
      </c>
    </row>
    <row r="136" spans="3:8" x14ac:dyDescent="0.25">
      <c r="C136" s="405" t="s">
        <v>228</v>
      </c>
      <c r="D136" s="167">
        <v>1</v>
      </c>
      <c r="E136" s="167">
        <v>1</v>
      </c>
      <c r="F136" s="167">
        <v>1</v>
      </c>
      <c r="H136" s="397" t="s">
        <v>1280</v>
      </c>
    </row>
    <row r="137" spans="3:8" x14ac:dyDescent="0.25">
      <c r="F137" s="82"/>
    </row>
    <row r="138" spans="3:8" x14ac:dyDescent="0.25">
      <c r="C138" s="82"/>
      <c r="D138" s="82"/>
      <c r="E138" s="82"/>
      <c r="F138" s="82"/>
    </row>
    <row r="139" spans="3:8" x14ac:dyDescent="0.25">
      <c r="C139" s="414" t="s">
        <v>880</v>
      </c>
      <c r="D139" s="414"/>
    </row>
    <row r="140" spans="3:8" x14ac:dyDescent="0.25">
      <c r="C140" s="102" t="s">
        <v>66</v>
      </c>
      <c r="D140" s="12" t="s">
        <v>60</v>
      </c>
    </row>
    <row r="141" spans="3:8" x14ac:dyDescent="0.25">
      <c r="C141" s="25" t="s">
        <v>67</v>
      </c>
      <c r="D141" s="32">
        <v>0.9</v>
      </c>
    </row>
    <row r="142" spans="3:8" x14ac:dyDescent="0.25">
      <c r="C142" s="26" t="s">
        <v>68</v>
      </c>
      <c r="D142" s="33">
        <v>1</v>
      </c>
    </row>
    <row r="145" spans="3:6" x14ac:dyDescent="0.25">
      <c r="C145" s="426" t="s">
        <v>824</v>
      </c>
      <c r="D145" s="426"/>
      <c r="E145" s="426"/>
      <c r="F145" s="426"/>
    </row>
    <row r="146" spans="3:6" x14ac:dyDescent="0.25">
      <c r="C146" s="296" t="s">
        <v>59</v>
      </c>
      <c r="D146" s="164" t="s">
        <v>2</v>
      </c>
      <c r="E146" s="164" t="s">
        <v>13</v>
      </c>
      <c r="F146" s="164" t="s">
        <v>3</v>
      </c>
    </row>
    <row r="147" spans="3:6" x14ac:dyDescent="0.25">
      <c r="C147" s="393" t="s">
        <v>906</v>
      </c>
      <c r="D147" s="394">
        <v>0.98</v>
      </c>
      <c r="E147" s="394">
        <v>0.98</v>
      </c>
      <c r="F147" s="394">
        <v>1.1100000000000001</v>
      </c>
    </row>
    <row r="148" spans="3:6" x14ac:dyDescent="0.25">
      <c r="C148" s="393" t="s">
        <v>907</v>
      </c>
      <c r="D148" s="394">
        <v>0.98</v>
      </c>
      <c r="E148" s="394">
        <v>0.98</v>
      </c>
      <c r="F148" s="394">
        <v>0.93</v>
      </c>
    </row>
    <row r="149" spans="3:6" x14ac:dyDescent="0.25">
      <c r="C149" s="393" t="s">
        <v>908</v>
      </c>
      <c r="D149" s="394">
        <v>1.01</v>
      </c>
      <c r="E149" s="394">
        <v>1.01</v>
      </c>
      <c r="F149" s="394">
        <v>1.32</v>
      </c>
    </row>
    <row r="150" spans="3:6" x14ac:dyDescent="0.25">
      <c r="C150" s="393" t="s">
        <v>909</v>
      </c>
      <c r="D150" s="394">
        <v>0.93</v>
      </c>
      <c r="E150" s="394">
        <v>0.93</v>
      </c>
      <c r="F150" s="394">
        <v>0.88</v>
      </c>
    </row>
    <row r="151" spans="3:6" x14ac:dyDescent="0.25">
      <c r="C151" s="393" t="s">
        <v>910</v>
      </c>
      <c r="D151" s="394">
        <v>0.92</v>
      </c>
      <c r="E151" s="394">
        <v>0.92</v>
      </c>
      <c r="F151" s="394">
        <v>0.87</v>
      </c>
    </row>
    <row r="152" spans="3:6" x14ac:dyDescent="0.25">
      <c r="C152" s="393" t="s">
        <v>911</v>
      </c>
      <c r="D152" s="394">
        <v>0.95</v>
      </c>
      <c r="E152" s="394">
        <v>0.95</v>
      </c>
      <c r="F152" s="394">
        <v>0.9</v>
      </c>
    </row>
    <row r="153" spans="3:6" x14ac:dyDescent="0.25">
      <c r="C153" s="393" t="s">
        <v>912</v>
      </c>
      <c r="D153" s="394">
        <v>0.93</v>
      </c>
      <c r="E153" s="394">
        <v>0.93</v>
      </c>
      <c r="F153" s="394">
        <v>0.93</v>
      </c>
    </row>
    <row r="154" spans="3:6" x14ac:dyDescent="0.25">
      <c r="C154" s="393" t="s">
        <v>913</v>
      </c>
      <c r="D154" s="394">
        <v>0.95</v>
      </c>
      <c r="E154" s="394">
        <v>0.95</v>
      </c>
      <c r="F154" s="394">
        <v>0.97</v>
      </c>
    </row>
    <row r="155" spans="3:6" x14ac:dyDescent="0.25">
      <c r="C155" s="393" t="s">
        <v>914</v>
      </c>
      <c r="D155" s="394">
        <v>1.01</v>
      </c>
      <c r="E155" s="394">
        <v>1.01</v>
      </c>
      <c r="F155" s="394">
        <v>1.01</v>
      </c>
    </row>
    <row r="156" spans="3:6" x14ac:dyDescent="0.25">
      <c r="C156" s="393" t="s">
        <v>915</v>
      </c>
      <c r="D156" s="394">
        <v>0.97</v>
      </c>
      <c r="E156" s="394">
        <v>0.97</v>
      </c>
      <c r="F156" s="394">
        <v>1.22</v>
      </c>
    </row>
    <row r="157" spans="3:6" x14ac:dyDescent="0.25">
      <c r="C157" s="393" t="s">
        <v>916</v>
      </c>
      <c r="D157" s="394">
        <v>0.96</v>
      </c>
      <c r="E157" s="394">
        <v>0.96</v>
      </c>
      <c r="F157" s="394">
        <v>0.91</v>
      </c>
    </row>
    <row r="158" spans="3:6" x14ac:dyDescent="0.25">
      <c r="C158" s="393" t="s">
        <v>917</v>
      </c>
      <c r="D158" s="394">
        <v>1.06</v>
      </c>
      <c r="E158" s="394">
        <v>1.06</v>
      </c>
      <c r="F158" s="394">
        <v>1.01</v>
      </c>
    </row>
    <row r="159" spans="3:6" x14ac:dyDescent="0.25">
      <c r="C159" s="393" t="s">
        <v>918</v>
      </c>
      <c r="D159" s="394">
        <v>1.02</v>
      </c>
      <c r="E159" s="394">
        <v>1.02</v>
      </c>
      <c r="F159" s="394">
        <v>0.97</v>
      </c>
    </row>
    <row r="160" spans="3:6" x14ac:dyDescent="0.25">
      <c r="C160" s="393" t="s">
        <v>919</v>
      </c>
      <c r="D160" s="394">
        <v>1</v>
      </c>
      <c r="E160" s="394">
        <v>1</v>
      </c>
      <c r="F160" s="394">
        <v>0.95</v>
      </c>
    </row>
    <row r="161" spans="3:6" x14ac:dyDescent="0.25">
      <c r="C161" s="393" t="s">
        <v>920</v>
      </c>
      <c r="D161" s="394">
        <v>0.94</v>
      </c>
      <c r="E161" s="394">
        <v>0.94</v>
      </c>
      <c r="F161" s="394">
        <v>1.17</v>
      </c>
    </row>
    <row r="162" spans="3:6" x14ac:dyDescent="0.25">
      <c r="C162" s="393" t="s">
        <v>921</v>
      </c>
      <c r="D162" s="394">
        <v>0.9</v>
      </c>
      <c r="E162" s="394">
        <v>0.9</v>
      </c>
      <c r="F162" s="394">
        <v>0.85</v>
      </c>
    </row>
    <row r="163" spans="3:6" x14ac:dyDescent="0.25">
      <c r="C163" s="393" t="s">
        <v>922</v>
      </c>
      <c r="D163" s="394">
        <v>0.99</v>
      </c>
      <c r="E163" s="394">
        <v>0.99</v>
      </c>
      <c r="F163" s="394">
        <v>0.94</v>
      </c>
    </row>
    <row r="164" spans="3:6" x14ac:dyDescent="0.25">
      <c r="C164" s="393" t="s">
        <v>923</v>
      </c>
      <c r="D164" s="394">
        <v>1.01</v>
      </c>
      <c r="E164" s="394">
        <v>1.01</v>
      </c>
      <c r="F164" s="394">
        <v>0.96</v>
      </c>
    </row>
    <row r="165" spans="3:6" x14ac:dyDescent="0.25">
      <c r="C165" s="393" t="s">
        <v>924</v>
      </c>
      <c r="D165" s="394">
        <v>0.91</v>
      </c>
      <c r="E165" s="394">
        <v>0.91</v>
      </c>
      <c r="F165" s="394">
        <v>0.86</v>
      </c>
    </row>
    <row r="166" spans="3:6" x14ac:dyDescent="0.25">
      <c r="C166" s="393" t="s">
        <v>925</v>
      </c>
      <c r="D166" s="394">
        <v>1.01</v>
      </c>
      <c r="E166" s="394">
        <v>1.01</v>
      </c>
      <c r="F166" s="394">
        <v>1.1100000000000001</v>
      </c>
    </row>
    <row r="167" spans="3:6" x14ac:dyDescent="0.25">
      <c r="C167" s="393" t="s">
        <v>926</v>
      </c>
      <c r="D167" s="394">
        <v>0.93</v>
      </c>
      <c r="E167" s="394">
        <v>0.93</v>
      </c>
      <c r="F167" s="394">
        <v>1.25</v>
      </c>
    </row>
    <row r="168" spans="3:6" x14ac:dyDescent="0.25">
      <c r="C168" s="393" t="s">
        <v>927</v>
      </c>
      <c r="D168" s="394">
        <v>0.94</v>
      </c>
      <c r="E168" s="394">
        <v>0.94</v>
      </c>
      <c r="F168" s="394">
        <v>1.18</v>
      </c>
    </row>
    <row r="169" spans="3:6" x14ac:dyDescent="0.25">
      <c r="C169" s="393" t="s">
        <v>928</v>
      </c>
      <c r="D169" s="394">
        <v>0.94</v>
      </c>
      <c r="E169" s="394">
        <v>0.94</v>
      </c>
      <c r="F169" s="394">
        <v>0.89</v>
      </c>
    </row>
    <row r="170" spans="3:6" x14ac:dyDescent="0.25">
      <c r="C170" s="393" t="s">
        <v>929</v>
      </c>
      <c r="D170" s="394">
        <v>0.86</v>
      </c>
      <c r="E170" s="394">
        <v>0.86</v>
      </c>
      <c r="F170" s="394">
        <v>0.81</v>
      </c>
    </row>
    <row r="171" spans="3:6" x14ac:dyDescent="0.25">
      <c r="C171" s="393" t="s">
        <v>930</v>
      </c>
      <c r="D171" s="394">
        <v>1.05</v>
      </c>
      <c r="E171" s="394">
        <v>1.05</v>
      </c>
      <c r="F171" s="394">
        <v>1.31</v>
      </c>
    </row>
    <row r="172" spans="3:6" x14ac:dyDescent="0.25">
      <c r="C172" s="393" t="s">
        <v>931</v>
      </c>
      <c r="D172" s="394">
        <v>1.03</v>
      </c>
      <c r="E172" s="394">
        <v>1.03</v>
      </c>
      <c r="F172" s="394">
        <v>1.24</v>
      </c>
    </row>
    <row r="173" spans="3:6" x14ac:dyDescent="0.25">
      <c r="C173" s="393" t="s">
        <v>932</v>
      </c>
      <c r="D173" s="394">
        <v>1.03</v>
      </c>
      <c r="E173" s="394">
        <v>1.03</v>
      </c>
      <c r="F173" s="394">
        <v>0.98</v>
      </c>
    </row>
    <row r="174" spans="3:6" x14ac:dyDescent="0.25">
      <c r="C174" s="393" t="s">
        <v>933</v>
      </c>
      <c r="D174" s="394">
        <v>1.03</v>
      </c>
      <c r="E174" s="394">
        <v>1.03</v>
      </c>
      <c r="F174" s="394">
        <v>1.3</v>
      </c>
    </row>
    <row r="175" spans="3:6" x14ac:dyDescent="0.25">
      <c r="C175" s="393" t="s">
        <v>934</v>
      </c>
      <c r="D175" s="394">
        <v>1.04</v>
      </c>
      <c r="E175" s="394">
        <v>1.04</v>
      </c>
      <c r="F175" s="394">
        <v>0.99</v>
      </c>
    </row>
    <row r="176" spans="3:6" x14ac:dyDescent="0.25">
      <c r="C176" s="393" t="s">
        <v>935</v>
      </c>
      <c r="D176" s="394">
        <v>0.99</v>
      </c>
      <c r="E176" s="394">
        <v>0.99</v>
      </c>
      <c r="F176" s="394">
        <v>1.27</v>
      </c>
    </row>
    <row r="177" spans="3:6" x14ac:dyDescent="0.25">
      <c r="C177" s="393" t="s">
        <v>936</v>
      </c>
      <c r="D177" s="394">
        <v>1.07</v>
      </c>
      <c r="E177" s="394">
        <v>1.07</v>
      </c>
      <c r="F177" s="394">
        <v>1.02</v>
      </c>
    </row>
    <row r="178" spans="3:6" x14ac:dyDescent="0.25">
      <c r="C178" s="393" t="s">
        <v>937</v>
      </c>
      <c r="D178" s="394">
        <v>0.92</v>
      </c>
      <c r="E178" s="394">
        <v>0.92</v>
      </c>
      <c r="F178" s="394">
        <v>1.2</v>
      </c>
    </row>
    <row r="179" spans="3:6" x14ac:dyDescent="0.25">
      <c r="C179" s="393" t="s">
        <v>938</v>
      </c>
      <c r="D179" s="394">
        <v>0.88</v>
      </c>
      <c r="E179" s="394">
        <v>0.88</v>
      </c>
      <c r="F179" s="394">
        <v>0.83</v>
      </c>
    </row>
    <row r="180" spans="3:6" x14ac:dyDescent="0.25">
      <c r="C180" s="393" t="s">
        <v>939</v>
      </c>
      <c r="D180" s="394">
        <v>0.87</v>
      </c>
      <c r="E180" s="394">
        <v>0.87</v>
      </c>
      <c r="F180" s="394">
        <v>0.82</v>
      </c>
    </row>
    <row r="181" spans="3:6" x14ac:dyDescent="0.25">
      <c r="C181" s="393" t="s">
        <v>940</v>
      </c>
      <c r="D181" s="394">
        <v>1.3</v>
      </c>
      <c r="E181" s="394">
        <v>1.3</v>
      </c>
      <c r="F181" s="394">
        <v>1.24</v>
      </c>
    </row>
    <row r="182" spans="3:6" x14ac:dyDescent="0.25">
      <c r="C182" s="393" t="s">
        <v>941</v>
      </c>
      <c r="D182" s="394">
        <v>1.28</v>
      </c>
      <c r="E182" s="394">
        <v>1.28</v>
      </c>
      <c r="F182" s="394">
        <v>1.26</v>
      </c>
    </row>
    <row r="183" spans="3:6" x14ac:dyDescent="0.25">
      <c r="C183" s="393" t="s">
        <v>942</v>
      </c>
      <c r="D183" s="394">
        <v>1.21</v>
      </c>
      <c r="E183" s="394">
        <v>1.21</v>
      </c>
      <c r="F183" s="394">
        <v>1.33</v>
      </c>
    </row>
    <row r="184" spans="3:6" x14ac:dyDescent="0.25">
      <c r="C184" s="393" t="s">
        <v>943</v>
      </c>
      <c r="D184" s="394">
        <v>1.22</v>
      </c>
      <c r="E184" s="394">
        <v>1.22</v>
      </c>
      <c r="F184" s="394">
        <v>1.21</v>
      </c>
    </row>
    <row r="185" spans="3:6" x14ac:dyDescent="0.25">
      <c r="C185" s="393" t="s">
        <v>944</v>
      </c>
      <c r="D185" s="394">
        <v>1.29</v>
      </c>
      <c r="E185" s="394">
        <v>1.29</v>
      </c>
      <c r="F185" s="394">
        <v>1.24</v>
      </c>
    </row>
    <row r="186" spans="3:6" x14ac:dyDescent="0.25">
      <c r="C186" s="393" t="s">
        <v>945</v>
      </c>
      <c r="D186" s="394">
        <v>1.33</v>
      </c>
      <c r="E186" s="394">
        <v>1.33</v>
      </c>
      <c r="F186" s="394">
        <v>1.26</v>
      </c>
    </row>
    <row r="187" spans="3:6" x14ac:dyDescent="0.25">
      <c r="C187" s="393" t="s">
        <v>946</v>
      </c>
      <c r="D187" s="394">
        <v>1.28</v>
      </c>
      <c r="E187" s="394">
        <v>1.28</v>
      </c>
      <c r="F187" s="394">
        <v>1.08</v>
      </c>
    </row>
    <row r="188" spans="3:6" x14ac:dyDescent="0.25">
      <c r="C188" s="393" t="s">
        <v>947</v>
      </c>
      <c r="D188" s="394">
        <v>1.28</v>
      </c>
      <c r="E188" s="394">
        <v>1.28</v>
      </c>
      <c r="F188" s="394">
        <v>1.23</v>
      </c>
    </row>
    <row r="189" spans="3:6" x14ac:dyDescent="0.25">
      <c r="C189" s="393" t="s">
        <v>948</v>
      </c>
      <c r="D189" s="394">
        <v>1.1000000000000001</v>
      </c>
      <c r="E189" s="394">
        <v>1.1000000000000001</v>
      </c>
      <c r="F189" s="394">
        <v>1.05</v>
      </c>
    </row>
    <row r="190" spans="3:6" x14ac:dyDescent="0.25">
      <c r="C190" s="393" t="s">
        <v>949</v>
      </c>
      <c r="D190" s="394">
        <v>1.1399999999999999</v>
      </c>
      <c r="E190" s="394">
        <v>1.1399999999999999</v>
      </c>
      <c r="F190" s="394">
        <v>1.0900000000000001</v>
      </c>
    </row>
    <row r="191" spans="3:6" x14ac:dyDescent="0.25">
      <c r="C191" s="393" t="s">
        <v>950</v>
      </c>
      <c r="D191" s="394">
        <v>1.1399999999999999</v>
      </c>
      <c r="E191" s="394">
        <v>1.1399999999999999</v>
      </c>
      <c r="F191" s="394">
        <v>1.26</v>
      </c>
    </row>
    <row r="192" spans="3:6" x14ac:dyDescent="0.25">
      <c r="C192" s="393" t="s">
        <v>951</v>
      </c>
      <c r="D192" s="394">
        <v>1.1100000000000001</v>
      </c>
      <c r="E192" s="394">
        <v>1.1100000000000001</v>
      </c>
      <c r="F192" s="394">
        <v>1.26</v>
      </c>
    </row>
    <row r="193" spans="3:6" x14ac:dyDescent="0.25">
      <c r="C193" s="393" t="s">
        <v>952</v>
      </c>
      <c r="D193" s="394">
        <v>1.1200000000000001</v>
      </c>
      <c r="E193" s="394">
        <v>1.1200000000000001</v>
      </c>
      <c r="F193" s="394">
        <v>1.08</v>
      </c>
    </row>
    <row r="194" spans="3:6" x14ac:dyDescent="0.25">
      <c r="C194" s="393" t="s">
        <v>953</v>
      </c>
      <c r="D194" s="394">
        <v>1.1100000000000001</v>
      </c>
      <c r="E194" s="394">
        <v>1.1100000000000001</v>
      </c>
      <c r="F194" s="394">
        <v>1.18</v>
      </c>
    </row>
    <row r="195" spans="3:6" x14ac:dyDescent="0.25">
      <c r="C195" s="393" t="s">
        <v>954</v>
      </c>
      <c r="D195" s="394">
        <v>1.1100000000000001</v>
      </c>
      <c r="E195" s="394">
        <v>1.1100000000000001</v>
      </c>
      <c r="F195" s="394">
        <v>1.08</v>
      </c>
    </row>
    <row r="196" spans="3:6" x14ac:dyDescent="0.25">
      <c r="C196" s="393" t="s">
        <v>955</v>
      </c>
      <c r="D196" s="394">
        <v>1.1000000000000001</v>
      </c>
      <c r="E196" s="394">
        <v>1.1000000000000001</v>
      </c>
      <c r="F196" s="394">
        <v>1.26</v>
      </c>
    </row>
    <row r="197" spans="3:6" x14ac:dyDescent="0.25">
      <c r="C197" s="393" t="s">
        <v>956</v>
      </c>
      <c r="D197" s="394">
        <v>1.3</v>
      </c>
      <c r="E197" s="394">
        <v>1.3</v>
      </c>
      <c r="F197" s="394">
        <v>1.68</v>
      </c>
    </row>
    <row r="198" spans="3:6" x14ac:dyDescent="0.25">
      <c r="C198" s="393" t="s">
        <v>957</v>
      </c>
      <c r="D198" s="394">
        <v>1.3</v>
      </c>
      <c r="E198" s="394">
        <v>1.3</v>
      </c>
      <c r="F198" s="394">
        <v>1.22</v>
      </c>
    </row>
    <row r="199" spans="3:6" x14ac:dyDescent="0.25">
      <c r="C199" s="393" t="s">
        <v>958</v>
      </c>
      <c r="D199" s="394">
        <v>1.22</v>
      </c>
      <c r="E199" s="394">
        <v>1.22</v>
      </c>
      <c r="F199" s="394">
        <v>1.17</v>
      </c>
    </row>
    <row r="200" spans="3:6" x14ac:dyDescent="0.25">
      <c r="C200" s="393" t="s">
        <v>959</v>
      </c>
      <c r="D200" s="394">
        <v>1.08</v>
      </c>
      <c r="E200" s="394">
        <v>1.08</v>
      </c>
      <c r="F200" s="394">
        <v>1.33</v>
      </c>
    </row>
    <row r="201" spans="3:6" x14ac:dyDescent="0.25">
      <c r="C201" s="393" t="s">
        <v>960</v>
      </c>
      <c r="D201" s="394">
        <v>1.07</v>
      </c>
      <c r="E201" s="394">
        <v>1.07</v>
      </c>
      <c r="F201" s="394">
        <v>1.21</v>
      </c>
    </row>
    <row r="202" spans="3:6" x14ac:dyDescent="0.25">
      <c r="C202" s="393" t="s">
        <v>961</v>
      </c>
      <c r="D202" s="394">
        <v>1.0900000000000001</v>
      </c>
      <c r="E202" s="394">
        <v>1.0900000000000001</v>
      </c>
      <c r="F202" s="394">
        <v>1.04</v>
      </c>
    </row>
    <row r="203" spans="3:6" x14ac:dyDescent="0.25">
      <c r="C203" s="393" t="s">
        <v>962</v>
      </c>
      <c r="D203" s="394">
        <v>1.1200000000000001</v>
      </c>
      <c r="E203" s="394">
        <v>1.1200000000000001</v>
      </c>
      <c r="F203" s="394">
        <v>1.21</v>
      </c>
    </row>
    <row r="204" spans="3:6" x14ac:dyDescent="0.25">
      <c r="C204" s="393" t="s">
        <v>963</v>
      </c>
      <c r="D204" s="394">
        <v>1.2</v>
      </c>
      <c r="E204" s="394">
        <v>1.2</v>
      </c>
      <c r="F204" s="394">
        <v>1.1499999999999999</v>
      </c>
    </row>
    <row r="205" spans="3:6" x14ac:dyDescent="0.25">
      <c r="C205" s="393" t="s">
        <v>964</v>
      </c>
      <c r="D205" s="394">
        <v>1.26</v>
      </c>
      <c r="E205" s="394">
        <v>1.26</v>
      </c>
      <c r="F205" s="394">
        <v>1.21</v>
      </c>
    </row>
    <row r="206" spans="3:6" x14ac:dyDescent="0.25">
      <c r="C206" s="393" t="s">
        <v>965</v>
      </c>
      <c r="D206" s="394">
        <v>1.35</v>
      </c>
      <c r="E206" s="394">
        <v>1.35</v>
      </c>
      <c r="F206" s="394">
        <v>1.57</v>
      </c>
    </row>
    <row r="207" spans="3:6" x14ac:dyDescent="0.25">
      <c r="C207" s="393" t="s">
        <v>966</v>
      </c>
      <c r="D207" s="394">
        <v>1.32</v>
      </c>
      <c r="E207" s="394">
        <v>1.32</v>
      </c>
      <c r="F207" s="394">
        <v>1.1100000000000001</v>
      </c>
    </row>
    <row r="208" spans="3:6" x14ac:dyDescent="0.25">
      <c r="C208" s="393" t="s">
        <v>967</v>
      </c>
      <c r="D208" s="394">
        <v>1.1200000000000001</v>
      </c>
      <c r="E208" s="394">
        <v>1.1200000000000001</v>
      </c>
      <c r="F208" s="394">
        <v>1.07</v>
      </c>
    </row>
    <row r="209" spans="3:6" x14ac:dyDescent="0.25">
      <c r="C209" s="393" t="s">
        <v>968</v>
      </c>
      <c r="D209" s="394">
        <v>1.18</v>
      </c>
      <c r="E209" s="394">
        <v>1.18</v>
      </c>
      <c r="F209" s="394">
        <v>1.26</v>
      </c>
    </row>
    <row r="210" spans="3:6" x14ac:dyDescent="0.25">
      <c r="C210" s="393" t="s">
        <v>969</v>
      </c>
      <c r="D210" s="394">
        <v>1.17</v>
      </c>
      <c r="E210" s="394">
        <v>1.17</v>
      </c>
      <c r="F210" s="394">
        <v>1.1200000000000001</v>
      </c>
    </row>
    <row r="211" spans="3:6" x14ac:dyDescent="0.25">
      <c r="C211" s="393" t="s">
        <v>970</v>
      </c>
      <c r="D211" s="394">
        <v>1.26</v>
      </c>
      <c r="E211" s="394">
        <v>1.26</v>
      </c>
      <c r="F211" s="394">
        <v>1.5</v>
      </c>
    </row>
    <row r="212" spans="3:6" x14ac:dyDescent="0.25">
      <c r="C212" s="393" t="s">
        <v>971</v>
      </c>
      <c r="D212" s="394">
        <v>1.21</v>
      </c>
      <c r="E212" s="394">
        <v>1.21</v>
      </c>
      <c r="F212" s="394">
        <v>1.1599999999999999</v>
      </c>
    </row>
    <row r="213" spans="3:6" x14ac:dyDescent="0.25">
      <c r="C213" s="393" t="s">
        <v>972</v>
      </c>
      <c r="D213" s="394">
        <v>1.19</v>
      </c>
      <c r="E213" s="394">
        <v>1.19</v>
      </c>
      <c r="F213" s="394">
        <v>1.18</v>
      </c>
    </row>
    <row r="214" spans="3:6" x14ac:dyDescent="0.25">
      <c r="C214" s="393" t="s">
        <v>973</v>
      </c>
      <c r="D214" s="394">
        <v>1.05</v>
      </c>
      <c r="E214" s="394">
        <v>1.05</v>
      </c>
      <c r="F214" s="394">
        <v>1</v>
      </c>
    </row>
    <row r="215" spans="3:6" x14ac:dyDescent="0.25">
      <c r="C215" s="393" t="s">
        <v>974</v>
      </c>
      <c r="D215" s="394">
        <v>1.04</v>
      </c>
      <c r="E215" s="394">
        <v>1.04</v>
      </c>
      <c r="F215" s="394">
        <v>1.26</v>
      </c>
    </row>
    <row r="216" spans="3:6" x14ac:dyDescent="0.25">
      <c r="C216" s="393" t="s">
        <v>975</v>
      </c>
      <c r="D216" s="394">
        <v>0.91</v>
      </c>
      <c r="E216" s="394">
        <v>0.91</v>
      </c>
      <c r="F216" s="394">
        <v>0.9</v>
      </c>
    </row>
    <row r="217" spans="3:6" x14ac:dyDescent="0.25">
      <c r="C217" s="393" t="s">
        <v>976</v>
      </c>
      <c r="D217" s="394">
        <v>0.98</v>
      </c>
      <c r="E217" s="394">
        <v>0.98</v>
      </c>
      <c r="F217" s="394">
        <v>1.08</v>
      </c>
    </row>
    <row r="218" spans="3:6" x14ac:dyDescent="0.25">
      <c r="C218" s="393" t="s">
        <v>977</v>
      </c>
      <c r="D218" s="394">
        <v>1.06</v>
      </c>
      <c r="E218" s="394">
        <v>1.06</v>
      </c>
      <c r="F218" s="394">
        <v>1.37</v>
      </c>
    </row>
    <row r="219" spans="3:6" x14ac:dyDescent="0.25">
      <c r="C219" s="393" t="s">
        <v>978</v>
      </c>
      <c r="D219" s="394">
        <v>1.02</v>
      </c>
      <c r="E219" s="394">
        <v>1.02</v>
      </c>
      <c r="F219" s="394">
        <v>1.08</v>
      </c>
    </row>
    <row r="220" spans="3:6" x14ac:dyDescent="0.25">
      <c r="C220" s="393" t="s">
        <v>979</v>
      </c>
      <c r="D220" s="394">
        <v>1.08</v>
      </c>
      <c r="E220" s="394">
        <v>1.08</v>
      </c>
      <c r="F220" s="394">
        <v>1.03</v>
      </c>
    </row>
    <row r="221" spans="3:6" x14ac:dyDescent="0.25">
      <c r="C221" s="393" t="s">
        <v>980</v>
      </c>
      <c r="D221" s="394">
        <v>0.96</v>
      </c>
      <c r="E221" s="394">
        <v>0.96</v>
      </c>
      <c r="F221" s="394">
        <v>1.26</v>
      </c>
    </row>
    <row r="222" spans="3:6" x14ac:dyDescent="0.25">
      <c r="C222" s="393" t="s">
        <v>981</v>
      </c>
      <c r="D222" s="394">
        <v>1.04</v>
      </c>
      <c r="E222" s="394">
        <v>1.04</v>
      </c>
      <c r="F222" s="394">
        <v>1.35</v>
      </c>
    </row>
    <row r="223" spans="3:6" x14ac:dyDescent="0.25">
      <c r="C223" s="393" t="s">
        <v>982</v>
      </c>
      <c r="D223" s="394">
        <v>0.79</v>
      </c>
      <c r="E223" s="394">
        <v>0.79</v>
      </c>
      <c r="F223" s="394">
        <v>0.74</v>
      </c>
    </row>
    <row r="224" spans="3:6" x14ac:dyDescent="0.25">
      <c r="C224" s="393" t="s">
        <v>983</v>
      </c>
      <c r="D224" s="394">
        <v>1.1100000000000001</v>
      </c>
      <c r="E224" s="394">
        <v>1.1100000000000001</v>
      </c>
      <c r="F224" s="394">
        <v>1.21</v>
      </c>
    </row>
    <row r="225" spans="3:6" x14ac:dyDescent="0.25">
      <c r="C225" s="393" t="s">
        <v>984</v>
      </c>
      <c r="D225" s="394">
        <v>1.4</v>
      </c>
      <c r="E225" s="394">
        <v>1.4</v>
      </c>
      <c r="F225" s="394">
        <v>1.29</v>
      </c>
    </row>
    <row r="226" spans="3:6" x14ac:dyDescent="0.25">
      <c r="C226" s="393" t="s">
        <v>985</v>
      </c>
      <c r="D226" s="394">
        <v>1.4</v>
      </c>
      <c r="E226" s="394">
        <v>1.4</v>
      </c>
      <c r="F226" s="394">
        <v>1.86</v>
      </c>
    </row>
    <row r="227" spans="3:6" x14ac:dyDescent="0.25">
      <c r="C227" s="393" t="s">
        <v>986</v>
      </c>
      <c r="D227" s="394">
        <v>1.25</v>
      </c>
      <c r="E227" s="394">
        <v>1.25</v>
      </c>
      <c r="F227" s="394">
        <v>1.41</v>
      </c>
    </row>
    <row r="228" spans="3:6" x14ac:dyDescent="0.25">
      <c r="C228" s="393" t="s">
        <v>987</v>
      </c>
      <c r="D228" s="394">
        <v>1.27</v>
      </c>
      <c r="E228" s="394">
        <v>1.27</v>
      </c>
      <c r="F228" s="394">
        <v>1.33</v>
      </c>
    </row>
    <row r="229" spans="3:6" x14ac:dyDescent="0.25">
      <c r="C229" s="393" t="s">
        <v>988</v>
      </c>
      <c r="D229" s="394">
        <v>1.3</v>
      </c>
      <c r="E229" s="394">
        <v>1.3</v>
      </c>
      <c r="F229" s="394">
        <v>1.33</v>
      </c>
    </row>
    <row r="230" spans="3:6" x14ac:dyDescent="0.25">
      <c r="C230" s="393" t="s">
        <v>989</v>
      </c>
      <c r="D230" s="394">
        <v>1.31</v>
      </c>
      <c r="E230" s="394">
        <v>1.31</v>
      </c>
      <c r="F230" s="394">
        <v>1.25</v>
      </c>
    </row>
    <row r="231" spans="3:6" x14ac:dyDescent="0.25">
      <c r="C231" s="393" t="s">
        <v>990</v>
      </c>
      <c r="D231" s="394">
        <v>1.2</v>
      </c>
      <c r="E231" s="394">
        <v>1.2</v>
      </c>
      <c r="F231" s="394">
        <v>1.33</v>
      </c>
    </row>
    <row r="232" spans="3:6" x14ac:dyDescent="0.25">
      <c r="C232" s="393" t="s">
        <v>991</v>
      </c>
      <c r="D232" s="394">
        <v>1.3</v>
      </c>
      <c r="E232" s="394">
        <v>1.3</v>
      </c>
      <c r="F232" s="394">
        <v>1.23</v>
      </c>
    </row>
    <row r="233" spans="3:6" x14ac:dyDescent="0.25">
      <c r="C233" s="393" t="s">
        <v>992</v>
      </c>
      <c r="D233" s="394">
        <v>1.32</v>
      </c>
      <c r="E233" s="394">
        <v>1.32</v>
      </c>
      <c r="F233" s="394">
        <v>1.27</v>
      </c>
    </row>
    <row r="234" spans="3:6" x14ac:dyDescent="0.25">
      <c r="C234" s="393" t="s">
        <v>993</v>
      </c>
      <c r="D234" s="394">
        <v>1.19</v>
      </c>
      <c r="E234" s="394">
        <v>1.19</v>
      </c>
      <c r="F234" s="394">
        <v>1.69</v>
      </c>
    </row>
    <row r="235" spans="3:6" x14ac:dyDescent="0.25">
      <c r="C235" s="393" t="s">
        <v>994</v>
      </c>
      <c r="D235" s="394">
        <v>1.1599999999999999</v>
      </c>
      <c r="E235" s="394">
        <v>1.1599999999999999</v>
      </c>
      <c r="F235" s="394">
        <v>1.21</v>
      </c>
    </row>
    <row r="236" spans="3:6" x14ac:dyDescent="0.25">
      <c r="C236" s="393" t="s">
        <v>995</v>
      </c>
      <c r="D236" s="394">
        <v>1.19</v>
      </c>
      <c r="E236" s="394">
        <v>1.19</v>
      </c>
      <c r="F236" s="394">
        <v>1.21</v>
      </c>
    </row>
    <row r="237" spans="3:6" x14ac:dyDescent="0.25">
      <c r="C237" s="393" t="s">
        <v>996</v>
      </c>
      <c r="D237" s="394">
        <v>1.47</v>
      </c>
      <c r="E237" s="394">
        <v>1.47</v>
      </c>
      <c r="F237" s="394">
        <v>1.25</v>
      </c>
    </row>
    <row r="238" spans="3:6" x14ac:dyDescent="0.25">
      <c r="C238" s="393" t="s">
        <v>997</v>
      </c>
      <c r="D238" s="394">
        <v>1.34</v>
      </c>
      <c r="E238" s="394">
        <v>1.34</v>
      </c>
      <c r="F238" s="394">
        <v>1.25</v>
      </c>
    </row>
    <row r="239" spans="3:6" x14ac:dyDescent="0.25">
      <c r="C239" s="393" t="s">
        <v>998</v>
      </c>
      <c r="D239" s="394">
        <v>1.23</v>
      </c>
      <c r="E239" s="394">
        <v>1.23</v>
      </c>
      <c r="F239" s="394">
        <v>1.18</v>
      </c>
    </row>
    <row r="240" spans="3:6" x14ac:dyDescent="0.25">
      <c r="C240" s="393" t="s">
        <v>999</v>
      </c>
      <c r="D240" s="394">
        <v>1.35</v>
      </c>
      <c r="E240" s="394">
        <v>1.35</v>
      </c>
      <c r="F240" s="394">
        <v>1.26</v>
      </c>
    </row>
    <row r="241" spans="3:6" x14ac:dyDescent="0.25">
      <c r="C241" s="393" t="s">
        <v>1000</v>
      </c>
      <c r="D241" s="394">
        <v>1.1599999999999999</v>
      </c>
      <c r="E241" s="394">
        <v>1.1599999999999999</v>
      </c>
      <c r="F241" s="394">
        <v>1.33</v>
      </c>
    </row>
    <row r="242" spans="3:6" x14ac:dyDescent="0.25">
      <c r="C242" s="393" t="s">
        <v>1001</v>
      </c>
      <c r="D242" s="394">
        <v>1.3</v>
      </c>
      <c r="E242" s="394">
        <v>1.3</v>
      </c>
      <c r="F242" s="394">
        <v>1.21</v>
      </c>
    </row>
    <row r="243" spans="3:6" x14ac:dyDescent="0.25">
      <c r="C243" s="393" t="s">
        <v>1002</v>
      </c>
      <c r="D243" s="394">
        <v>0.84</v>
      </c>
      <c r="E243" s="394">
        <v>0.84</v>
      </c>
      <c r="F243" s="394">
        <v>0.79</v>
      </c>
    </row>
    <row r="244" spans="3:6" x14ac:dyDescent="0.25">
      <c r="C244" s="393" t="s">
        <v>1003</v>
      </c>
      <c r="D244" s="394">
        <v>1.1025</v>
      </c>
      <c r="E244" s="394">
        <v>1.1025</v>
      </c>
      <c r="F244" s="394">
        <v>1.02</v>
      </c>
    </row>
    <row r="245" spans="3:6" x14ac:dyDescent="0.25">
      <c r="C245" s="393" t="s">
        <v>1004</v>
      </c>
      <c r="D245" s="394">
        <v>1.0814999999999999</v>
      </c>
      <c r="E245" s="394">
        <v>1.0814999999999999</v>
      </c>
      <c r="F245" s="394">
        <v>1.02</v>
      </c>
    </row>
    <row r="246" spans="3:6" x14ac:dyDescent="0.25">
      <c r="C246" s="393" t="s">
        <v>1005</v>
      </c>
      <c r="D246" s="394">
        <v>1.155</v>
      </c>
      <c r="E246" s="394">
        <v>1.155</v>
      </c>
      <c r="F246" s="394">
        <v>1.08</v>
      </c>
    </row>
    <row r="247" spans="3:6" x14ac:dyDescent="0.25">
      <c r="C247" s="393" t="s">
        <v>1006</v>
      </c>
      <c r="D247" s="394">
        <v>1.0814999999999999</v>
      </c>
      <c r="E247" s="394">
        <v>1.0814999999999999</v>
      </c>
      <c r="F247" s="394">
        <v>1.01</v>
      </c>
    </row>
    <row r="248" spans="3:6" x14ac:dyDescent="0.25">
      <c r="C248" s="393" t="s">
        <v>1007</v>
      </c>
      <c r="D248" s="394">
        <v>1.218</v>
      </c>
      <c r="E248" s="394">
        <v>1.218</v>
      </c>
      <c r="F248" s="394">
        <v>1.1299999999999999</v>
      </c>
    </row>
    <row r="249" spans="3:6" x14ac:dyDescent="0.25">
      <c r="C249" s="393" t="s">
        <v>1008</v>
      </c>
      <c r="D249" s="394">
        <v>1.05</v>
      </c>
      <c r="E249" s="394">
        <v>1.05</v>
      </c>
      <c r="F249" s="394">
        <v>0.99</v>
      </c>
    </row>
    <row r="250" spans="3:6" x14ac:dyDescent="0.25">
      <c r="C250" s="393" t="s">
        <v>1009</v>
      </c>
      <c r="D250" s="394">
        <v>1.1499999999999999</v>
      </c>
      <c r="E250" s="394">
        <v>1.1499999999999999</v>
      </c>
      <c r="F250" s="394">
        <v>0.84</v>
      </c>
    </row>
    <row r="251" spans="3:6" x14ac:dyDescent="0.25">
      <c r="C251" s="393" t="s">
        <v>1010</v>
      </c>
      <c r="D251" s="394">
        <v>1.22</v>
      </c>
      <c r="E251" s="394">
        <v>1.22</v>
      </c>
      <c r="F251" s="394">
        <v>1.33</v>
      </c>
    </row>
    <row r="252" spans="3:6" x14ac:dyDescent="0.25">
      <c r="C252" s="393" t="s">
        <v>1011</v>
      </c>
      <c r="D252" s="394">
        <v>1.1499999999999999</v>
      </c>
      <c r="E252" s="394">
        <v>1.1499999999999999</v>
      </c>
      <c r="F252" s="394">
        <v>1.21</v>
      </c>
    </row>
    <row r="253" spans="3:6" x14ac:dyDescent="0.25">
      <c r="C253" s="393" t="s">
        <v>1012</v>
      </c>
      <c r="D253" s="394">
        <v>1.24</v>
      </c>
      <c r="E253" s="394">
        <v>1.24</v>
      </c>
      <c r="F253" s="394">
        <v>1.19</v>
      </c>
    </row>
    <row r="254" spans="3:6" x14ac:dyDescent="0.25">
      <c r="C254" s="393" t="s">
        <v>1013</v>
      </c>
      <c r="D254" s="394">
        <v>1.24</v>
      </c>
      <c r="E254" s="394">
        <v>1.24</v>
      </c>
      <c r="F254" s="394">
        <v>1.18</v>
      </c>
    </row>
    <row r="255" spans="3:6" x14ac:dyDescent="0.25">
      <c r="C255" s="393" t="s">
        <v>1014</v>
      </c>
      <c r="D255" s="394">
        <v>1.27</v>
      </c>
      <c r="E255" s="394">
        <v>1.27</v>
      </c>
      <c r="F255" s="394">
        <v>1.56</v>
      </c>
    </row>
    <row r="256" spans="3:6" x14ac:dyDescent="0.25">
      <c r="C256" s="393" t="s">
        <v>1015</v>
      </c>
      <c r="D256" s="394">
        <v>1.2</v>
      </c>
      <c r="E256" s="394">
        <v>1.2</v>
      </c>
      <c r="F256" s="394">
        <v>1.26</v>
      </c>
    </row>
    <row r="257" spans="3:6" x14ac:dyDescent="0.25">
      <c r="C257" s="393" t="s">
        <v>1016</v>
      </c>
      <c r="D257" s="394">
        <v>1.23</v>
      </c>
      <c r="E257" s="394">
        <v>1.23</v>
      </c>
      <c r="F257" s="394">
        <v>1.41</v>
      </c>
    </row>
    <row r="258" spans="3:6" x14ac:dyDescent="0.25">
      <c r="C258" s="393" t="s">
        <v>1017</v>
      </c>
      <c r="D258" s="394">
        <v>0.97</v>
      </c>
      <c r="E258" s="394">
        <v>0.97</v>
      </c>
      <c r="F258" s="394">
        <v>0.92</v>
      </c>
    </row>
    <row r="259" spans="3:6" x14ac:dyDescent="0.25">
      <c r="C259" s="393" t="s">
        <v>1018</v>
      </c>
      <c r="D259" s="394">
        <v>0.85</v>
      </c>
      <c r="E259" s="394">
        <v>0.85</v>
      </c>
      <c r="F259" s="394">
        <v>0.8</v>
      </c>
    </row>
    <row r="260" spans="3:6" x14ac:dyDescent="0.25">
      <c r="C260" s="393" t="s">
        <v>1019</v>
      </c>
      <c r="D260" s="394">
        <v>0.85</v>
      </c>
      <c r="E260" s="394">
        <v>0.85</v>
      </c>
      <c r="F260" s="394">
        <v>0.97</v>
      </c>
    </row>
    <row r="261" spans="3:6" x14ac:dyDescent="0.25">
      <c r="C261" s="393" t="s">
        <v>1020</v>
      </c>
      <c r="D261" s="394">
        <v>1.06</v>
      </c>
      <c r="E261" s="394">
        <v>1.06</v>
      </c>
      <c r="F261" s="394">
        <v>0.84</v>
      </c>
    </row>
    <row r="262" spans="3:6" x14ac:dyDescent="0.25">
      <c r="C262" s="393" t="s">
        <v>1021</v>
      </c>
      <c r="D262" s="394">
        <v>1.06</v>
      </c>
      <c r="E262" s="394">
        <v>1.06</v>
      </c>
      <c r="F262" s="394">
        <v>1.23</v>
      </c>
    </row>
    <row r="263" spans="3:6" x14ac:dyDescent="0.25">
      <c r="C263" s="393" t="s">
        <v>1022</v>
      </c>
      <c r="D263" s="394">
        <v>0.98</v>
      </c>
      <c r="E263" s="394">
        <v>0.98</v>
      </c>
      <c r="F263" s="394">
        <v>1.41</v>
      </c>
    </row>
    <row r="264" spans="3:6" x14ac:dyDescent="0.25">
      <c r="C264" s="393" t="s">
        <v>1023</v>
      </c>
      <c r="D264" s="394">
        <v>1.04</v>
      </c>
      <c r="E264" s="394">
        <v>1.04</v>
      </c>
      <c r="F264" s="394">
        <v>0.98</v>
      </c>
    </row>
    <row r="265" spans="3:6" x14ac:dyDescent="0.25">
      <c r="C265" s="393" t="s">
        <v>1024</v>
      </c>
      <c r="D265" s="394">
        <v>1.1000000000000001</v>
      </c>
      <c r="E265" s="394">
        <v>1.1000000000000001</v>
      </c>
      <c r="F265" s="394">
        <v>1.03</v>
      </c>
    </row>
    <row r="266" spans="3:6" x14ac:dyDescent="0.25">
      <c r="C266" s="393" t="s">
        <v>1025</v>
      </c>
      <c r="D266" s="394">
        <v>1.18</v>
      </c>
      <c r="E266" s="394">
        <v>1.18</v>
      </c>
      <c r="F266" s="394">
        <v>1.1299999999999999</v>
      </c>
    </row>
    <row r="267" spans="3:6" x14ac:dyDescent="0.25">
      <c r="C267" s="393" t="s">
        <v>1026</v>
      </c>
      <c r="D267" s="394">
        <v>1.06</v>
      </c>
      <c r="E267" s="394">
        <v>1.06</v>
      </c>
      <c r="F267" s="394">
        <v>1.48</v>
      </c>
    </row>
    <row r="268" spans="3:6" x14ac:dyDescent="0.25">
      <c r="C268" s="393" t="s">
        <v>1027</v>
      </c>
      <c r="D268" s="394">
        <v>1.1299999999999999</v>
      </c>
      <c r="E268" s="394">
        <v>1.1299999999999999</v>
      </c>
      <c r="F268" s="394">
        <v>1.07</v>
      </c>
    </row>
    <row r="269" spans="3:6" x14ac:dyDescent="0.25">
      <c r="C269" s="393" t="s">
        <v>1028</v>
      </c>
      <c r="D269" s="394">
        <v>1.02</v>
      </c>
      <c r="E269" s="394">
        <v>1.02</v>
      </c>
      <c r="F269" s="394">
        <v>1.25</v>
      </c>
    </row>
    <row r="270" spans="3:6" x14ac:dyDescent="0.25">
      <c r="C270" s="393" t="s">
        <v>1029</v>
      </c>
      <c r="D270" s="394">
        <v>0.95</v>
      </c>
      <c r="E270" s="394">
        <v>0.95</v>
      </c>
      <c r="F270" s="394">
        <v>1.23</v>
      </c>
    </row>
    <row r="271" spans="3:6" x14ac:dyDescent="0.25">
      <c r="C271" s="393" t="s">
        <v>1030</v>
      </c>
      <c r="D271" s="394">
        <v>0.94</v>
      </c>
      <c r="E271" s="394">
        <v>0.94</v>
      </c>
      <c r="F271" s="394">
        <v>1.01</v>
      </c>
    </row>
    <row r="272" spans="3:6" x14ac:dyDescent="0.25">
      <c r="C272" s="393" t="s">
        <v>1031</v>
      </c>
      <c r="D272" s="394">
        <v>0.85</v>
      </c>
      <c r="E272" s="394">
        <v>0.85</v>
      </c>
      <c r="F272" s="394">
        <v>1.1100000000000001</v>
      </c>
    </row>
    <row r="273" spans="3:6" x14ac:dyDescent="0.25">
      <c r="C273" s="393" t="s">
        <v>1032</v>
      </c>
      <c r="D273" s="394">
        <v>0.89</v>
      </c>
      <c r="E273" s="394">
        <v>0.89</v>
      </c>
      <c r="F273" s="394">
        <v>1.1000000000000001</v>
      </c>
    </row>
    <row r="274" spans="3:6" x14ac:dyDescent="0.25">
      <c r="C274" s="393" t="s">
        <v>1033</v>
      </c>
      <c r="D274" s="394">
        <v>0.85</v>
      </c>
      <c r="E274" s="394">
        <v>0.85</v>
      </c>
      <c r="F274" s="394">
        <v>1.05</v>
      </c>
    </row>
    <row r="275" spans="3:6" x14ac:dyDescent="0.25">
      <c r="C275" s="393" t="s">
        <v>1034</v>
      </c>
      <c r="D275" s="394">
        <v>0.95</v>
      </c>
      <c r="E275" s="394">
        <v>0.95</v>
      </c>
      <c r="F275" s="394">
        <v>1.17</v>
      </c>
    </row>
    <row r="276" spans="3:6" x14ac:dyDescent="0.25">
      <c r="C276" s="393" t="s">
        <v>1035</v>
      </c>
      <c r="D276" s="394">
        <v>0.91</v>
      </c>
      <c r="E276" s="394">
        <v>0.91</v>
      </c>
      <c r="F276" s="394">
        <v>1.18</v>
      </c>
    </row>
    <row r="277" spans="3:6" x14ac:dyDescent="0.25">
      <c r="C277" s="393" t="s">
        <v>1036</v>
      </c>
      <c r="D277" s="394">
        <v>1.01</v>
      </c>
      <c r="E277" s="394">
        <v>1.01</v>
      </c>
      <c r="F277" s="394">
        <v>0.88</v>
      </c>
    </row>
    <row r="278" spans="3:6" x14ac:dyDescent="0.25">
      <c r="C278" s="393" t="s">
        <v>1037</v>
      </c>
      <c r="D278" s="394">
        <v>0.89</v>
      </c>
      <c r="E278" s="394">
        <v>0.89</v>
      </c>
      <c r="F278" s="394">
        <v>1.01</v>
      </c>
    </row>
    <row r="279" spans="3:6" x14ac:dyDescent="0.25">
      <c r="C279" s="393" t="s">
        <v>1038</v>
      </c>
      <c r="D279" s="394">
        <v>0.83</v>
      </c>
      <c r="E279" s="394">
        <v>0.83</v>
      </c>
      <c r="F279" s="394">
        <v>0.78</v>
      </c>
    </row>
    <row r="280" spans="3:6" x14ac:dyDescent="0.25">
      <c r="C280" s="393" t="s">
        <v>1039</v>
      </c>
      <c r="D280" s="394">
        <v>0.81</v>
      </c>
      <c r="E280" s="394">
        <v>0.81</v>
      </c>
      <c r="F280" s="394">
        <v>0.81</v>
      </c>
    </row>
    <row r="281" spans="3:6" x14ac:dyDescent="0.25">
      <c r="C281" s="393" t="s">
        <v>1040</v>
      </c>
      <c r="D281" s="394">
        <v>0.81</v>
      </c>
      <c r="E281" s="394">
        <v>0.81</v>
      </c>
      <c r="F281" s="394">
        <v>0.93</v>
      </c>
    </row>
    <row r="282" spans="3:6" x14ac:dyDescent="0.25">
      <c r="C282" s="393" t="s">
        <v>1041</v>
      </c>
      <c r="D282" s="394">
        <v>0.77</v>
      </c>
      <c r="E282" s="394">
        <v>0.77</v>
      </c>
      <c r="F282" s="394">
        <v>0.72</v>
      </c>
    </row>
    <row r="283" spans="3:6" x14ac:dyDescent="0.25">
      <c r="C283" s="393" t="s">
        <v>1042</v>
      </c>
      <c r="D283" s="394">
        <v>0.89</v>
      </c>
      <c r="E283" s="394">
        <v>0.89</v>
      </c>
      <c r="F283" s="394">
        <v>0.84</v>
      </c>
    </row>
    <row r="284" spans="3:6" x14ac:dyDescent="0.25">
      <c r="C284" s="393" t="s">
        <v>1043</v>
      </c>
      <c r="D284" s="394">
        <v>0.81</v>
      </c>
      <c r="E284" s="394">
        <v>0.81</v>
      </c>
      <c r="F284" s="394">
        <v>0.87</v>
      </c>
    </row>
    <row r="285" spans="3:6" x14ac:dyDescent="0.25">
      <c r="C285" s="393" t="s">
        <v>1044</v>
      </c>
      <c r="D285" s="394">
        <v>0.9</v>
      </c>
      <c r="E285" s="394">
        <v>0.9</v>
      </c>
      <c r="F285" s="394">
        <v>1.05</v>
      </c>
    </row>
    <row r="286" spans="3:6" x14ac:dyDescent="0.25">
      <c r="C286" s="393" t="s">
        <v>1045</v>
      </c>
      <c r="D286" s="394">
        <v>0.82</v>
      </c>
      <c r="E286" s="394">
        <v>0.82</v>
      </c>
      <c r="F286" s="394">
        <v>0.84</v>
      </c>
    </row>
    <row r="287" spans="3:6" x14ac:dyDescent="0.25">
      <c r="C287" s="393" t="s">
        <v>1046</v>
      </c>
      <c r="D287" s="394">
        <v>0.86</v>
      </c>
      <c r="E287" s="394">
        <v>0.86</v>
      </c>
      <c r="F287" s="394">
        <v>1.0900000000000001</v>
      </c>
    </row>
    <row r="288" spans="3:6" x14ac:dyDescent="0.25">
      <c r="C288" s="393" t="s">
        <v>1047</v>
      </c>
      <c r="D288" s="394">
        <v>0.89</v>
      </c>
      <c r="E288" s="394">
        <v>0.89</v>
      </c>
      <c r="F288" s="394">
        <v>0.87</v>
      </c>
    </row>
    <row r="289" spans="3:6" x14ac:dyDescent="0.25">
      <c r="C289" s="393" t="s">
        <v>1048</v>
      </c>
      <c r="D289" s="394">
        <v>0.86</v>
      </c>
      <c r="E289" s="394">
        <v>0.86</v>
      </c>
      <c r="F289" s="394">
        <v>0.67</v>
      </c>
    </row>
    <row r="290" spans="3:6" x14ac:dyDescent="0.25">
      <c r="C290" s="393" t="s">
        <v>1049</v>
      </c>
      <c r="D290" s="394">
        <v>0.81</v>
      </c>
      <c r="E290" s="394">
        <v>0.81</v>
      </c>
      <c r="F290" s="394">
        <v>0.76</v>
      </c>
    </row>
    <row r="291" spans="3:6" x14ac:dyDescent="0.25">
      <c r="C291" s="393" t="s">
        <v>1050</v>
      </c>
      <c r="D291" s="394">
        <v>0.8</v>
      </c>
      <c r="E291" s="394">
        <v>0.8</v>
      </c>
      <c r="F291" s="394">
        <v>0.75</v>
      </c>
    </row>
    <row r="292" spans="3:6" x14ac:dyDescent="0.25">
      <c r="C292" s="393" t="s">
        <v>1051</v>
      </c>
      <c r="D292" s="394">
        <v>0.82</v>
      </c>
      <c r="E292" s="394">
        <v>0.82</v>
      </c>
      <c r="F292" s="394">
        <v>0.77</v>
      </c>
    </row>
    <row r="293" spans="3:6" x14ac:dyDescent="0.25">
      <c r="C293" s="393" t="s">
        <v>1052</v>
      </c>
      <c r="D293" s="394">
        <v>0.81</v>
      </c>
      <c r="E293" s="394">
        <v>0.81</v>
      </c>
      <c r="F293" s="394">
        <v>1.01</v>
      </c>
    </row>
    <row r="294" spans="3:6" x14ac:dyDescent="0.25">
      <c r="C294" s="393" t="s">
        <v>1053</v>
      </c>
      <c r="D294" s="394">
        <v>0.84</v>
      </c>
      <c r="E294" s="394">
        <v>0.84</v>
      </c>
      <c r="F294" s="394">
        <v>0.96</v>
      </c>
    </row>
    <row r="295" spans="3:6" x14ac:dyDescent="0.25">
      <c r="C295" s="393" t="s">
        <v>1054</v>
      </c>
      <c r="D295" s="394">
        <v>0.85</v>
      </c>
      <c r="E295" s="394">
        <v>0.85</v>
      </c>
      <c r="F295" s="394">
        <v>1.33</v>
      </c>
    </row>
    <row r="296" spans="3:6" x14ac:dyDescent="0.25">
      <c r="C296" s="393" t="s">
        <v>1055</v>
      </c>
      <c r="D296" s="394">
        <v>0.88</v>
      </c>
      <c r="E296" s="394">
        <v>0.88</v>
      </c>
      <c r="F296" s="394">
        <v>1.01</v>
      </c>
    </row>
    <row r="297" spans="3:6" x14ac:dyDescent="0.25">
      <c r="C297" s="393" t="s">
        <v>1056</v>
      </c>
      <c r="D297" s="394">
        <v>0.89</v>
      </c>
      <c r="E297" s="394">
        <v>0.89</v>
      </c>
      <c r="F297" s="394">
        <v>0.96</v>
      </c>
    </row>
    <row r="298" spans="3:6" x14ac:dyDescent="0.25">
      <c r="C298" s="393" t="s">
        <v>1057</v>
      </c>
      <c r="D298" s="394">
        <v>0.88</v>
      </c>
      <c r="E298" s="394">
        <v>0.88</v>
      </c>
      <c r="F298" s="394">
        <v>0.9</v>
      </c>
    </row>
    <row r="299" spans="3:6" x14ac:dyDescent="0.25">
      <c r="C299" s="393" t="s">
        <v>1058</v>
      </c>
      <c r="D299" s="394">
        <v>0.92</v>
      </c>
      <c r="E299" s="394">
        <v>0.92</v>
      </c>
      <c r="F299" s="394">
        <v>0.97</v>
      </c>
    </row>
    <row r="300" spans="3:6" x14ac:dyDescent="0.25">
      <c r="C300" s="393" t="s">
        <v>1059</v>
      </c>
      <c r="D300" s="394">
        <v>0.88</v>
      </c>
      <c r="E300" s="394">
        <v>0.88</v>
      </c>
      <c r="F300" s="394">
        <v>1.1499999999999999</v>
      </c>
    </row>
    <row r="301" spans="3:6" x14ac:dyDescent="0.25">
      <c r="C301" s="393" t="s">
        <v>1060</v>
      </c>
      <c r="D301" s="394">
        <v>0.93</v>
      </c>
      <c r="E301" s="394">
        <v>0.93</v>
      </c>
      <c r="F301" s="394">
        <v>1.17</v>
      </c>
    </row>
    <row r="302" spans="3:6" x14ac:dyDescent="0.25">
      <c r="C302" s="393" t="s">
        <v>1061</v>
      </c>
      <c r="D302" s="394">
        <v>0.78</v>
      </c>
      <c r="E302" s="394">
        <v>0.78</v>
      </c>
      <c r="F302" s="394">
        <v>0.73</v>
      </c>
    </row>
    <row r="303" spans="3:6" x14ac:dyDescent="0.25">
      <c r="C303" s="393" t="s">
        <v>1062</v>
      </c>
      <c r="D303" s="394">
        <v>0.86</v>
      </c>
      <c r="E303" s="394">
        <v>0.86</v>
      </c>
      <c r="F303" s="394">
        <v>0.84</v>
      </c>
    </row>
    <row r="304" spans="3:6" x14ac:dyDescent="0.25">
      <c r="C304" s="393" t="s">
        <v>1063</v>
      </c>
      <c r="D304" s="394">
        <v>0.81</v>
      </c>
      <c r="E304" s="394">
        <v>0.81</v>
      </c>
      <c r="F304" s="394">
        <v>0.84</v>
      </c>
    </row>
    <row r="305" spans="3:6" x14ac:dyDescent="0.25">
      <c r="C305" s="393" t="s">
        <v>1064</v>
      </c>
      <c r="D305" s="394">
        <v>0.89</v>
      </c>
      <c r="E305" s="394">
        <v>0.89</v>
      </c>
      <c r="F305" s="394">
        <v>0.83</v>
      </c>
    </row>
    <row r="306" spans="3:6" x14ac:dyDescent="0.25">
      <c r="C306" s="393" t="s">
        <v>1065</v>
      </c>
      <c r="D306" s="394">
        <v>0.88</v>
      </c>
      <c r="E306" s="394">
        <v>0.88</v>
      </c>
      <c r="F306" s="394">
        <v>1.08</v>
      </c>
    </row>
    <row r="307" spans="3:6" x14ac:dyDescent="0.25">
      <c r="C307" s="393" t="s">
        <v>1066</v>
      </c>
      <c r="D307" s="394">
        <v>0.86</v>
      </c>
      <c r="E307" s="394">
        <v>0.86</v>
      </c>
      <c r="F307" s="394">
        <v>1.2</v>
      </c>
    </row>
    <row r="308" spans="3:6" x14ac:dyDescent="0.25">
      <c r="C308" s="393" t="s">
        <v>1067</v>
      </c>
      <c r="D308" s="394">
        <v>0.78</v>
      </c>
      <c r="E308" s="394">
        <v>0.78</v>
      </c>
      <c r="F308" s="394">
        <v>0.9</v>
      </c>
    </row>
    <row r="309" spans="3:6" x14ac:dyDescent="0.25">
      <c r="C309" s="393" t="s">
        <v>1068</v>
      </c>
      <c r="D309" s="394">
        <v>0.84</v>
      </c>
      <c r="E309" s="394">
        <v>0.84</v>
      </c>
      <c r="F309" s="394">
        <v>0.81</v>
      </c>
    </row>
    <row r="310" spans="3:6" x14ac:dyDescent="0.25">
      <c r="C310" s="393" t="s">
        <v>1069</v>
      </c>
      <c r="D310" s="394">
        <v>0.85</v>
      </c>
      <c r="E310" s="394">
        <v>0.85</v>
      </c>
      <c r="F310" s="394">
        <v>1.1000000000000001</v>
      </c>
    </row>
    <row r="311" spans="3:6" x14ac:dyDescent="0.25">
      <c r="C311" s="393" t="s">
        <v>1070</v>
      </c>
      <c r="D311" s="394">
        <v>0.86</v>
      </c>
      <c r="E311" s="394">
        <v>0.86</v>
      </c>
      <c r="F311" s="394">
        <v>0.9</v>
      </c>
    </row>
    <row r="312" spans="3:6" x14ac:dyDescent="0.25">
      <c r="C312" s="393" t="s">
        <v>1071</v>
      </c>
      <c r="D312" s="394">
        <v>0.7</v>
      </c>
      <c r="E312" s="394">
        <v>0.7</v>
      </c>
      <c r="F312" s="394">
        <v>0.65</v>
      </c>
    </row>
    <row r="313" spans="3:6" x14ac:dyDescent="0.25">
      <c r="C313" s="393" t="s">
        <v>1072</v>
      </c>
      <c r="D313" s="394">
        <v>0.74</v>
      </c>
      <c r="E313" s="394">
        <v>0.74</v>
      </c>
      <c r="F313" s="394">
        <v>0.69</v>
      </c>
    </row>
    <row r="314" spans="3:6" x14ac:dyDescent="0.25">
      <c r="C314" s="393" t="s">
        <v>1073</v>
      </c>
      <c r="D314" s="394">
        <v>0.75</v>
      </c>
      <c r="E314" s="394">
        <v>0.75</v>
      </c>
      <c r="F314" s="394">
        <v>0.7</v>
      </c>
    </row>
    <row r="315" spans="3:6" x14ac:dyDescent="0.25">
      <c r="C315" s="393" t="s">
        <v>1074</v>
      </c>
      <c r="D315" s="394">
        <v>0.71</v>
      </c>
      <c r="E315" s="394">
        <v>0.71</v>
      </c>
      <c r="F315" s="394">
        <v>0.67</v>
      </c>
    </row>
    <row r="316" spans="3:6" x14ac:dyDescent="0.25">
      <c r="C316" s="393" t="s">
        <v>1075</v>
      </c>
      <c r="D316" s="394">
        <v>0.72</v>
      </c>
      <c r="E316" s="394">
        <v>0.72</v>
      </c>
      <c r="F316" s="394">
        <v>0.67</v>
      </c>
    </row>
    <row r="317" spans="3:6" x14ac:dyDescent="0.25">
      <c r="C317" s="393" t="s">
        <v>1076</v>
      </c>
      <c r="D317" s="394">
        <v>0.7</v>
      </c>
      <c r="E317" s="394">
        <v>0.7</v>
      </c>
      <c r="F317" s="394">
        <v>0.67</v>
      </c>
    </row>
    <row r="318" spans="3:6" x14ac:dyDescent="0.25">
      <c r="C318" s="393" t="s">
        <v>1077</v>
      </c>
      <c r="D318" s="394">
        <v>0.76</v>
      </c>
      <c r="E318" s="394">
        <v>0.76</v>
      </c>
      <c r="F318" s="394">
        <v>0.71</v>
      </c>
    </row>
    <row r="319" spans="3:6" x14ac:dyDescent="0.25">
      <c r="C319" s="393" t="s">
        <v>1078</v>
      </c>
      <c r="D319" s="394">
        <v>0.77</v>
      </c>
      <c r="E319" s="394">
        <v>0.77</v>
      </c>
      <c r="F319" s="394">
        <v>1.01</v>
      </c>
    </row>
    <row r="320" spans="3:6" x14ac:dyDescent="0.25">
      <c r="C320" s="393" t="s">
        <v>1079</v>
      </c>
      <c r="D320" s="394">
        <v>0.75</v>
      </c>
      <c r="E320" s="394">
        <v>0.75</v>
      </c>
      <c r="F320" s="394">
        <v>1.04</v>
      </c>
    </row>
    <row r="321" spans="3:6" x14ac:dyDescent="0.25">
      <c r="C321" s="393" t="s">
        <v>1080</v>
      </c>
      <c r="D321" s="394">
        <v>0.79</v>
      </c>
      <c r="E321" s="394">
        <v>0.79</v>
      </c>
      <c r="F321" s="394">
        <v>0.84</v>
      </c>
    </row>
    <row r="322" spans="3:6" x14ac:dyDescent="0.25">
      <c r="C322" s="393" t="s">
        <v>1081</v>
      </c>
      <c r="D322" s="394">
        <v>0.8</v>
      </c>
      <c r="E322" s="394">
        <v>0.8</v>
      </c>
      <c r="F322" s="394">
        <v>0.9</v>
      </c>
    </row>
    <row r="323" spans="3:6" x14ac:dyDescent="0.25">
      <c r="C323" s="393" t="s">
        <v>1082</v>
      </c>
      <c r="D323" s="394">
        <v>0.64</v>
      </c>
      <c r="E323" s="394">
        <v>0.64</v>
      </c>
      <c r="F323" s="394">
        <v>0.98</v>
      </c>
    </row>
    <row r="324" spans="3:6" x14ac:dyDescent="0.25">
      <c r="C324" s="393" t="s">
        <v>1083</v>
      </c>
      <c r="D324" s="394">
        <v>0.67</v>
      </c>
      <c r="E324" s="394">
        <v>0.67</v>
      </c>
      <c r="F324" s="394">
        <v>0.64</v>
      </c>
    </row>
    <row r="325" spans="3:6" x14ac:dyDescent="0.25">
      <c r="C325" s="393" t="s">
        <v>1084</v>
      </c>
      <c r="D325" s="394">
        <v>0.99</v>
      </c>
      <c r="E325" s="394">
        <v>0.99</v>
      </c>
      <c r="F325" s="394">
        <v>1.28</v>
      </c>
    </row>
    <row r="326" spans="3:6" x14ac:dyDescent="0.25">
      <c r="C326" s="393" t="s">
        <v>1085</v>
      </c>
      <c r="D326" s="394">
        <v>0.97</v>
      </c>
      <c r="E326" s="394">
        <v>0.97</v>
      </c>
      <c r="F326" s="394">
        <v>1.05</v>
      </c>
    </row>
    <row r="327" spans="3:6" x14ac:dyDescent="0.25">
      <c r="C327" s="393" t="s">
        <v>1086</v>
      </c>
      <c r="D327" s="394">
        <v>0.96</v>
      </c>
      <c r="E327" s="394">
        <v>0.96</v>
      </c>
      <c r="F327" s="394">
        <v>1.25</v>
      </c>
    </row>
    <row r="328" spans="3:6" x14ac:dyDescent="0.25">
      <c r="C328" s="393" t="s">
        <v>1087</v>
      </c>
      <c r="D328" s="394">
        <v>0.94</v>
      </c>
      <c r="E328" s="394">
        <v>0.94</v>
      </c>
      <c r="F328" s="394">
        <v>1.23</v>
      </c>
    </row>
    <row r="329" spans="3:6" x14ac:dyDescent="0.25">
      <c r="C329" s="393" t="s">
        <v>1088</v>
      </c>
      <c r="D329" s="394">
        <v>0.87</v>
      </c>
      <c r="E329" s="394">
        <v>0.87</v>
      </c>
      <c r="F329" s="394">
        <v>1.1000000000000001</v>
      </c>
    </row>
    <row r="330" spans="3:6" x14ac:dyDescent="0.25">
      <c r="C330" s="393" t="s">
        <v>1089</v>
      </c>
      <c r="D330" s="394">
        <v>0.83</v>
      </c>
      <c r="E330" s="394">
        <v>0.83</v>
      </c>
      <c r="F330" s="394">
        <v>0.81</v>
      </c>
    </row>
    <row r="331" spans="3:6" x14ac:dyDescent="0.25">
      <c r="C331" s="393" t="s">
        <v>1090</v>
      </c>
      <c r="D331" s="394">
        <v>0.86</v>
      </c>
      <c r="E331" s="394">
        <v>0.86</v>
      </c>
      <c r="F331" s="394">
        <v>1.08</v>
      </c>
    </row>
    <row r="332" spans="3:6" x14ac:dyDescent="0.25">
      <c r="C332" s="393" t="s">
        <v>1091</v>
      </c>
      <c r="D332" s="394">
        <v>0.9</v>
      </c>
      <c r="E332" s="394">
        <v>0.9</v>
      </c>
      <c r="F332" s="394">
        <v>0.84</v>
      </c>
    </row>
    <row r="333" spans="3:6" x14ac:dyDescent="0.25">
      <c r="C333" s="393" t="s">
        <v>1092</v>
      </c>
      <c r="D333" s="394">
        <v>0.88</v>
      </c>
      <c r="E333" s="394">
        <v>0.88</v>
      </c>
      <c r="F333" s="394">
        <v>0.8</v>
      </c>
    </row>
    <row r="334" spans="3:6" x14ac:dyDescent="0.25">
      <c r="C334" s="393" t="s">
        <v>1093</v>
      </c>
      <c r="D334" s="394">
        <v>0.79</v>
      </c>
      <c r="E334" s="394">
        <v>0.79</v>
      </c>
      <c r="F334" s="394">
        <v>0.72</v>
      </c>
    </row>
    <row r="335" spans="3:6" x14ac:dyDescent="0.25">
      <c r="C335" s="393" t="s">
        <v>1094</v>
      </c>
      <c r="D335" s="394">
        <v>0.82</v>
      </c>
      <c r="E335" s="394">
        <v>0.82</v>
      </c>
      <c r="F335" s="394">
        <v>0.93</v>
      </c>
    </row>
    <row r="336" spans="3:6" x14ac:dyDescent="0.25">
      <c r="C336" s="393" t="s">
        <v>1095</v>
      </c>
      <c r="D336" s="394">
        <v>0.81</v>
      </c>
      <c r="E336" s="394">
        <v>0.81</v>
      </c>
      <c r="F336" s="394">
        <v>1.06</v>
      </c>
    </row>
    <row r="337" spans="3:6" x14ac:dyDescent="0.25">
      <c r="C337" s="393" t="s">
        <v>1096</v>
      </c>
      <c r="D337" s="394">
        <v>0.73</v>
      </c>
      <c r="E337" s="394">
        <v>0.73</v>
      </c>
      <c r="F337" s="394">
        <v>0.68</v>
      </c>
    </row>
    <row r="338" spans="3:6" x14ac:dyDescent="0.25">
      <c r="C338" s="393" t="s">
        <v>1097</v>
      </c>
      <c r="D338" s="394">
        <v>0.85</v>
      </c>
      <c r="E338" s="394">
        <v>0.85</v>
      </c>
      <c r="F338" s="394">
        <v>0.93</v>
      </c>
    </row>
    <row r="339" spans="3:6" x14ac:dyDescent="0.25">
      <c r="C339" s="393" t="s">
        <v>1098</v>
      </c>
      <c r="D339" s="394">
        <v>0.85</v>
      </c>
      <c r="E339" s="394">
        <v>0.85</v>
      </c>
      <c r="F339" s="394">
        <v>0.84</v>
      </c>
    </row>
    <row r="340" spans="3:6" x14ac:dyDescent="0.25">
      <c r="C340" s="393" t="s">
        <v>1099</v>
      </c>
      <c r="D340" s="394">
        <v>0.89</v>
      </c>
      <c r="E340" s="394">
        <v>0.89</v>
      </c>
      <c r="F340" s="394">
        <v>0.93</v>
      </c>
    </row>
    <row r="341" spans="3:6" x14ac:dyDescent="0.25">
      <c r="C341" s="393" t="s">
        <v>1100</v>
      </c>
      <c r="D341" s="394">
        <v>0.89</v>
      </c>
      <c r="E341" s="394">
        <v>0.89</v>
      </c>
      <c r="F341" s="394">
        <v>0.97</v>
      </c>
    </row>
    <row r="342" spans="3:6" x14ac:dyDescent="0.25">
      <c r="C342" s="393" t="s">
        <v>1101</v>
      </c>
      <c r="D342" s="394">
        <v>0.89</v>
      </c>
      <c r="E342" s="394">
        <v>0.89</v>
      </c>
      <c r="F342" s="394">
        <v>1.05</v>
      </c>
    </row>
    <row r="343" spans="3:6" x14ac:dyDescent="0.25">
      <c r="C343" s="393" t="s">
        <v>1102</v>
      </c>
      <c r="D343" s="394">
        <v>0.85</v>
      </c>
      <c r="E343" s="394">
        <v>0.85</v>
      </c>
      <c r="F343" s="394">
        <v>0.99</v>
      </c>
    </row>
    <row r="344" spans="3:6" x14ac:dyDescent="0.25">
      <c r="C344" s="393" t="s">
        <v>1103</v>
      </c>
      <c r="D344" s="394">
        <v>0.86</v>
      </c>
      <c r="E344" s="394">
        <v>0.86</v>
      </c>
      <c r="F344" s="394">
        <v>0.8</v>
      </c>
    </row>
    <row r="345" spans="3:6" x14ac:dyDescent="0.25">
      <c r="C345" s="393" t="s">
        <v>1104</v>
      </c>
      <c r="D345" s="394">
        <v>0.98</v>
      </c>
      <c r="E345" s="394">
        <v>0.98</v>
      </c>
      <c r="F345" s="394">
        <v>0.91</v>
      </c>
    </row>
    <row r="346" spans="3:6" x14ac:dyDescent="0.25">
      <c r="C346" s="393" t="s">
        <v>1105</v>
      </c>
      <c r="D346" s="394">
        <v>0.97</v>
      </c>
      <c r="E346" s="394">
        <v>0.97</v>
      </c>
      <c r="F346" s="394">
        <v>0.89</v>
      </c>
    </row>
    <row r="347" spans="3:6" x14ac:dyDescent="0.25">
      <c r="C347" s="393" t="s">
        <v>1106</v>
      </c>
      <c r="D347" s="394">
        <v>0.89</v>
      </c>
      <c r="E347" s="394">
        <v>0.89</v>
      </c>
      <c r="F347" s="394">
        <v>1.07</v>
      </c>
    </row>
    <row r="348" spans="3:6" x14ac:dyDescent="0.25">
      <c r="C348" s="393" t="s">
        <v>1107</v>
      </c>
      <c r="D348" s="394">
        <v>0.94</v>
      </c>
      <c r="E348" s="394">
        <v>0.94</v>
      </c>
      <c r="F348" s="394">
        <v>1.0900000000000001</v>
      </c>
    </row>
    <row r="349" spans="3:6" x14ac:dyDescent="0.25">
      <c r="C349" s="393" t="s">
        <v>1108</v>
      </c>
      <c r="D349" s="394">
        <v>0.94</v>
      </c>
      <c r="E349" s="394">
        <v>0.94</v>
      </c>
      <c r="F349" s="394">
        <v>0.87</v>
      </c>
    </row>
    <row r="350" spans="3:6" x14ac:dyDescent="0.25">
      <c r="C350" s="393" t="s">
        <v>1109</v>
      </c>
      <c r="D350" s="394">
        <v>0.94</v>
      </c>
      <c r="E350" s="394">
        <v>0.94</v>
      </c>
      <c r="F350" s="394">
        <v>0.88</v>
      </c>
    </row>
    <row r="351" spans="3:6" x14ac:dyDescent="0.25">
      <c r="C351" s="393" t="s">
        <v>1110</v>
      </c>
      <c r="D351" s="394">
        <v>0.93</v>
      </c>
      <c r="E351" s="394">
        <v>0.93</v>
      </c>
      <c r="F351" s="394">
        <v>0.86</v>
      </c>
    </row>
    <row r="352" spans="3:6" x14ac:dyDescent="0.25">
      <c r="C352" s="393" t="s">
        <v>1111</v>
      </c>
      <c r="D352" s="394">
        <v>0.91</v>
      </c>
      <c r="E352" s="394">
        <v>0.91</v>
      </c>
      <c r="F352" s="394">
        <v>0.85</v>
      </c>
    </row>
    <row r="353" spans="3:6" x14ac:dyDescent="0.25">
      <c r="C353" s="393" t="s">
        <v>1112</v>
      </c>
      <c r="D353" s="394">
        <v>0.93</v>
      </c>
      <c r="E353" s="394">
        <v>0.93</v>
      </c>
      <c r="F353" s="394">
        <v>0.87</v>
      </c>
    </row>
    <row r="354" spans="3:6" x14ac:dyDescent="0.25">
      <c r="C354" s="393" t="s">
        <v>1113</v>
      </c>
      <c r="D354" s="394">
        <v>0.97</v>
      </c>
      <c r="E354" s="394">
        <v>0.97</v>
      </c>
      <c r="F354" s="394">
        <v>0.91</v>
      </c>
    </row>
    <row r="355" spans="3:6" x14ac:dyDescent="0.25">
      <c r="C355" s="393" t="s">
        <v>1114</v>
      </c>
      <c r="D355" s="394">
        <v>0.77</v>
      </c>
      <c r="E355" s="394">
        <v>0.77</v>
      </c>
      <c r="F355" s="394">
        <v>0.87</v>
      </c>
    </row>
    <row r="356" spans="3:6" x14ac:dyDescent="0.25">
      <c r="C356" s="393" t="s">
        <v>1115</v>
      </c>
      <c r="D356" s="394">
        <v>0.76</v>
      </c>
      <c r="E356" s="394">
        <v>0.76</v>
      </c>
      <c r="F356" s="394">
        <v>0.73</v>
      </c>
    </row>
    <row r="357" spans="3:6" x14ac:dyDescent="0.25">
      <c r="C357" s="393" t="s">
        <v>1116</v>
      </c>
      <c r="D357" s="394">
        <v>0.76</v>
      </c>
      <c r="E357" s="394">
        <v>0.76</v>
      </c>
      <c r="F357" s="394">
        <v>0.79</v>
      </c>
    </row>
    <row r="358" spans="3:6" x14ac:dyDescent="0.25">
      <c r="C358" s="393" t="s">
        <v>1117</v>
      </c>
      <c r="D358" s="394">
        <v>0.79</v>
      </c>
      <c r="E358" s="394">
        <v>0.79</v>
      </c>
      <c r="F358" s="394">
        <v>1.08</v>
      </c>
    </row>
    <row r="359" spans="3:6" x14ac:dyDescent="0.25">
      <c r="C359" s="393" t="s">
        <v>1118</v>
      </c>
      <c r="D359" s="394">
        <v>0.68</v>
      </c>
      <c r="E359" s="394">
        <v>0.68</v>
      </c>
      <c r="F359" s="394">
        <v>0.96</v>
      </c>
    </row>
    <row r="360" spans="3:6" x14ac:dyDescent="0.25">
      <c r="C360" s="393" t="s">
        <v>1119</v>
      </c>
      <c r="D360" s="394">
        <v>0.78</v>
      </c>
      <c r="E360" s="394">
        <v>0.78</v>
      </c>
      <c r="F360" s="394">
        <v>0.96</v>
      </c>
    </row>
    <row r="361" spans="3:6" x14ac:dyDescent="0.25">
      <c r="C361" s="393" t="s">
        <v>1120</v>
      </c>
      <c r="D361" s="394">
        <v>0.76</v>
      </c>
      <c r="E361" s="394">
        <v>0.76</v>
      </c>
      <c r="F361" s="394">
        <v>1.02</v>
      </c>
    </row>
    <row r="362" spans="3:6" x14ac:dyDescent="0.25">
      <c r="C362" s="393" t="s">
        <v>1121</v>
      </c>
      <c r="D362" s="394">
        <v>0.67</v>
      </c>
      <c r="E362" s="394">
        <v>0.67</v>
      </c>
      <c r="F362" s="394">
        <v>0.66</v>
      </c>
    </row>
    <row r="363" spans="3:6" x14ac:dyDescent="0.25">
      <c r="C363" s="393" t="s">
        <v>1122</v>
      </c>
      <c r="D363" s="394">
        <v>0.75</v>
      </c>
      <c r="E363" s="394">
        <v>0.75</v>
      </c>
      <c r="F363" s="394">
        <v>1</v>
      </c>
    </row>
    <row r="364" spans="3:6" x14ac:dyDescent="0.25">
      <c r="C364" s="393" t="s">
        <v>1123</v>
      </c>
      <c r="D364" s="394">
        <v>0.87</v>
      </c>
      <c r="E364" s="394">
        <v>0.87</v>
      </c>
      <c r="F364" s="394">
        <v>0.84</v>
      </c>
    </row>
    <row r="365" spans="3:6" x14ac:dyDescent="0.25">
      <c r="C365" s="393" t="s">
        <v>1124</v>
      </c>
      <c r="D365" s="394">
        <v>0.88</v>
      </c>
      <c r="E365" s="394">
        <v>0.88</v>
      </c>
      <c r="F365" s="394">
        <v>0.84</v>
      </c>
    </row>
    <row r="366" spans="3:6" x14ac:dyDescent="0.25">
      <c r="C366" s="393" t="s">
        <v>1125</v>
      </c>
      <c r="D366" s="394">
        <v>0.88</v>
      </c>
      <c r="E366" s="394">
        <v>0.88</v>
      </c>
      <c r="F366" s="394">
        <v>1.07</v>
      </c>
    </row>
    <row r="367" spans="3:6" x14ac:dyDescent="0.25">
      <c r="C367" s="393" t="s">
        <v>1126</v>
      </c>
      <c r="D367" s="394">
        <v>0.81</v>
      </c>
      <c r="E367" s="394">
        <v>0.81</v>
      </c>
      <c r="F367" s="394">
        <v>0.97</v>
      </c>
    </row>
    <row r="368" spans="3:6" x14ac:dyDescent="0.25">
      <c r="C368" s="393" t="s">
        <v>1127</v>
      </c>
      <c r="D368" s="394">
        <v>0.8</v>
      </c>
      <c r="E368" s="394">
        <v>0.8</v>
      </c>
      <c r="F368" s="394">
        <v>0.79</v>
      </c>
    </row>
    <row r="369" spans="3:6" x14ac:dyDescent="0.25">
      <c r="C369" s="393" t="s">
        <v>1128</v>
      </c>
      <c r="D369" s="394">
        <v>0.77</v>
      </c>
      <c r="E369" s="394">
        <v>0.77</v>
      </c>
      <c r="F369" s="394">
        <v>0.9</v>
      </c>
    </row>
    <row r="370" spans="3:6" x14ac:dyDescent="0.25">
      <c r="C370" s="393" t="s">
        <v>1129</v>
      </c>
      <c r="D370" s="394">
        <v>0.69</v>
      </c>
      <c r="E370" s="394">
        <v>0.69</v>
      </c>
      <c r="F370" s="394">
        <v>0.66</v>
      </c>
    </row>
    <row r="371" spans="3:6" x14ac:dyDescent="0.25">
      <c r="C371" s="393" t="s">
        <v>1130</v>
      </c>
      <c r="D371" s="394">
        <v>0.69</v>
      </c>
      <c r="E371" s="394">
        <v>0.69</v>
      </c>
      <c r="F371" s="394">
        <v>0.69</v>
      </c>
    </row>
    <row r="372" spans="3:6" x14ac:dyDescent="0.25">
      <c r="C372" s="393" t="s">
        <v>1131</v>
      </c>
      <c r="D372" s="394">
        <v>0.87</v>
      </c>
      <c r="E372" s="394">
        <v>0.87</v>
      </c>
      <c r="F372" s="394">
        <v>1.08</v>
      </c>
    </row>
    <row r="373" spans="3:6" x14ac:dyDescent="0.25">
      <c r="C373" s="393" t="s">
        <v>1132</v>
      </c>
      <c r="D373" s="394">
        <v>0.77</v>
      </c>
      <c r="E373" s="394">
        <v>0.77</v>
      </c>
      <c r="F373" s="394">
        <v>1.02</v>
      </c>
    </row>
    <row r="374" spans="3:6" x14ac:dyDescent="0.25">
      <c r="C374" s="393" t="s">
        <v>1133</v>
      </c>
      <c r="D374" s="394">
        <v>0.86</v>
      </c>
      <c r="E374" s="394">
        <v>0.86</v>
      </c>
      <c r="F374" s="394">
        <v>0.97</v>
      </c>
    </row>
    <row r="375" spans="3:6" x14ac:dyDescent="0.25">
      <c r="C375" s="393" t="s">
        <v>1134</v>
      </c>
      <c r="D375" s="394">
        <v>0.89</v>
      </c>
      <c r="E375" s="394">
        <v>0.89</v>
      </c>
      <c r="F375" s="394">
        <v>1.04</v>
      </c>
    </row>
    <row r="376" spans="3:6" x14ac:dyDescent="0.25">
      <c r="C376" s="393" t="s">
        <v>1135</v>
      </c>
      <c r="D376" s="394">
        <v>0.82</v>
      </c>
      <c r="E376" s="394">
        <v>0.82</v>
      </c>
      <c r="F376" s="394">
        <v>0.9</v>
      </c>
    </row>
    <row r="377" spans="3:6" x14ac:dyDescent="0.25">
      <c r="C377" s="393" t="s">
        <v>1136</v>
      </c>
      <c r="D377" s="394">
        <v>0.74</v>
      </c>
      <c r="E377" s="394">
        <v>0.74</v>
      </c>
      <c r="F377" s="394">
        <v>0.71</v>
      </c>
    </row>
    <row r="378" spans="3:6" x14ac:dyDescent="0.25">
      <c r="C378" s="393" t="s">
        <v>1137</v>
      </c>
      <c r="D378" s="394">
        <v>0.87</v>
      </c>
      <c r="E378" s="394">
        <v>0.87</v>
      </c>
      <c r="F378" s="394">
        <v>1.05</v>
      </c>
    </row>
    <row r="379" spans="3:6" x14ac:dyDescent="0.25">
      <c r="C379" s="393" t="s">
        <v>1138</v>
      </c>
      <c r="D379" s="394">
        <v>0.93</v>
      </c>
      <c r="E379" s="394">
        <v>0.93</v>
      </c>
      <c r="F379" s="394">
        <v>1.08</v>
      </c>
    </row>
    <row r="380" spans="3:6" x14ac:dyDescent="0.25">
      <c r="C380" s="393" t="s">
        <v>1139</v>
      </c>
      <c r="D380" s="394">
        <v>0.98</v>
      </c>
      <c r="E380" s="394">
        <v>0.98</v>
      </c>
      <c r="F380" s="394">
        <v>1.22</v>
      </c>
    </row>
    <row r="381" spans="3:6" x14ac:dyDescent="0.25">
      <c r="C381" s="393" t="s">
        <v>1140</v>
      </c>
      <c r="D381" s="394">
        <v>0.98</v>
      </c>
      <c r="E381" s="394">
        <v>0.98</v>
      </c>
      <c r="F381" s="394">
        <v>0.9</v>
      </c>
    </row>
    <row r="382" spans="3:6" x14ac:dyDescent="0.25">
      <c r="C382" s="393" t="s">
        <v>1141</v>
      </c>
      <c r="D382" s="394">
        <v>0.98</v>
      </c>
      <c r="E382" s="394">
        <v>0.98</v>
      </c>
      <c r="F382" s="394">
        <v>0.96</v>
      </c>
    </row>
    <row r="383" spans="3:6" x14ac:dyDescent="0.25">
      <c r="C383" s="393" t="s">
        <v>1142</v>
      </c>
      <c r="D383" s="394">
        <v>0.94</v>
      </c>
      <c r="E383" s="394">
        <v>0.94</v>
      </c>
      <c r="F383" s="394">
        <v>0.9</v>
      </c>
    </row>
    <row r="384" spans="3:6" x14ac:dyDescent="0.25">
      <c r="C384" s="393" t="s">
        <v>1143</v>
      </c>
      <c r="D384" s="394">
        <v>0.93</v>
      </c>
      <c r="E384" s="394">
        <v>0.93</v>
      </c>
      <c r="F384" s="394">
        <v>0.96</v>
      </c>
    </row>
    <row r="385" spans="3:6" x14ac:dyDescent="0.25">
      <c r="C385" s="393" t="s">
        <v>1144</v>
      </c>
      <c r="D385" s="394">
        <v>0.92</v>
      </c>
      <c r="E385" s="394">
        <v>0.92</v>
      </c>
      <c r="F385" s="394">
        <v>0.9</v>
      </c>
    </row>
    <row r="386" spans="3:6" x14ac:dyDescent="0.25">
      <c r="C386" s="393" t="s">
        <v>1145</v>
      </c>
      <c r="D386" s="394">
        <v>0.84</v>
      </c>
      <c r="E386" s="394">
        <v>0.84</v>
      </c>
      <c r="F386" s="394">
        <v>1.07</v>
      </c>
    </row>
    <row r="387" spans="3:6" x14ac:dyDescent="0.25">
      <c r="C387" s="393" t="s">
        <v>1146</v>
      </c>
      <c r="D387" s="394">
        <v>0.9</v>
      </c>
      <c r="E387" s="394">
        <v>0.9</v>
      </c>
      <c r="F387" s="394">
        <v>1.0900000000000001</v>
      </c>
    </row>
    <row r="388" spans="3:6" x14ac:dyDescent="0.25">
      <c r="C388" s="393" t="s">
        <v>1147</v>
      </c>
      <c r="D388" s="394">
        <v>0.92</v>
      </c>
      <c r="E388" s="394">
        <v>0.92</v>
      </c>
      <c r="F388" s="394">
        <v>0.86</v>
      </c>
    </row>
    <row r="389" spans="3:6" x14ac:dyDescent="0.25">
      <c r="C389" s="393" t="s">
        <v>1148</v>
      </c>
      <c r="D389" s="394">
        <v>0.75</v>
      </c>
      <c r="E389" s="394">
        <v>0.75</v>
      </c>
      <c r="F389" s="394">
        <v>0.95</v>
      </c>
    </row>
    <row r="390" spans="3:6" x14ac:dyDescent="0.25">
      <c r="C390" s="393" t="s">
        <v>1149</v>
      </c>
      <c r="D390" s="394">
        <v>1</v>
      </c>
      <c r="E390" s="394">
        <v>1</v>
      </c>
      <c r="F390" s="394">
        <v>1.08</v>
      </c>
    </row>
    <row r="391" spans="3:6" x14ac:dyDescent="0.25">
      <c r="C391" s="393" t="s">
        <v>1150</v>
      </c>
      <c r="D391" s="394">
        <v>0.91</v>
      </c>
      <c r="E391" s="394">
        <v>0.91</v>
      </c>
      <c r="F391" s="394">
        <v>0.96</v>
      </c>
    </row>
    <row r="392" spans="3:6" x14ac:dyDescent="0.25">
      <c r="C392" s="393" t="s">
        <v>1151</v>
      </c>
      <c r="D392" s="394">
        <v>0.96</v>
      </c>
      <c r="E392" s="394">
        <v>0.96</v>
      </c>
      <c r="F392" s="394">
        <v>1.05</v>
      </c>
    </row>
    <row r="393" spans="3:6" x14ac:dyDescent="0.25">
      <c r="C393" s="393" t="s">
        <v>1152</v>
      </c>
      <c r="D393" s="394">
        <v>0.9</v>
      </c>
      <c r="E393" s="394">
        <v>0.9</v>
      </c>
      <c r="F393" s="394">
        <v>1.1499999999999999</v>
      </c>
    </row>
    <row r="394" spans="3:6" x14ac:dyDescent="0.25">
      <c r="C394" s="393" t="s">
        <v>1153</v>
      </c>
      <c r="D394" s="394">
        <v>0.9</v>
      </c>
      <c r="E394" s="394">
        <v>0.9</v>
      </c>
      <c r="F394" s="394">
        <v>1.1100000000000001</v>
      </c>
    </row>
    <row r="395" spans="3:6" x14ac:dyDescent="0.25">
      <c r="C395" s="393" t="s">
        <v>1154</v>
      </c>
      <c r="D395" s="394">
        <v>0.75</v>
      </c>
      <c r="E395" s="394">
        <v>0.75</v>
      </c>
      <c r="F395" s="394">
        <v>0.94</v>
      </c>
    </row>
    <row r="396" spans="3:6" x14ac:dyDescent="0.25">
      <c r="C396" s="393" t="s">
        <v>1155</v>
      </c>
      <c r="D396" s="394">
        <v>0.81</v>
      </c>
      <c r="E396" s="394">
        <v>0.81</v>
      </c>
      <c r="F396" s="394">
        <v>0.75</v>
      </c>
    </row>
    <row r="397" spans="3:6" x14ac:dyDescent="0.25">
      <c r="C397" s="393" t="s">
        <v>1156</v>
      </c>
      <c r="D397" s="394">
        <v>0.84</v>
      </c>
      <c r="E397" s="394">
        <v>0.84</v>
      </c>
      <c r="F397" s="394">
        <v>0.9</v>
      </c>
    </row>
    <row r="398" spans="3:6" x14ac:dyDescent="0.25">
      <c r="C398" s="393" t="s">
        <v>1157</v>
      </c>
      <c r="D398" s="394">
        <v>0.83</v>
      </c>
      <c r="E398" s="394">
        <v>0.83</v>
      </c>
      <c r="F398" s="394">
        <v>0.94</v>
      </c>
    </row>
    <row r="399" spans="3:6" x14ac:dyDescent="0.25">
      <c r="C399" s="393" t="s">
        <v>1158</v>
      </c>
      <c r="D399" s="394">
        <v>0.76</v>
      </c>
      <c r="E399" s="394">
        <v>0.76</v>
      </c>
      <c r="F399" s="394">
        <v>0.68</v>
      </c>
    </row>
    <row r="400" spans="3:6" x14ac:dyDescent="0.25">
      <c r="C400" s="393" t="s">
        <v>1159</v>
      </c>
      <c r="D400" s="394">
        <v>0.81</v>
      </c>
      <c r="E400" s="394">
        <v>0.81</v>
      </c>
      <c r="F400" s="394">
        <v>0.74</v>
      </c>
    </row>
    <row r="401" spans="3:6" x14ac:dyDescent="0.25">
      <c r="C401" s="393" t="s">
        <v>1160</v>
      </c>
      <c r="D401" s="394">
        <v>0.84</v>
      </c>
      <c r="E401" s="394">
        <v>0.84</v>
      </c>
      <c r="F401" s="394">
        <v>0.78</v>
      </c>
    </row>
    <row r="402" spans="3:6" x14ac:dyDescent="0.25">
      <c r="C402" s="393" t="s">
        <v>1161</v>
      </c>
      <c r="D402" s="394">
        <v>0.89</v>
      </c>
      <c r="E402" s="394">
        <v>0.89</v>
      </c>
      <c r="F402" s="394">
        <v>0.81</v>
      </c>
    </row>
    <row r="403" spans="3:6" x14ac:dyDescent="0.25">
      <c r="C403" s="393" t="s">
        <v>1162</v>
      </c>
      <c r="D403" s="394">
        <v>0.84</v>
      </c>
      <c r="E403" s="394">
        <v>0.84</v>
      </c>
      <c r="F403" s="394">
        <v>0.99</v>
      </c>
    </row>
    <row r="404" spans="3:6" x14ac:dyDescent="0.25">
      <c r="C404" s="393" t="s">
        <v>1163</v>
      </c>
      <c r="D404" s="394">
        <v>0.8</v>
      </c>
      <c r="E404" s="394">
        <v>0.8</v>
      </c>
      <c r="F404" s="394">
        <v>0.95</v>
      </c>
    </row>
    <row r="405" spans="3:6" x14ac:dyDescent="0.25">
      <c r="C405" s="393" t="s">
        <v>1164</v>
      </c>
      <c r="D405" s="394">
        <v>0.89</v>
      </c>
      <c r="E405" s="394">
        <v>0.89</v>
      </c>
      <c r="F405" s="394">
        <v>0.99</v>
      </c>
    </row>
    <row r="406" spans="3:6" x14ac:dyDescent="0.25">
      <c r="C406" s="393" t="s">
        <v>1165</v>
      </c>
      <c r="D406" s="394">
        <v>0.85</v>
      </c>
      <c r="E406" s="394">
        <v>0.85</v>
      </c>
      <c r="F406" s="394">
        <v>0.79</v>
      </c>
    </row>
    <row r="407" spans="3:6" x14ac:dyDescent="0.25">
      <c r="C407" s="393" t="s">
        <v>1166</v>
      </c>
      <c r="D407" s="394">
        <v>0.86</v>
      </c>
      <c r="E407" s="394">
        <v>0.86</v>
      </c>
      <c r="F407" s="394">
        <v>0.79</v>
      </c>
    </row>
    <row r="408" spans="3:6" x14ac:dyDescent="0.25">
      <c r="C408" s="393" t="s">
        <v>1167</v>
      </c>
      <c r="D408" s="394">
        <v>0.77</v>
      </c>
      <c r="E408" s="394">
        <v>0.77</v>
      </c>
      <c r="F408" s="394">
        <v>0.7</v>
      </c>
    </row>
    <row r="409" spans="3:6" x14ac:dyDescent="0.25">
      <c r="C409" s="393" t="s">
        <v>1168</v>
      </c>
      <c r="D409" s="394">
        <v>0.78</v>
      </c>
      <c r="E409" s="394">
        <v>0.78</v>
      </c>
      <c r="F409" s="394">
        <v>0.68</v>
      </c>
    </row>
    <row r="410" spans="3:6" x14ac:dyDescent="0.25">
      <c r="C410" s="393" t="s">
        <v>1169</v>
      </c>
      <c r="D410" s="394">
        <v>0.8</v>
      </c>
      <c r="E410" s="394">
        <v>0.8</v>
      </c>
      <c r="F410" s="394">
        <v>0.72</v>
      </c>
    </row>
    <row r="411" spans="3:6" x14ac:dyDescent="0.25">
      <c r="C411" s="393" t="s">
        <v>1170</v>
      </c>
      <c r="D411" s="394">
        <v>0.77</v>
      </c>
      <c r="E411" s="394">
        <v>0.77</v>
      </c>
      <c r="F411" s="394">
        <v>0.94</v>
      </c>
    </row>
    <row r="412" spans="3:6" x14ac:dyDescent="0.25">
      <c r="C412" s="393" t="s">
        <v>1171</v>
      </c>
      <c r="D412" s="394">
        <v>0.81</v>
      </c>
      <c r="E412" s="394">
        <v>0.81</v>
      </c>
      <c r="F412" s="394">
        <v>0.96</v>
      </c>
    </row>
    <row r="413" spans="3:6" x14ac:dyDescent="0.25">
      <c r="C413" s="393" t="s">
        <v>1172</v>
      </c>
      <c r="D413" s="394">
        <v>0.69</v>
      </c>
      <c r="E413" s="394">
        <v>0.69</v>
      </c>
      <c r="F413" s="394">
        <v>0.87</v>
      </c>
    </row>
    <row r="414" spans="3:6" x14ac:dyDescent="0.25">
      <c r="C414" s="393" t="s">
        <v>1173</v>
      </c>
      <c r="D414" s="394">
        <v>0.6</v>
      </c>
      <c r="E414" s="394">
        <v>0.6</v>
      </c>
      <c r="F414" s="394">
        <v>0.63</v>
      </c>
    </row>
    <row r="415" spans="3:6" x14ac:dyDescent="0.25">
      <c r="C415" s="393" t="s">
        <v>1174</v>
      </c>
      <c r="D415" s="394">
        <v>0.9</v>
      </c>
      <c r="E415" s="394">
        <v>0.9</v>
      </c>
      <c r="F415" s="394">
        <v>0.83</v>
      </c>
    </row>
    <row r="416" spans="3:6" x14ac:dyDescent="0.25">
      <c r="C416" s="393" t="s">
        <v>1175</v>
      </c>
      <c r="D416" s="394">
        <v>0.68</v>
      </c>
      <c r="E416" s="394">
        <v>0.68</v>
      </c>
      <c r="F416" s="394">
        <v>0.66</v>
      </c>
    </row>
    <row r="417" spans="3:6" x14ac:dyDescent="0.25">
      <c r="C417" s="393" t="s">
        <v>1176</v>
      </c>
      <c r="D417" s="394">
        <v>0.83</v>
      </c>
      <c r="E417" s="394">
        <v>0.83</v>
      </c>
      <c r="F417" s="394">
        <v>0.71</v>
      </c>
    </row>
    <row r="418" spans="3:6" x14ac:dyDescent="0.25">
      <c r="C418" s="393" t="s">
        <v>1177</v>
      </c>
      <c r="D418" s="394">
        <v>0.84</v>
      </c>
      <c r="E418" s="394">
        <v>0.84</v>
      </c>
      <c r="F418" s="394">
        <v>0.71</v>
      </c>
    </row>
    <row r="419" spans="3:6" x14ac:dyDescent="0.25">
      <c r="C419" s="393" t="s">
        <v>1178</v>
      </c>
      <c r="D419" s="394">
        <v>0.62</v>
      </c>
      <c r="E419" s="394">
        <v>0.62</v>
      </c>
      <c r="F419" s="394">
        <v>0.63</v>
      </c>
    </row>
    <row r="420" spans="3:6" x14ac:dyDescent="0.25">
      <c r="C420" s="393" t="s">
        <v>1179</v>
      </c>
      <c r="D420" s="394">
        <v>0.83</v>
      </c>
      <c r="E420" s="394">
        <v>0.83</v>
      </c>
      <c r="F420" s="394">
        <v>0.99</v>
      </c>
    </row>
    <row r="421" spans="3:6" x14ac:dyDescent="0.25">
      <c r="C421" s="393" t="s">
        <v>1180</v>
      </c>
      <c r="D421" s="394">
        <v>0.9</v>
      </c>
      <c r="E421" s="394">
        <v>0.9</v>
      </c>
      <c r="F421" s="394">
        <v>0.87</v>
      </c>
    </row>
    <row r="422" spans="3:6" x14ac:dyDescent="0.25">
      <c r="C422" s="393" t="s">
        <v>1181</v>
      </c>
      <c r="D422" s="394">
        <v>0.89</v>
      </c>
      <c r="E422" s="394">
        <v>0.89</v>
      </c>
      <c r="F422" s="394">
        <v>1.03</v>
      </c>
    </row>
    <row r="423" spans="3:6" x14ac:dyDescent="0.25">
      <c r="C423" s="393" t="s">
        <v>1182</v>
      </c>
      <c r="D423" s="394">
        <v>0.83</v>
      </c>
      <c r="E423" s="394">
        <v>0.83</v>
      </c>
      <c r="F423" s="394">
        <v>0.87</v>
      </c>
    </row>
    <row r="424" spans="3:6" x14ac:dyDescent="0.25">
      <c r="C424" s="393" t="s">
        <v>1183</v>
      </c>
      <c r="D424" s="394">
        <v>0.87</v>
      </c>
      <c r="E424" s="394">
        <v>0.87</v>
      </c>
      <c r="F424" s="394">
        <v>0.79</v>
      </c>
    </row>
    <row r="425" spans="3:6" x14ac:dyDescent="0.25">
      <c r="C425" s="393" t="s">
        <v>1184</v>
      </c>
      <c r="D425" s="394">
        <v>0.7</v>
      </c>
      <c r="E425" s="394">
        <v>0.7</v>
      </c>
      <c r="F425" s="394">
        <v>1.05</v>
      </c>
    </row>
    <row r="426" spans="3:6" x14ac:dyDescent="0.25">
      <c r="C426" s="393" t="s">
        <v>1185</v>
      </c>
      <c r="D426" s="394">
        <v>0.9</v>
      </c>
      <c r="E426" s="394">
        <v>0.9</v>
      </c>
      <c r="F426" s="394">
        <v>1.04</v>
      </c>
    </row>
    <row r="427" spans="3:6" x14ac:dyDescent="0.25">
      <c r="C427" s="393" t="s">
        <v>1186</v>
      </c>
      <c r="D427" s="394">
        <v>0.78</v>
      </c>
      <c r="E427" s="394">
        <v>0.78</v>
      </c>
      <c r="F427" s="394">
        <v>0.98</v>
      </c>
    </row>
    <row r="428" spans="3:6" x14ac:dyDescent="0.25">
      <c r="C428" s="393" t="s">
        <v>1187</v>
      </c>
      <c r="D428" s="394">
        <v>0.92</v>
      </c>
      <c r="E428" s="394">
        <v>0.92</v>
      </c>
      <c r="F428" s="394">
        <v>0.73</v>
      </c>
    </row>
    <row r="429" spans="3:6" x14ac:dyDescent="0.25">
      <c r="C429" s="393" t="s">
        <v>1188</v>
      </c>
      <c r="D429" s="394">
        <v>1.05</v>
      </c>
      <c r="E429" s="394">
        <v>1.05</v>
      </c>
      <c r="F429" s="394">
        <v>0.94</v>
      </c>
    </row>
    <row r="430" spans="3:6" x14ac:dyDescent="0.25">
      <c r="C430" s="393" t="s">
        <v>1189</v>
      </c>
      <c r="D430" s="394">
        <v>0.94</v>
      </c>
      <c r="E430" s="394">
        <v>0.94</v>
      </c>
      <c r="F430" s="394">
        <v>1.1200000000000001</v>
      </c>
    </row>
    <row r="431" spans="3:6" x14ac:dyDescent="0.25">
      <c r="C431" s="393" t="s">
        <v>1190</v>
      </c>
      <c r="D431" s="394">
        <v>0.9</v>
      </c>
      <c r="E431" s="394">
        <v>0.9</v>
      </c>
      <c r="F431" s="394">
        <v>0.9</v>
      </c>
    </row>
    <row r="432" spans="3:6" x14ac:dyDescent="0.25">
      <c r="C432" s="393" t="s">
        <v>1191</v>
      </c>
      <c r="D432" s="394">
        <v>0.91</v>
      </c>
      <c r="E432" s="394">
        <v>0.91</v>
      </c>
      <c r="F432" s="394">
        <v>1.07</v>
      </c>
    </row>
    <row r="433" spans="3:6" x14ac:dyDescent="0.25">
      <c r="C433" s="393" t="s">
        <v>1192</v>
      </c>
      <c r="D433" s="394">
        <v>0.89</v>
      </c>
      <c r="E433" s="394">
        <v>0.89</v>
      </c>
      <c r="F433" s="394">
        <v>0.79</v>
      </c>
    </row>
    <row r="434" spans="3:6" x14ac:dyDescent="0.25">
      <c r="C434" s="393" t="s">
        <v>1193</v>
      </c>
      <c r="D434" s="394">
        <v>0.86</v>
      </c>
      <c r="E434" s="394">
        <v>0.86</v>
      </c>
      <c r="F434" s="394">
        <v>1.01</v>
      </c>
    </row>
    <row r="435" spans="3:6" x14ac:dyDescent="0.25">
      <c r="C435" s="393" t="s">
        <v>1194</v>
      </c>
      <c r="D435" s="394">
        <v>0.87</v>
      </c>
      <c r="E435" s="394">
        <v>0.87</v>
      </c>
      <c r="F435" s="394">
        <v>0.77</v>
      </c>
    </row>
    <row r="436" spans="3:6" x14ac:dyDescent="0.25">
      <c r="C436" s="393" t="s">
        <v>1195</v>
      </c>
      <c r="D436" s="394">
        <v>0.91</v>
      </c>
      <c r="E436" s="394">
        <v>0.91</v>
      </c>
      <c r="F436" s="394">
        <v>0.83</v>
      </c>
    </row>
    <row r="437" spans="3:6" x14ac:dyDescent="0.25">
      <c r="C437" s="393" t="s">
        <v>1196</v>
      </c>
      <c r="D437" s="394">
        <v>0.92</v>
      </c>
      <c r="E437" s="394">
        <v>0.92</v>
      </c>
      <c r="F437" s="394">
        <v>0.85</v>
      </c>
    </row>
    <row r="438" spans="3:6" x14ac:dyDescent="0.25">
      <c r="C438" s="393" t="s">
        <v>1197</v>
      </c>
      <c r="D438" s="394">
        <v>0.9</v>
      </c>
      <c r="E438" s="394">
        <v>0.9</v>
      </c>
      <c r="F438" s="394">
        <v>0.81</v>
      </c>
    </row>
    <row r="439" spans="3:6" x14ac:dyDescent="0.25">
      <c r="C439" s="393" t="s">
        <v>1198</v>
      </c>
      <c r="D439" s="394">
        <v>0.85</v>
      </c>
      <c r="E439" s="394">
        <v>0.85</v>
      </c>
      <c r="F439" s="394">
        <v>0.77</v>
      </c>
    </row>
    <row r="440" spans="3:6" x14ac:dyDescent="0.25">
      <c r="C440" s="393" t="s">
        <v>1199</v>
      </c>
      <c r="D440" s="394">
        <v>0.82</v>
      </c>
      <c r="E440" s="394">
        <v>0.82</v>
      </c>
      <c r="F440" s="394">
        <v>0.81</v>
      </c>
    </row>
    <row r="441" spans="3:6" x14ac:dyDescent="0.25">
      <c r="C441" s="393" t="s">
        <v>1200</v>
      </c>
      <c r="D441" s="394">
        <v>0.73</v>
      </c>
      <c r="E441" s="394">
        <v>0.73</v>
      </c>
      <c r="F441" s="394">
        <v>0.67</v>
      </c>
    </row>
    <row r="442" spans="3:6" x14ac:dyDescent="0.25">
      <c r="C442" s="393" t="s">
        <v>1201</v>
      </c>
      <c r="D442" s="394">
        <v>0.84</v>
      </c>
      <c r="E442" s="394">
        <v>0.84</v>
      </c>
      <c r="F442" s="394">
        <v>0.97</v>
      </c>
    </row>
    <row r="443" spans="3:6" x14ac:dyDescent="0.25">
      <c r="C443" s="393" t="s">
        <v>1202</v>
      </c>
      <c r="D443" s="394">
        <v>0.81</v>
      </c>
      <c r="E443" s="394">
        <v>0.81</v>
      </c>
      <c r="F443" s="394">
        <v>0.72</v>
      </c>
    </row>
    <row r="444" spans="3:6" x14ac:dyDescent="0.25">
      <c r="C444" s="393" t="s">
        <v>1203</v>
      </c>
      <c r="D444" s="394">
        <v>0.75</v>
      </c>
      <c r="E444" s="394">
        <v>0.75</v>
      </c>
      <c r="F444" s="394">
        <v>0.67</v>
      </c>
    </row>
    <row r="445" spans="3:6" x14ac:dyDescent="0.25">
      <c r="C445" s="393" t="s">
        <v>1204</v>
      </c>
      <c r="D445" s="394">
        <v>0.79</v>
      </c>
      <c r="E445" s="394">
        <v>0.79</v>
      </c>
      <c r="F445" s="394">
        <v>0.69</v>
      </c>
    </row>
    <row r="446" spans="3:6" x14ac:dyDescent="0.25">
      <c r="C446" s="393" t="s">
        <v>1205</v>
      </c>
      <c r="D446" s="394">
        <v>0.78</v>
      </c>
      <c r="E446" s="394">
        <v>0.78</v>
      </c>
      <c r="F446" s="394">
        <v>0.69</v>
      </c>
    </row>
    <row r="447" spans="3:6" x14ac:dyDescent="0.25">
      <c r="C447" s="393" t="s">
        <v>1206</v>
      </c>
      <c r="D447" s="394">
        <v>0.74</v>
      </c>
      <c r="E447" s="394">
        <v>0.74</v>
      </c>
      <c r="F447" s="394">
        <v>0.84</v>
      </c>
    </row>
    <row r="448" spans="3:6" x14ac:dyDescent="0.25">
      <c r="C448" s="393" t="s">
        <v>1207</v>
      </c>
      <c r="D448" s="394">
        <v>0.71</v>
      </c>
      <c r="E448" s="394">
        <v>0.71</v>
      </c>
      <c r="F448" s="394">
        <v>0.66</v>
      </c>
    </row>
    <row r="449" spans="3:6" x14ac:dyDescent="0.25">
      <c r="C449" s="393" t="s">
        <v>1208</v>
      </c>
      <c r="D449" s="394">
        <v>0.73</v>
      </c>
      <c r="E449" s="394">
        <v>0.73</v>
      </c>
      <c r="F449" s="394">
        <v>0.71</v>
      </c>
    </row>
    <row r="450" spans="3:6" x14ac:dyDescent="0.25">
      <c r="C450" s="393" t="s">
        <v>1209</v>
      </c>
      <c r="D450" s="394">
        <v>0.66</v>
      </c>
      <c r="E450" s="394">
        <v>0.66</v>
      </c>
      <c r="F450" s="394">
        <v>0.66</v>
      </c>
    </row>
    <row r="451" spans="3:6" x14ac:dyDescent="0.25">
      <c r="C451" s="393" t="s">
        <v>1210</v>
      </c>
      <c r="D451" s="394">
        <v>0.65</v>
      </c>
      <c r="E451" s="394">
        <v>0.65</v>
      </c>
      <c r="F451" s="394">
        <v>0.62</v>
      </c>
    </row>
    <row r="452" spans="3:6" x14ac:dyDescent="0.25">
      <c r="C452" s="393" t="s">
        <v>1211</v>
      </c>
      <c r="D452" s="394">
        <v>0.75</v>
      </c>
      <c r="E452" s="394">
        <v>0.75</v>
      </c>
      <c r="F452" s="394">
        <v>0.88</v>
      </c>
    </row>
    <row r="453" spans="3:6" x14ac:dyDescent="0.25">
      <c r="C453" s="393" t="s">
        <v>1212</v>
      </c>
      <c r="D453" s="394">
        <v>0.78</v>
      </c>
      <c r="E453" s="394">
        <v>0.78</v>
      </c>
      <c r="F453" s="394">
        <v>0.72</v>
      </c>
    </row>
    <row r="454" spans="3:6" x14ac:dyDescent="0.25">
      <c r="C454" s="393" t="s">
        <v>1213</v>
      </c>
      <c r="D454" s="394">
        <v>0.77</v>
      </c>
      <c r="E454" s="394">
        <v>0.77</v>
      </c>
      <c r="F454" s="394">
        <v>0.71</v>
      </c>
    </row>
    <row r="455" spans="3:6" x14ac:dyDescent="0.25">
      <c r="C455" s="393" t="s">
        <v>1214</v>
      </c>
      <c r="D455" s="394">
        <v>0.65</v>
      </c>
      <c r="E455" s="394">
        <v>0.65</v>
      </c>
      <c r="F455" s="394">
        <v>0.63</v>
      </c>
    </row>
    <row r="456" spans="3:6" x14ac:dyDescent="0.25">
      <c r="C456" s="393" t="s">
        <v>1215</v>
      </c>
      <c r="D456" s="394">
        <v>1.03</v>
      </c>
      <c r="E456" s="394">
        <v>1.03</v>
      </c>
      <c r="F456" s="394">
        <v>1.18</v>
      </c>
    </row>
    <row r="457" spans="3:6" x14ac:dyDescent="0.25">
      <c r="C457" s="393" t="s">
        <v>1216</v>
      </c>
      <c r="D457" s="394">
        <v>1.08</v>
      </c>
      <c r="E457" s="394">
        <v>1.08</v>
      </c>
      <c r="F457" s="394">
        <v>0.96</v>
      </c>
    </row>
    <row r="458" spans="3:6" x14ac:dyDescent="0.25">
      <c r="C458" s="393" t="s">
        <v>1217</v>
      </c>
      <c r="D458" s="394">
        <v>1.07</v>
      </c>
      <c r="E458" s="394">
        <v>1.07</v>
      </c>
      <c r="F458" s="394">
        <v>1.01</v>
      </c>
    </row>
    <row r="459" spans="3:6" x14ac:dyDescent="0.25">
      <c r="C459" s="393" t="s">
        <v>1218</v>
      </c>
      <c r="D459" s="394">
        <v>1.08</v>
      </c>
      <c r="E459" s="394">
        <v>1.08</v>
      </c>
      <c r="F459" s="394">
        <v>1.18</v>
      </c>
    </row>
    <row r="460" spans="3:6" x14ac:dyDescent="0.25">
      <c r="C460" s="393" t="s">
        <v>1219</v>
      </c>
      <c r="D460" s="394">
        <v>0.95</v>
      </c>
      <c r="E460" s="394">
        <v>0.95</v>
      </c>
      <c r="F460" s="394">
        <v>1.05</v>
      </c>
    </row>
    <row r="461" spans="3:6" x14ac:dyDescent="0.25">
      <c r="C461" s="393" t="s">
        <v>1220</v>
      </c>
      <c r="D461" s="394">
        <v>0.92</v>
      </c>
      <c r="E461" s="394">
        <v>0.92</v>
      </c>
      <c r="F461" s="394">
        <v>1.01</v>
      </c>
    </row>
    <row r="462" spans="3:6" x14ac:dyDescent="0.25">
      <c r="C462" s="393" t="s">
        <v>1221</v>
      </c>
      <c r="D462" s="394">
        <v>0.97</v>
      </c>
      <c r="E462" s="394">
        <v>0.97</v>
      </c>
      <c r="F462" s="394">
        <v>1.1100000000000001</v>
      </c>
    </row>
    <row r="463" spans="3:6" x14ac:dyDescent="0.25">
      <c r="C463" s="393" t="s">
        <v>1222</v>
      </c>
      <c r="D463" s="394">
        <v>0.97</v>
      </c>
      <c r="E463" s="394">
        <v>0.97</v>
      </c>
      <c r="F463" s="394">
        <v>0.97</v>
      </c>
    </row>
    <row r="464" spans="3:6" x14ac:dyDescent="0.25">
      <c r="C464" s="393" t="s">
        <v>1223</v>
      </c>
      <c r="D464" s="394">
        <v>0.95</v>
      </c>
      <c r="E464" s="394">
        <v>0.95</v>
      </c>
      <c r="F464" s="394">
        <v>1.1399999999999999</v>
      </c>
    </row>
    <row r="465" spans="3:6" x14ac:dyDescent="0.25">
      <c r="C465" s="393" t="s">
        <v>1224</v>
      </c>
      <c r="D465" s="394">
        <v>1.01</v>
      </c>
      <c r="E465" s="394">
        <v>1.01</v>
      </c>
      <c r="F465" s="394">
        <v>1.1000000000000001</v>
      </c>
    </row>
    <row r="466" spans="3:6" x14ac:dyDescent="0.25">
      <c r="C466" s="393" t="s">
        <v>1225</v>
      </c>
      <c r="D466" s="394">
        <v>0.9</v>
      </c>
      <c r="E466" s="394">
        <v>0.9</v>
      </c>
      <c r="F466" s="394">
        <v>1.07</v>
      </c>
    </row>
    <row r="467" spans="3:6" x14ac:dyDescent="0.25">
      <c r="C467" s="393" t="s">
        <v>1226</v>
      </c>
      <c r="D467" s="394">
        <v>0.94</v>
      </c>
      <c r="E467" s="394">
        <v>0.94</v>
      </c>
      <c r="F467" s="394">
        <v>1.1299999999999999</v>
      </c>
    </row>
    <row r="468" spans="3:6" x14ac:dyDescent="0.25">
      <c r="C468" s="393" t="s">
        <v>1227</v>
      </c>
      <c r="D468" s="394">
        <v>0.94</v>
      </c>
      <c r="E468" s="394">
        <v>0.94</v>
      </c>
      <c r="F468" s="394">
        <v>0.96</v>
      </c>
    </row>
    <row r="469" spans="3:6" x14ac:dyDescent="0.25">
      <c r="C469" s="393" t="s">
        <v>1228</v>
      </c>
      <c r="D469" s="394">
        <v>0.92</v>
      </c>
      <c r="E469" s="394">
        <v>0.92</v>
      </c>
      <c r="F469" s="394">
        <v>1.05</v>
      </c>
    </row>
    <row r="470" spans="3:6" x14ac:dyDescent="0.25">
      <c r="C470" s="393" t="s">
        <v>1229</v>
      </c>
      <c r="D470" s="394">
        <v>0.96</v>
      </c>
      <c r="E470" s="394">
        <v>0.96</v>
      </c>
      <c r="F470" s="394">
        <v>0.97</v>
      </c>
    </row>
    <row r="471" spans="3:6" x14ac:dyDescent="0.25">
      <c r="C471" s="393" t="s">
        <v>1230</v>
      </c>
      <c r="D471" s="394">
        <v>0.96</v>
      </c>
      <c r="E471" s="394">
        <v>0.96</v>
      </c>
      <c r="F471" s="394">
        <v>0.96</v>
      </c>
    </row>
    <row r="472" spans="3:6" x14ac:dyDescent="0.25">
      <c r="C472" s="393" t="s">
        <v>1231</v>
      </c>
      <c r="D472" s="394">
        <v>0.83</v>
      </c>
      <c r="E472" s="394">
        <v>0.83</v>
      </c>
      <c r="F472" s="394">
        <v>1</v>
      </c>
    </row>
    <row r="473" spans="3:6" x14ac:dyDescent="0.25">
      <c r="C473" s="393" t="s">
        <v>1232</v>
      </c>
      <c r="D473" s="394">
        <v>0.8</v>
      </c>
      <c r="E473" s="394">
        <v>0.8</v>
      </c>
      <c r="F473" s="394">
        <v>0.81</v>
      </c>
    </row>
    <row r="474" spans="3:6" x14ac:dyDescent="0.25">
      <c r="C474" s="393" t="s">
        <v>1233</v>
      </c>
      <c r="D474" s="394">
        <v>0.71</v>
      </c>
      <c r="E474" s="394">
        <v>0.71</v>
      </c>
      <c r="F474" s="394">
        <v>0.71</v>
      </c>
    </row>
    <row r="475" spans="3:6" x14ac:dyDescent="0.25">
      <c r="C475" s="393" t="s">
        <v>1234</v>
      </c>
      <c r="D475" s="394">
        <v>0.8</v>
      </c>
      <c r="E475" s="394">
        <v>0.8</v>
      </c>
      <c r="F475" s="394">
        <v>0.73</v>
      </c>
    </row>
    <row r="476" spans="3:6" x14ac:dyDescent="0.25">
      <c r="C476" s="393" t="s">
        <v>1235</v>
      </c>
      <c r="D476" s="394">
        <v>0.92</v>
      </c>
      <c r="E476" s="394">
        <v>0.92</v>
      </c>
      <c r="F476" s="394">
        <v>0.96</v>
      </c>
    </row>
    <row r="477" spans="3:6" x14ac:dyDescent="0.25">
      <c r="C477" s="393" t="s">
        <v>1236</v>
      </c>
      <c r="D477" s="394">
        <v>0.73</v>
      </c>
      <c r="E477" s="394">
        <v>0.73</v>
      </c>
      <c r="F477" s="394">
        <v>1.01</v>
      </c>
    </row>
    <row r="478" spans="3:6" x14ac:dyDescent="0.25">
      <c r="C478" s="393" t="s">
        <v>1237</v>
      </c>
      <c r="D478" s="394">
        <v>0.71</v>
      </c>
      <c r="E478" s="394">
        <v>0.71</v>
      </c>
      <c r="F478" s="394">
        <v>0.97</v>
      </c>
    </row>
    <row r="479" spans="3:6" x14ac:dyDescent="0.25">
      <c r="C479" s="393" t="s">
        <v>1238</v>
      </c>
      <c r="D479" s="394">
        <v>0.7</v>
      </c>
      <c r="E479" s="394">
        <v>0.7</v>
      </c>
      <c r="F479" s="394">
        <v>0.73</v>
      </c>
    </row>
    <row r="480" spans="3:6" x14ac:dyDescent="0.25">
      <c r="C480" s="393" t="s">
        <v>1239</v>
      </c>
      <c r="D480" s="394">
        <v>0.61</v>
      </c>
      <c r="E480" s="394">
        <v>0.61</v>
      </c>
      <c r="F480" s="394">
        <v>0.67</v>
      </c>
    </row>
    <row r="481" spans="3:6" x14ac:dyDescent="0.25">
      <c r="C481" s="393" t="s">
        <v>1240</v>
      </c>
      <c r="D481" s="394">
        <v>0.77</v>
      </c>
      <c r="E481" s="394">
        <v>0.77</v>
      </c>
      <c r="F481" s="394">
        <v>0.68</v>
      </c>
    </row>
    <row r="482" spans="3:6" x14ac:dyDescent="0.25">
      <c r="C482" s="393" t="s">
        <v>1241</v>
      </c>
      <c r="D482" s="394">
        <v>0.74</v>
      </c>
      <c r="E482" s="394">
        <v>0.74</v>
      </c>
      <c r="F482" s="394">
        <v>0.67</v>
      </c>
    </row>
    <row r="483" spans="3:6" x14ac:dyDescent="0.25">
      <c r="C483" s="393" t="s">
        <v>1242</v>
      </c>
      <c r="D483" s="394">
        <v>0.77</v>
      </c>
      <c r="E483" s="394">
        <v>0.77</v>
      </c>
      <c r="F483" s="394">
        <v>0.69</v>
      </c>
    </row>
    <row r="484" spans="3:6" x14ac:dyDescent="0.25">
      <c r="C484" s="393" t="s">
        <v>1243</v>
      </c>
      <c r="D484" s="394">
        <v>0.79</v>
      </c>
      <c r="E484" s="394">
        <v>0.79</v>
      </c>
      <c r="F484" s="394">
        <v>0.73</v>
      </c>
    </row>
    <row r="485" spans="3:6" x14ac:dyDescent="0.25">
      <c r="C485" s="393" t="s">
        <v>1244</v>
      </c>
      <c r="D485" s="394">
        <v>0.99</v>
      </c>
      <c r="E485" s="394">
        <v>0.99</v>
      </c>
      <c r="F485" s="394">
        <v>1.1100000000000001</v>
      </c>
    </row>
    <row r="486" spans="3:6" x14ac:dyDescent="0.25">
      <c r="C486" s="393" t="s">
        <v>1245</v>
      </c>
      <c r="D486" s="394">
        <v>0.78</v>
      </c>
      <c r="E486" s="394">
        <v>0.78</v>
      </c>
      <c r="F486" s="394">
        <v>0.7</v>
      </c>
    </row>
    <row r="487" spans="3:6" x14ac:dyDescent="0.25">
      <c r="C487" s="393" t="s">
        <v>1246</v>
      </c>
      <c r="D487" s="394">
        <v>0.99</v>
      </c>
      <c r="E487" s="394">
        <v>0.99</v>
      </c>
      <c r="F487" s="394">
        <v>1.1499999999999999</v>
      </c>
    </row>
    <row r="488" spans="3:6" x14ac:dyDescent="0.25">
      <c r="C488" s="393" t="s">
        <v>1247</v>
      </c>
      <c r="D488" s="394">
        <v>0.79</v>
      </c>
      <c r="E488" s="394">
        <v>0.79</v>
      </c>
      <c r="F488" s="394">
        <v>0.71</v>
      </c>
    </row>
    <row r="489" spans="3:6" x14ac:dyDescent="0.25">
      <c r="C489" s="393" t="s">
        <v>1248</v>
      </c>
      <c r="D489" s="394">
        <v>0.91</v>
      </c>
      <c r="E489" s="394">
        <v>0.91</v>
      </c>
      <c r="F489" s="394">
        <v>0.73</v>
      </c>
    </row>
    <row r="490" spans="3:6" x14ac:dyDescent="0.25">
      <c r="C490" s="393" t="s">
        <v>1249</v>
      </c>
      <c r="D490" s="394">
        <v>0.91</v>
      </c>
      <c r="E490" s="394">
        <v>0.91</v>
      </c>
      <c r="F490" s="394">
        <v>0.87</v>
      </c>
    </row>
    <row r="491" spans="3:6" x14ac:dyDescent="0.25">
      <c r="C491" s="393" t="s">
        <v>1250</v>
      </c>
      <c r="D491" s="394">
        <v>0.84</v>
      </c>
      <c r="E491" s="394">
        <v>0.84</v>
      </c>
      <c r="F491" s="394">
        <v>1.04</v>
      </c>
    </row>
    <row r="492" spans="3:6" x14ac:dyDescent="0.25">
      <c r="C492" s="393" t="s">
        <v>1251</v>
      </c>
      <c r="D492" s="394">
        <v>0.78</v>
      </c>
      <c r="E492" s="394">
        <v>0.78</v>
      </c>
      <c r="F492" s="394">
        <v>1</v>
      </c>
    </row>
    <row r="493" spans="3:6" x14ac:dyDescent="0.25">
      <c r="C493" s="393" t="s">
        <v>1252</v>
      </c>
      <c r="D493" s="394">
        <v>0.82</v>
      </c>
      <c r="E493" s="394">
        <v>0.82</v>
      </c>
      <c r="F493" s="394">
        <v>0.76</v>
      </c>
    </row>
    <row r="494" spans="3:6" x14ac:dyDescent="0.25">
      <c r="C494" s="393" t="s">
        <v>1253</v>
      </c>
      <c r="D494" s="394">
        <v>0.66</v>
      </c>
      <c r="E494" s="394">
        <v>0.66</v>
      </c>
      <c r="F494" s="394">
        <v>0.67</v>
      </c>
    </row>
    <row r="495" spans="3:6" x14ac:dyDescent="0.25">
      <c r="C495" s="393" t="s">
        <v>1254</v>
      </c>
      <c r="D495" s="394">
        <v>0.66</v>
      </c>
      <c r="E495" s="394">
        <v>0.66</v>
      </c>
      <c r="F495" s="394">
        <v>0.84</v>
      </c>
    </row>
    <row r="496" spans="3:6" x14ac:dyDescent="0.25">
      <c r="C496" s="393" t="s">
        <v>1255</v>
      </c>
      <c r="D496" s="394">
        <v>0.78</v>
      </c>
      <c r="E496" s="394">
        <v>0.78</v>
      </c>
      <c r="F496" s="394">
        <v>0.95</v>
      </c>
    </row>
    <row r="497" spans="3:6" x14ac:dyDescent="0.25">
      <c r="C497" s="393" t="s">
        <v>1256</v>
      </c>
      <c r="D497" s="394">
        <v>0.79</v>
      </c>
      <c r="E497" s="394">
        <v>0.79</v>
      </c>
      <c r="F497" s="394">
        <v>0.7</v>
      </c>
    </row>
    <row r="498" spans="3:6" x14ac:dyDescent="0.25">
      <c r="C498" s="393" t="s">
        <v>1257</v>
      </c>
      <c r="D498" s="394">
        <v>0.74</v>
      </c>
      <c r="E498" s="394">
        <v>0.74</v>
      </c>
      <c r="F498" s="394">
        <v>0.68</v>
      </c>
    </row>
    <row r="499" spans="3:6" x14ac:dyDescent="0.25">
      <c r="C499" s="393" t="s">
        <v>1258</v>
      </c>
      <c r="D499" s="394">
        <v>0.68</v>
      </c>
      <c r="E499" s="394">
        <v>0.68</v>
      </c>
      <c r="F499" s="394">
        <v>0.73</v>
      </c>
    </row>
    <row r="500" spans="3:6" x14ac:dyDescent="0.25">
      <c r="C500" s="393" t="s">
        <v>1259</v>
      </c>
      <c r="D500" s="394">
        <v>0.68</v>
      </c>
      <c r="E500" s="394">
        <v>0.68</v>
      </c>
      <c r="F500" s="394">
        <v>0.94</v>
      </c>
    </row>
    <row r="501" spans="3:6" x14ac:dyDescent="0.25">
      <c r="C501" s="393" t="s">
        <v>1260</v>
      </c>
      <c r="D501" s="394">
        <v>0.78</v>
      </c>
      <c r="E501" s="394">
        <v>0.78</v>
      </c>
      <c r="F501" s="394">
        <v>0.71</v>
      </c>
    </row>
    <row r="502" spans="3:6" x14ac:dyDescent="0.25">
      <c r="C502" s="393" t="s">
        <v>1261</v>
      </c>
      <c r="D502" s="394">
        <v>0.56999999999999995</v>
      </c>
      <c r="E502" s="394">
        <v>0.56999999999999995</v>
      </c>
      <c r="F502" s="394">
        <v>0.63</v>
      </c>
    </row>
    <row r="503" spans="3:6" x14ac:dyDescent="0.25">
      <c r="C503" s="393" t="s">
        <v>1262</v>
      </c>
      <c r="D503" s="394">
        <v>0.8</v>
      </c>
      <c r="E503" s="394">
        <v>0.8</v>
      </c>
      <c r="F503" s="394">
        <v>0.74</v>
      </c>
    </row>
    <row r="504" spans="3:6" x14ac:dyDescent="0.25">
      <c r="C504" s="393" t="s">
        <v>1263</v>
      </c>
      <c r="D504" s="394">
        <v>0.76</v>
      </c>
      <c r="E504" s="394">
        <v>0.76</v>
      </c>
      <c r="F504" s="394">
        <v>0.7</v>
      </c>
    </row>
    <row r="505" spans="3:6" x14ac:dyDescent="0.25">
      <c r="C505" s="393" t="s">
        <v>1264</v>
      </c>
      <c r="D505" s="394">
        <v>0.83</v>
      </c>
      <c r="E505" s="394">
        <v>0.83</v>
      </c>
      <c r="F505" s="394">
        <v>0.77</v>
      </c>
    </row>
    <row r="506" spans="3:6" x14ac:dyDescent="0.25">
      <c r="C506" s="395"/>
      <c r="D506" s="359">
        <v>1</v>
      </c>
      <c r="E506" s="359">
        <v>1</v>
      </c>
      <c r="F506" s="359">
        <v>1</v>
      </c>
    </row>
  </sheetData>
  <mergeCells count="18">
    <mergeCell ref="E87:E92"/>
    <mergeCell ref="C69:C71"/>
    <mergeCell ref="C72:C74"/>
    <mergeCell ref="C75:C77"/>
    <mergeCell ref="C78:C80"/>
    <mergeCell ref="C4:D4"/>
    <mergeCell ref="C145:F145"/>
    <mergeCell ref="C63:C65"/>
    <mergeCell ref="C66:C68"/>
    <mergeCell ref="C19:F19"/>
    <mergeCell ref="C61:E61"/>
    <mergeCell ref="C139:D139"/>
    <mergeCell ref="D100:D111"/>
    <mergeCell ref="C98:E98"/>
    <mergeCell ref="C116:F116"/>
    <mergeCell ref="C126:F126"/>
    <mergeCell ref="C85:F85"/>
    <mergeCell ref="C87:C9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C2:G28"/>
  <sheetViews>
    <sheetView zoomScaleNormal="100" workbookViewId="0">
      <selection activeCell="C20" sqref="C20"/>
    </sheetView>
  </sheetViews>
  <sheetFormatPr defaultRowHeight="15" x14ac:dyDescent="0.25"/>
  <cols>
    <col min="3" max="3" bestFit="true" customWidth="true" width="89.5703125" collapsed="true"/>
    <col min="4" max="4" customWidth="true" width="59.5703125" collapsed="true"/>
    <col min="5" max="5" customWidth="true" width="14.5703125" collapsed="true"/>
    <col min="6" max="6" customWidth="true" width="13.28515625" collapsed="true"/>
    <col min="7" max="7" bestFit="true" customWidth="true" width="8.28515625" collapsed="true"/>
  </cols>
  <sheetData>
    <row r="2" spans="3:6" s="251" customFormat="1" x14ac:dyDescent="0.25"/>
    <row r="3" spans="3:6" s="251" customFormat="1" ht="15" customHeight="1" x14ac:dyDescent="0.25">
      <c r="C3" s="426" t="s">
        <v>852</v>
      </c>
      <c r="D3" s="426"/>
      <c r="E3" s="426"/>
      <c r="F3" s="426"/>
    </row>
    <row r="4" spans="3:6" s="251" customFormat="1" x14ac:dyDescent="0.25">
      <c r="C4" s="265" t="s">
        <v>14</v>
      </c>
      <c r="D4" s="265" t="s">
        <v>15</v>
      </c>
      <c r="E4" s="265" t="s">
        <v>63</v>
      </c>
      <c r="F4" s="16" t="s">
        <v>850</v>
      </c>
    </row>
    <row r="5" spans="3:6" s="251" customFormat="1" x14ac:dyDescent="0.25">
      <c r="C5" s="265" t="s">
        <v>849</v>
      </c>
      <c r="D5" s="265" t="s">
        <v>848</v>
      </c>
      <c r="E5" s="106" t="s">
        <v>538</v>
      </c>
      <c r="F5" s="265" t="s">
        <v>851</v>
      </c>
    </row>
    <row r="6" spans="3:6" s="251" customFormat="1" x14ac:dyDescent="0.25">
      <c r="C6" s="265" t="s">
        <v>846</v>
      </c>
      <c r="D6" s="265" t="s">
        <v>231</v>
      </c>
      <c r="E6" s="265" t="s">
        <v>23</v>
      </c>
      <c r="F6" s="265"/>
    </row>
    <row r="7" spans="3:6" s="251" customFormat="1" x14ac:dyDescent="0.25">
      <c r="C7" s="323" t="s">
        <v>11</v>
      </c>
      <c r="D7" s="323"/>
      <c r="E7" s="323"/>
      <c r="F7" s="164" t="s">
        <v>60</v>
      </c>
    </row>
    <row r="8" spans="3:6" s="251" customFormat="1" x14ac:dyDescent="0.25">
      <c r="C8" s="459" t="s">
        <v>554</v>
      </c>
      <c r="D8" s="89" t="s">
        <v>232</v>
      </c>
      <c r="E8" s="324"/>
      <c r="F8" s="406">
        <v>52</v>
      </c>
    </row>
    <row r="9" spans="3:6" s="251" customFormat="1" x14ac:dyDescent="0.25">
      <c r="C9" s="460"/>
      <c r="D9" s="90" t="s">
        <v>233</v>
      </c>
      <c r="E9" s="324"/>
      <c r="F9" s="406">
        <v>52</v>
      </c>
    </row>
    <row r="10" spans="3:6" s="251" customFormat="1" x14ac:dyDescent="0.25">
      <c r="C10" s="460"/>
      <c r="D10" s="88">
        <v>4</v>
      </c>
      <c r="E10" s="324"/>
      <c r="F10" s="406">
        <v>52</v>
      </c>
    </row>
    <row r="11" spans="3:6" s="251" customFormat="1" x14ac:dyDescent="0.25">
      <c r="C11" s="461"/>
      <c r="D11" s="88">
        <v>5</v>
      </c>
      <c r="E11" s="324"/>
      <c r="F11" s="406">
        <v>52</v>
      </c>
    </row>
    <row r="12" spans="3:6" x14ac:dyDescent="0.25">
      <c r="C12" s="333" t="s">
        <v>552</v>
      </c>
      <c r="D12" s="333"/>
      <c r="E12" s="333"/>
      <c r="F12" s="341">
        <v>50</v>
      </c>
    </row>
    <row r="13" spans="3:6" s="251" customFormat="1" x14ac:dyDescent="0.25">
      <c r="C13" s="333" t="s">
        <v>847</v>
      </c>
      <c r="D13" s="333"/>
      <c r="E13" s="333"/>
      <c r="F13" s="341">
        <v>75</v>
      </c>
    </row>
    <row r="14" spans="3:6" s="251" customFormat="1" x14ac:dyDescent="0.25">
      <c r="C14" s="460" t="s">
        <v>555</v>
      </c>
      <c r="D14" s="342"/>
      <c r="E14" s="342">
        <v>1000</v>
      </c>
      <c r="F14" s="343">
        <v>50</v>
      </c>
    </row>
    <row r="15" spans="3:6" s="251" customFormat="1" x14ac:dyDescent="0.25">
      <c r="C15" s="460"/>
      <c r="D15" s="324"/>
      <c r="E15" s="324">
        <v>5000</v>
      </c>
      <c r="F15" s="48">
        <v>85</v>
      </c>
    </row>
    <row r="16" spans="3:6" s="251" customFormat="1" x14ac:dyDescent="0.25">
      <c r="C16" s="460"/>
      <c r="D16" s="324"/>
      <c r="E16" s="324">
        <v>10000</v>
      </c>
      <c r="F16" s="48">
        <v>150</v>
      </c>
    </row>
    <row r="17" spans="3:7" s="251" customFormat="1" x14ac:dyDescent="0.25">
      <c r="C17" s="460"/>
      <c r="D17" s="339"/>
      <c r="E17" s="344"/>
      <c r="F17" s="340">
        <v>0</v>
      </c>
      <c r="G17" s="74" t="s">
        <v>537</v>
      </c>
    </row>
    <row r="18" spans="3:7" s="251" customFormat="1" x14ac:dyDescent="0.25">
      <c r="C18" s="325"/>
      <c r="D18" s="325"/>
      <c r="E18" s="325"/>
      <c r="F18" s="108">
        <v>0</v>
      </c>
    </row>
    <row r="19" spans="3:7" s="251" customFormat="1" x14ac:dyDescent="0.25"/>
    <row r="21" spans="3:7" ht="15" customHeight="1" x14ac:dyDescent="0.25">
      <c r="C21" s="420" t="s">
        <v>372</v>
      </c>
      <c r="D21" s="420"/>
      <c r="E21" s="420"/>
    </row>
    <row r="22" spans="3:7" x14ac:dyDescent="0.25">
      <c r="C22" s="17" t="s">
        <v>14</v>
      </c>
      <c r="D22" s="17" t="s">
        <v>15</v>
      </c>
      <c r="E22" s="16" t="s">
        <v>16</v>
      </c>
    </row>
    <row r="23" spans="3:7" x14ac:dyDescent="0.25">
      <c r="C23" s="17" t="s">
        <v>368</v>
      </c>
      <c r="D23" s="17" t="s">
        <v>370</v>
      </c>
      <c r="E23" s="147"/>
    </row>
    <row r="24" spans="3:7" x14ac:dyDescent="0.25">
      <c r="C24" s="17" t="s">
        <v>230</v>
      </c>
      <c r="D24" s="17" t="s">
        <v>371</v>
      </c>
      <c r="E24" s="147"/>
    </row>
    <row r="25" spans="3:7" x14ac:dyDescent="0.25">
      <c r="C25" s="130" t="s">
        <v>369</v>
      </c>
      <c r="D25" s="130" t="s">
        <v>313</v>
      </c>
      <c r="E25" s="12" t="s">
        <v>60</v>
      </c>
    </row>
    <row r="26" spans="3:7" x14ac:dyDescent="0.25">
      <c r="C26" s="457" t="s">
        <v>67</v>
      </c>
      <c r="D26" s="25" t="s">
        <v>373</v>
      </c>
      <c r="E26" s="32">
        <v>39.130000000000003</v>
      </c>
    </row>
    <row r="27" spans="3:7" x14ac:dyDescent="0.25">
      <c r="C27" s="458"/>
      <c r="D27" s="146" t="s">
        <v>316</v>
      </c>
      <c r="E27" s="33">
        <v>56.521739130434788</v>
      </c>
    </row>
    <row r="28" spans="3:7" x14ac:dyDescent="0.25">
      <c r="C28" s="26" t="s">
        <v>68</v>
      </c>
      <c r="D28" s="146"/>
      <c r="E28" s="33">
        <v>0</v>
      </c>
    </row>
  </sheetData>
  <mergeCells count="5">
    <mergeCell ref="C21:E21"/>
    <mergeCell ref="C26:C27"/>
    <mergeCell ref="C8:C11"/>
    <mergeCell ref="C14:C17"/>
    <mergeCell ref="C3:F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C2:S92"/>
  <sheetViews>
    <sheetView topLeftCell="A13" zoomScaleNormal="100" workbookViewId="0">
      <selection activeCell="C21" sqref="C21:D21"/>
    </sheetView>
  </sheetViews>
  <sheetFormatPr defaultColWidth="60.42578125" defaultRowHeight="15" x14ac:dyDescent="0.25"/>
  <cols>
    <col min="1" max="1" customWidth="true" style="50" width="17.140625" collapsed="true"/>
    <col min="2" max="2" customWidth="true" width="19.7109375" collapsed="true"/>
    <col min="3" max="3" bestFit="true" customWidth="true" width="32.5703125" collapsed="true"/>
    <col min="4" max="4" customWidth="true" width="56.0" collapsed="true"/>
    <col min="5" max="5" customWidth="true" width="49.85546875" collapsed="true"/>
    <col min="6" max="6" customWidth="true" width="23.85546875" collapsed="true"/>
    <col min="7" max="7" customWidth="true" width="39.85546875" collapsed="true"/>
    <col min="8" max="8" customWidth="true" width="11.140625" collapsed="true"/>
    <col min="9" max="10" bestFit="true" customWidth="true" width="7.140625" collapsed="true"/>
  </cols>
  <sheetData>
    <row r="2" spans="3:19" x14ac:dyDescent="0.25"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3:19" ht="15.75" x14ac:dyDescent="0.25">
      <c r="C3" s="463" t="s">
        <v>223</v>
      </c>
      <c r="D3" s="463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</row>
    <row r="4" spans="3:19" x14ac:dyDescent="0.25">
      <c r="C4" s="28" t="s">
        <v>4</v>
      </c>
      <c r="D4" s="15" t="s">
        <v>5</v>
      </c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spans="3:19" x14ac:dyDescent="0.25">
      <c r="C5" s="11" t="s">
        <v>102</v>
      </c>
      <c r="D5" s="36" t="s">
        <v>249</v>
      </c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</row>
    <row r="6" spans="3:19" x14ac:dyDescent="0.25">
      <c r="C6" s="29" t="s">
        <v>24</v>
      </c>
      <c r="D6" s="55" t="s">
        <v>104</v>
      </c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</row>
    <row r="7" spans="3:19" x14ac:dyDescent="0.25"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</row>
    <row r="9" spans="3:19" ht="15.75" x14ac:dyDescent="0.25">
      <c r="C9" s="464" t="s">
        <v>185</v>
      </c>
      <c r="D9" s="464"/>
    </row>
    <row r="10" spans="3:19" x14ac:dyDescent="0.25">
      <c r="C10" s="51" t="s">
        <v>105</v>
      </c>
      <c r="D10" s="52" t="s">
        <v>60</v>
      </c>
      <c r="G10" s="162"/>
    </row>
    <row r="11" spans="3:19" x14ac:dyDescent="0.25">
      <c r="C11" s="53" t="s">
        <v>437</v>
      </c>
      <c r="D11" s="183">
        <v>1.1000000000000001</v>
      </c>
      <c r="F11" s="82"/>
      <c r="G11" s="82"/>
    </row>
    <row r="12" spans="3:19" x14ac:dyDescent="0.25">
      <c r="C12" s="54" t="s">
        <v>436</v>
      </c>
      <c r="D12" s="184">
        <v>1</v>
      </c>
      <c r="F12" s="82"/>
      <c r="G12" s="82"/>
    </row>
    <row r="13" spans="3:19" x14ac:dyDescent="0.25">
      <c r="C13" s="50"/>
      <c r="D13" s="31"/>
    </row>
    <row r="14" spans="3:19" x14ac:dyDescent="0.25">
      <c r="E14" s="82"/>
    </row>
    <row r="15" spans="3:19" x14ac:dyDescent="0.25">
      <c r="C15" s="462" t="s">
        <v>311</v>
      </c>
      <c r="D15" s="462"/>
      <c r="E15" s="82"/>
    </row>
    <row r="16" spans="3:19" x14ac:dyDescent="0.25">
      <c r="C16" s="119" t="s">
        <v>309</v>
      </c>
      <c r="D16" s="12" t="s">
        <v>60</v>
      </c>
      <c r="E16" s="82"/>
    </row>
    <row r="17" spans="3:11" x14ac:dyDescent="0.25">
      <c r="C17" s="136">
        <v>1</v>
      </c>
      <c r="D17" s="137">
        <v>1</v>
      </c>
      <c r="E17" s="82"/>
    </row>
    <row r="18" spans="3:11" x14ac:dyDescent="0.25">
      <c r="C18" s="135"/>
      <c r="D18" s="108">
        <v>1</v>
      </c>
      <c r="E18" s="82"/>
      <c r="F18" s="82"/>
      <c r="G18" s="82"/>
      <c r="H18" s="50"/>
      <c r="I18" s="50"/>
      <c r="J18" s="50"/>
      <c r="K18" s="50"/>
    </row>
    <row r="19" spans="3:11" x14ac:dyDescent="0.25">
      <c r="C19" s="50"/>
      <c r="D19" s="50"/>
      <c r="E19" s="50"/>
      <c r="F19" s="50"/>
      <c r="G19" s="50"/>
      <c r="H19" s="50"/>
      <c r="I19" s="50"/>
      <c r="J19" s="50"/>
      <c r="K19" s="50"/>
    </row>
    <row r="20" spans="3:11" x14ac:dyDescent="0.25">
      <c r="C20" s="50"/>
      <c r="D20" s="50"/>
      <c r="E20" s="50"/>
      <c r="F20" s="50"/>
      <c r="G20" s="50"/>
      <c r="H20" s="50"/>
      <c r="I20" s="50"/>
      <c r="J20" s="50"/>
      <c r="K20" s="50"/>
    </row>
    <row r="21" spans="3:11" x14ac:dyDescent="0.25">
      <c r="C21" s="462" t="s">
        <v>825</v>
      </c>
      <c r="D21" s="462"/>
      <c r="E21" s="82"/>
      <c r="F21" s="50"/>
      <c r="G21" s="50"/>
      <c r="H21" s="50"/>
      <c r="I21" s="50"/>
      <c r="J21" s="50"/>
      <c r="K21" s="50"/>
    </row>
    <row r="22" spans="3:11" x14ac:dyDescent="0.25">
      <c r="C22" s="119" t="s">
        <v>59</v>
      </c>
      <c r="D22" s="12" t="s">
        <v>60</v>
      </c>
      <c r="E22" s="50"/>
      <c r="F22" s="50"/>
      <c r="G22" s="50"/>
      <c r="H22" s="50"/>
      <c r="I22" s="50"/>
      <c r="J22" s="50"/>
    </row>
    <row r="23" spans="3:11" x14ac:dyDescent="0.25">
      <c r="C23" s="135"/>
      <c r="D23" s="108">
        <v>1</v>
      </c>
      <c r="E23" s="50"/>
      <c r="F23" s="50"/>
      <c r="G23" s="50"/>
      <c r="H23" s="50"/>
      <c r="I23" s="50"/>
      <c r="J23" s="50"/>
    </row>
    <row r="24" spans="3:11" x14ac:dyDescent="0.25">
      <c r="C24" s="50"/>
      <c r="D24" s="50"/>
      <c r="E24" s="50"/>
      <c r="F24" s="50"/>
      <c r="G24" s="50"/>
      <c r="H24" s="50"/>
      <c r="I24" s="50"/>
      <c r="J24" s="50"/>
      <c r="K24" s="50"/>
    </row>
    <row r="25" spans="3:11" ht="15.75" x14ac:dyDescent="0.3">
      <c r="C25" s="171"/>
      <c r="D25" s="171"/>
      <c r="E25" s="171"/>
    </row>
    <row r="26" spans="3:11" ht="15.75" x14ac:dyDescent="0.25">
      <c r="C26" s="295" t="s">
        <v>457</v>
      </c>
      <c r="D26" s="295"/>
      <c r="E26" s="295"/>
      <c r="F26" s="251"/>
    </row>
    <row r="27" spans="3:11" x14ac:dyDescent="0.25">
      <c r="C27" s="284" t="s">
        <v>109</v>
      </c>
      <c r="D27" s="285" t="s">
        <v>453</v>
      </c>
      <c r="E27" s="285" t="s">
        <v>455</v>
      </c>
      <c r="G27" s="285" t="s">
        <v>682</v>
      </c>
    </row>
    <row r="28" spans="3:11" x14ac:dyDescent="0.25">
      <c r="C28" s="286" t="s">
        <v>441</v>
      </c>
      <c r="D28" s="287">
        <v>0.1</v>
      </c>
      <c r="E28" s="48">
        <v>0</v>
      </c>
      <c r="G28" s="48"/>
    </row>
    <row r="29" spans="3:11" x14ac:dyDescent="0.25">
      <c r="C29" s="286" t="s">
        <v>442</v>
      </c>
      <c r="D29" s="193">
        <v>0</v>
      </c>
      <c r="E29" s="288">
        <v>0.1</v>
      </c>
      <c r="G29" s="193" t="s">
        <v>683</v>
      </c>
    </row>
    <row r="30" spans="3:11" x14ac:dyDescent="0.25">
      <c r="C30" s="286" t="s">
        <v>684</v>
      </c>
      <c r="D30" s="193">
        <v>0</v>
      </c>
      <c r="E30" s="288">
        <v>0.19</v>
      </c>
      <c r="G30" s="193" t="s">
        <v>685</v>
      </c>
    </row>
    <row r="31" spans="3:11" x14ac:dyDescent="0.25">
      <c r="C31" s="286" t="s">
        <v>686</v>
      </c>
      <c r="D31" s="91">
        <v>0</v>
      </c>
      <c r="E31" s="91">
        <v>0</v>
      </c>
      <c r="G31" s="289"/>
    </row>
    <row r="32" spans="3:11" x14ac:dyDescent="0.25">
      <c r="C32" s="286" t="s">
        <v>687</v>
      </c>
      <c r="D32" s="91">
        <v>0</v>
      </c>
      <c r="E32" s="91">
        <v>0</v>
      </c>
      <c r="G32" s="91"/>
    </row>
    <row r="33" spans="3:7" x14ac:dyDescent="0.25">
      <c r="C33" s="286" t="s">
        <v>688</v>
      </c>
      <c r="D33" s="91">
        <v>0</v>
      </c>
      <c r="E33" s="91">
        <v>0</v>
      </c>
      <c r="G33" s="91"/>
    </row>
    <row r="34" spans="3:7" x14ac:dyDescent="0.25">
      <c r="C34" s="291" t="s">
        <v>689</v>
      </c>
      <c r="D34" s="290">
        <v>-0.05</v>
      </c>
      <c r="E34" s="91">
        <v>0</v>
      </c>
      <c r="G34" s="91"/>
    </row>
    <row r="35" spans="3:7" s="162" customFormat="1" x14ac:dyDescent="0.25">
      <c r="C35" s="291" t="s">
        <v>690</v>
      </c>
      <c r="D35" s="91">
        <v>0</v>
      </c>
      <c r="E35" s="91">
        <v>0</v>
      </c>
      <c r="G35" s="292"/>
    </row>
    <row r="36" spans="3:7" x14ac:dyDescent="0.25">
      <c r="C36" s="286" t="s">
        <v>691</v>
      </c>
      <c r="D36" s="91">
        <v>0</v>
      </c>
      <c r="E36" s="91">
        <v>0</v>
      </c>
      <c r="G36" s="289"/>
    </row>
    <row r="37" spans="3:7" x14ac:dyDescent="0.25">
      <c r="C37" s="286" t="s">
        <v>692</v>
      </c>
      <c r="D37" s="91">
        <v>0</v>
      </c>
      <c r="E37" s="91">
        <v>0</v>
      </c>
      <c r="G37" s="289"/>
    </row>
    <row r="38" spans="3:7" x14ac:dyDescent="0.25">
      <c r="C38" s="286" t="s">
        <v>693</v>
      </c>
      <c r="D38" s="91">
        <v>0</v>
      </c>
      <c r="E38" s="91">
        <v>0</v>
      </c>
      <c r="G38" s="289"/>
    </row>
    <row r="39" spans="3:7" x14ac:dyDescent="0.25">
      <c r="C39" s="286" t="s">
        <v>694</v>
      </c>
      <c r="D39" s="91">
        <v>0</v>
      </c>
      <c r="E39" s="91">
        <v>0</v>
      </c>
      <c r="G39" s="289"/>
    </row>
    <row r="40" spans="3:7" x14ac:dyDescent="0.25">
      <c r="C40" s="286" t="s">
        <v>695</v>
      </c>
      <c r="D40" s="91">
        <v>0</v>
      </c>
      <c r="E40" s="91">
        <v>0</v>
      </c>
      <c r="G40" s="289"/>
    </row>
    <row r="41" spans="3:7" x14ac:dyDescent="0.25">
      <c r="C41" s="286" t="s">
        <v>696</v>
      </c>
      <c r="D41" s="91">
        <v>0</v>
      </c>
      <c r="E41" s="91">
        <v>0</v>
      </c>
      <c r="G41" s="289"/>
    </row>
    <row r="42" spans="3:7" x14ac:dyDescent="0.25">
      <c r="C42" s="286" t="s">
        <v>697</v>
      </c>
      <c r="D42" s="91">
        <v>0</v>
      </c>
      <c r="E42" s="91">
        <v>0</v>
      </c>
      <c r="G42" s="289"/>
    </row>
    <row r="43" spans="3:7" x14ac:dyDescent="0.25">
      <c r="C43" s="286" t="s">
        <v>698</v>
      </c>
      <c r="D43" s="91">
        <v>0</v>
      </c>
      <c r="E43" s="91">
        <v>0</v>
      </c>
      <c r="G43" s="289"/>
    </row>
    <row r="44" spans="3:7" x14ac:dyDescent="0.25">
      <c r="C44" s="286" t="s">
        <v>699</v>
      </c>
      <c r="D44" s="91">
        <v>0</v>
      </c>
      <c r="E44" s="91">
        <v>0</v>
      </c>
      <c r="G44" s="289"/>
    </row>
    <row r="45" spans="3:7" x14ac:dyDescent="0.25">
      <c r="C45" s="286" t="s">
        <v>700</v>
      </c>
      <c r="D45" s="91">
        <v>0</v>
      </c>
      <c r="E45" s="91">
        <v>0</v>
      </c>
      <c r="G45" s="289"/>
    </row>
    <row r="46" spans="3:7" x14ac:dyDescent="0.25">
      <c r="C46" s="286" t="s">
        <v>701</v>
      </c>
      <c r="D46" s="91">
        <v>0</v>
      </c>
      <c r="E46" s="91">
        <v>0</v>
      </c>
      <c r="G46" s="289"/>
    </row>
    <row r="47" spans="3:7" x14ac:dyDescent="0.25">
      <c r="C47" s="286" t="s">
        <v>702</v>
      </c>
      <c r="D47" s="91">
        <v>0</v>
      </c>
      <c r="E47" s="91">
        <v>0</v>
      </c>
      <c r="G47" s="289"/>
    </row>
    <row r="48" spans="3:7" x14ac:dyDescent="0.25">
      <c r="C48" s="286" t="s">
        <v>703</v>
      </c>
      <c r="D48" s="91">
        <v>0</v>
      </c>
      <c r="E48" s="91">
        <v>0</v>
      </c>
      <c r="G48" s="289"/>
    </row>
    <row r="49" spans="3:7" x14ac:dyDescent="0.25">
      <c r="C49" s="286" t="s">
        <v>704</v>
      </c>
      <c r="D49" s="91">
        <v>0</v>
      </c>
      <c r="E49" s="91">
        <v>0</v>
      </c>
      <c r="G49" s="289"/>
    </row>
    <row r="50" spans="3:7" x14ac:dyDescent="0.25">
      <c r="C50" s="286" t="s">
        <v>705</v>
      </c>
      <c r="D50" s="91">
        <v>0</v>
      </c>
      <c r="E50" s="91">
        <v>0</v>
      </c>
      <c r="G50" s="289"/>
    </row>
    <row r="51" spans="3:7" x14ac:dyDescent="0.25">
      <c r="C51" s="286" t="s">
        <v>706</v>
      </c>
      <c r="D51" s="91">
        <v>0</v>
      </c>
      <c r="E51" s="91">
        <v>0</v>
      </c>
      <c r="G51" s="289"/>
    </row>
    <row r="52" spans="3:7" x14ac:dyDescent="0.25">
      <c r="C52" s="286" t="s">
        <v>707</v>
      </c>
      <c r="D52" s="91">
        <v>0</v>
      </c>
      <c r="E52" s="91">
        <v>0</v>
      </c>
      <c r="G52" s="289"/>
    </row>
    <row r="53" spans="3:7" x14ac:dyDescent="0.25">
      <c r="C53" s="286" t="s">
        <v>708</v>
      </c>
      <c r="D53" s="91">
        <v>0</v>
      </c>
      <c r="E53" s="91">
        <v>0</v>
      </c>
      <c r="G53" s="289"/>
    </row>
    <row r="54" spans="3:7" x14ac:dyDescent="0.25">
      <c r="C54" s="286" t="s">
        <v>709</v>
      </c>
      <c r="D54" s="91">
        <v>0</v>
      </c>
      <c r="E54" s="91">
        <v>0</v>
      </c>
      <c r="G54" s="289"/>
    </row>
    <row r="55" spans="3:7" x14ac:dyDescent="0.25">
      <c r="C55" s="286" t="s">
        <v>710</v>
      </c>
      <c r="D55" s="91">
        <v>0</v>
      </c>
      <c r="E55" s="91">
        <v>0</v>
      </c>
      <c r="G55" s="289"/>
    </row>
    <row r="56" spans="3:7" x14ac:dyDescent="0.25">
      <c r="C56" s="286" t="s">
        <v>711</v>
      </c>
      <c r="D56" s="91">
        <v>0</v>
      </c>
      <c r="E56" s="91">
        <v>0</v>
      </c>
      <c r="G56" s="289"/>
    </row>
    <row r="57" spans="3:7" x14ac:dyDescent="0.25">
      <c r="C57" s="286" t="s">
        <v>712</v>
      </c>
      <c r="D57" s="91">
        <v>0</v>
      </c>
      <c r="E57" s="91">
        <v>0</v>
      </c>
      <c r="G57" s="289"/>
    </row>
    <row r="58" spans="3:7" x14ac:dyDescent="0.25">
      <c r="C58" s="286" t="s">
        <v>713</v>
      </c>
      <c r="D58" s="91">
        <v>0</v>
      </c>
      <c r="E58" s="91">
        <v>0</v>
      </c>
      <c r="G58" s="289"/>
    </row>
    <row r="59" spans="3:7" x14ac:dyDescent="0.25">
      <c r="C59" s="286" t="s">
        <v>714</v>
      </c>
      <c r="D59" s="91">
        <v>0</v>
      </c>
      <c r="E59" s="91">
        <v>0</v>
      </c>
      <c r="G59" s="289"/>
    </row>
    <row r="60" spans="3:7" x14ac:dyDescent="0.25">
      <c r="C60" s="286" t="s">
        <v>715</v>
      </c>
      <c r="D60" s="91">
        <v>0</v>
      </c>
      <c r="E60" s="91">
        <v>0</v>
      </c>
      <c r="G60" s="289"/>
    </row>
    <row r="61" spans="3:7" x14ac:dyDescent="0.25">
      <c r="C61" s="286" t="s">
        <v>716</v>
      </c>
      <c r="D61" s="91">
        <v>0</v>
      </c>
      <c r="E61" s="91">
        <v>0</v>
      </c>
      <c r="G61" s="289"/>
    </row>
    <row r="62" spans="3:7" x14ac:dyDescent="0.25">
      <c r="C62" s="286" t="s">
        <v>717</v>
      </c>
      <c r="D62" s="91">
        <v>0</v>
      </c>
      <c r="E62" s="91">
        <v>0</v>
      </c>
      <c r="G62" s="289"/>
    </row>
    <row r="63" spans="3:7" x14ac:dyDescent="0.25">
      <c r="C63" s="286" t="s">
        <v>718</v>
      </c>
      <c r="D63" s="91">
        <v>0</v>
      </c>
      <c r="E63" s="91">
        <v>0</v>
      </c>
      <c r="G63" s="289"/>
    </row>
    <row r="64" spans="3:7" x14ac:dyDescent="0.25">
      <c r="C64" s="286" t="s">
        <v>719</v>
      </c>
      <c r="D64" s="91">
        <v>0</v>
      </c>
      <c r="E64" s="91">
        <v>0</v>
      </c>
      <c r="G64" s="289"/>
    </row>
    <row r="65" spans="3:7" x14ac:dyDescent="0.25">
      <c r="C65" s="286" t="s">
        <v>720</v>
      </c>
      <c r="D65" s="91">
        <v>0</v>
      </c>
      <c r="E65" s="91">
        <v>0</v>
      </c>
      <c r="G65" s="289"/>
    </row>
    <row r="66" spans="3:7" x14ac:dyDescent="0.25">
      <c r="C66" s="286" t="s">
        <v>721</v>
      </c>
      <c r="D66" s="91">
        <v>0</v>
      </c>
      <c r="E66" s="91">
        <v>0</v>
      </c>
      <c r="G66" s="289"/>
    </row>
    <row r="67" spans="3:7" x14ac:dyDescent="0.25">
      <c r="C67" s="286" t="s">
        <v>722</v>
      </c>
      <c r="D67" s="91">
        <v>0</v>
      </c>
      <c r="E67" s="91">
        <v>0</v>
      </c>
      <c r="G67" s="289"/>
    </row>
    <row r="68" spans="3:7" x14ac:dyDescent="0.25">
      <c r="C68" s="286" t="s">
        <v>723</v>
      </c>
      <c r="D68" s="91">
        <v>0</v>
      </c>
      <c r="E68" s="91">
        <v>0</v>
      </c>
      <c r="G68" s="289"/>
    </row>
    <row r="69" spans="3:7" x14ac:dyDescent="0.25">
      <c r="C69" s="286" t="s">
        <v>724</v>
      </c>
      <c r="D69" s="91">
        <v>0</v>
      </c>
      <c r="E69" s="91">
        <v>0</v>
      </c>
      <c r="G69" s="289"/>
    </row>
    <row r="70" spans="3:7" x14ac:dyDescent="0.25">
      <c r="C70" s="286" t="s">
        <v>725</v>
      </c>
      <c r="D70" s="91">
        <v>0</v>
      </c>
      <c r="E70" s="91">
        <v>0</v>
      </c>
      <c r="G70" s="289"/>
    </row>
    <row r="71" spans="3:7" x14ac:dyDescent="0.25">
      <c r="C71" s="286" t="s">
        <v>726</v>
      </c>
      <c r="D71" s="91">
        <v>0</v>
      </c>
      <c r="E71" s="91">
        <v>0</v>
      </c>
      <c r="G71" s="289"/>
    </row>
    <row r="72" spans="3:7" x14ac:dyDescent="0.25">
      <c r="C72" s="286" t="s">
        <v>727</v>
      </c>
      <c r="D72" s="91">
        <v>0</v>
      </c>
      <c r="E72" s="91">
        <v>0</v>
      </c>
      <c r="G72" s="289"/>
    </row>
    <row r="73" spans="3:7" x14ac:dyDescent="0.25">
      <c r="C73" s="286" t="s">
        <v>728</v>
      </c>
      <c r="D73" s="91">
        <v>0</v>
      </c>
      <c r="E73" s="91">
        <v>0</v>
      </c>
      <c r="G73" s="289"/>
    </row>
    <row r="74" spans="3:7" x14ac:dyDescent="0.25">
      <c r="C74" s="286" t="s">
        <v>443</v>
      </c>
      <c r="D74" s="91">
        <v>0</v>
      </c>
      <c r="E74" s="91">
        <v>0</v>
      </c>
      <c r="G74" s="289"/>
    </row>
    <row r="75" spans="3:7" x14ac:dyDescent="0.25">
      <c r="C75" s="286" t="s">
        <v>729</v>
      </c>
      <c r="D75" s="91">
        <v>0</v>
      </c>
      <c r="E75" s="91">
        <v>0</v>
      </c>
      <c r="G75" s="289"/>
    </row>
    <row r="76" spans="3:7" x14ac:dyDescent="0.25">
      <c r="C76" s="286" t="s">
        <v>730</v>
      </c>
      <c r="D76" s="91">
        <v>0</v>
      </c>
      <c r="E76" s="91">
        <v>0</v>
      </c>
      <c r="G76" s="289"/>
    </row>
    <row r="77" spans="3:7" x14ac:dyDescent="0.25">
      <c r="C77" s="286" t="s">
        <v>731</v>
      </c>
      <c r="D77" s="91">
        <v>0</v>
      </c>
      <c r="E77" s="91">
        <v>0</v>
      </c>
      <c r="G77" s="289"/>
    </row>
    <row r="78" spans="3:7" x14ac:dyDescent="0.25">
      <c r="C78" s="286" t="s">
        <v>732</v>
      </c>
      <c r="D78" s="91">
        <v>0</v>
      </c>
      <c r="E78" s="91">
        <v>0</v>
      </c>
      <c r="G78" s="289"/>
    </row>
    <row r="79" spans="3:7" x14ac:dyDescent="0.25">
      <c r="C79" s="286" t="s">
        <v>733</v>
      </c>
      <c r="D79" s="91">
        <v>0</v>
      </c>
      <c r="E79" s="91">
        <v>0</v>
      </c>
      <c r="G79" s="289"/>
    </row>
    <row r="80" spans="3:7" x14ac:dyDescent="0.25">
      <c r="C80" s="286" t="s">
        <v>734</v>
      </c>
      <c r="D80" s="91">
        <v>0</v>
      </c>
      <c r="E80" s="91">
        <v>0</v>
      </c>
      <c r="G80" s="289"/>
    </row>
    <row r="81" spans="3:7" x14ac:dyDescent="0.25">
      <c r="C81" s="286" t="s">
        <v>735</v>
      </c>
      <c r="D81" s="91">
        <v>0</v>
      </c>
      <c r="E81" s="91">
        <v>0</v>
      </c>
      <c r="G81" s="289"/>
    </row>
    <row r="82" spans="3:7" x14ac:dyDescent="0.25">
      <c r="C82" s="286" t="s">
        <v>736</v>
      </c>
      <c r="D82" s="91">
        <v>0</v>
      </c>
      <c r="E82" s="91">
        <v>0</v>
      </c>
      <c r="G82" s="289"/>
    </row>
    <row r="83" spans="3:7" x14ac:dyDescent="0.25">
      <c r="C83" s="286" t="s">
        <v>737</v>
      </c>
      <c r="D83" s="91">
        <v>0</v>
      </c>
      <c r="E83" s="91">
        <v>0</v>
      </c>
      <c r="G83" s="289"/>
    </row>
    <row r="84" spans="3:7" x14ac:dyDescent="0.25">
      <c r="C84" s="286" t="s">
        <v>738</v>
      </c>
      <c r="D84" s="91">
        <v>0</v>
      </c>
      <c r="E84" s="91">
        <v>0</v>
      </c>
      <c r="G84" s="289"/>
    </row>
    <row r="85" spans="3:7" x14ac:dyDescent="0.25">
      <c r="C85" s="286" t="s">
        <v>739</v>
      </c>
      <c r="D85" s="91">
        <v>0</v>
      </c>
      <c r="E85" s="91">
        <v>0</v>
      </c>
      <c r="G85" s="289"/>
    </row>
    <row r="86" spans="3:7" x14ac:dyDescent="0.25">
      <c r="C86" s="286" t="s">
        <v>740</v>
      </c>
      <c r="D86" s="91">
        <v>0</v>
      </c>
      <c r="E86" s="91">
        <v>0</v>
      </c>
      <c r="G86" s="289"/>
    </row>
    <row r="87" spans="3:7" x14ac:dyDescent="0.25">
      <c r="C87" s="286" t="s">
        <v>741</v>
      </c>
      <c r="D87" s="91">
        <v>0</v>
      </c>
      <c r="E87" s="91">
        <v>0</v>
      </c>
      <c r="G87" s="289"/>
    </row>
    <row r="88" spans="3:7" x14ac:dyDescent="0.25">
      <c r="C88" s="286" t="s">
        <v>742</v>
      </c>
      <c r="D88" s="91">
        <v>0</v>
      </c>
      <c r="E88" s="91">
        <v>0</v>
      </c>
      <c r="G88" s="289"/>
    </row>
    <row r="89" spans="3:7" x14ac:dyDescent="0.25">
      <c r="C89" s="286" t="s">
        <v>743</v>
      </c>
      <c r="D89" s="91">
        <v>0</v>
      </c>
      <c r="E89" s="91">
        <v>0</v>
      </c>
      <c r="G89" s="289"/>
    </row>
    <row r="90" spans="3:7" x14ac:dyDescent="0.25">
      <c r="C90" s="294"/>
      <c r="D90" s="268">
        <v>0</v>
      </c>
      <c r="E90" s="268">
        <v>0</v>
      </c>
      <c r="G90" s="293"/>
    </row>
    <row r="91" spans="3:7" x14ac:dyDescent="0.25">
      <c r="C91" s="251"/>
      <c r="D91" s="251"/>
      <c r="E91" s="251"/>
      <c r="F91" s="251"/>
    </row>
    <row r="92" spans="3:7" ht="30" x14ac:dyDescent="0.25">
      <c r="C92" s="251"/>
      <c r="D92" s="182" t="s">
        <v>456</v>
      </c>
      <c r="E92" s="182" t="s">
        <v>804</v>
      </c>
      <c r="F92" s="251"/>
    </row>
  </sheetData>
  <mergeCells count="4">
    <mergeCell ref="C15:D15"/>
    <mergeCell ref="C21:D21"/>
    <mergeCell ref="C3:D3"/>
    <mergeCell ref="C9:D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opLeftCell="A7" workbookViewId="0">
      <selection activeCell="E12" sqref="E12"/>
    </sheetView>
  </sheetViews>
  <sheetFormatPr defaultRowHeight="15" x14ac:dyDescent="0.25"/>
  <cols>
    <col min="3" max="3" customWidth="true" width="50.0" collapsed="true"/>
    <col min="4" max="4" customWidth="true" width="48.5703125" collapsed="true"/>
    <col min="5" max="5" customWidth="true" width="38.0" collapsed="true"/>
    <col min="6" max="6" customWidth="true" width="22.5703125" collapsed="true"/>
  </cols>
  <sheetData>
    <row r="1" spans="1:6" x14ac:dyDescent="0.25">
      <c r="A1" s="162"/>
      <c r="B1" s="162"/>
      <c r="C1" s="162"/>
      <c r="D1" s="162"/>
    </row>
    <row r="2" spans="1:6" x14ac:dyDescent="0.25">
      <c r="A2" s="162"/>
      <c r="B2" s="162"/>
      <c r="C2" s="162"/>
      <c r="D2" s="162"/>
    </row>
    <row r="4" spans="1:6" ht="15" customHeight="1" x14ac:dyDescent="0.25">
      <c r="C4" s="420" t="s">
        <v>433</v>
      </c>
      <c r="D4" s="420"/>
      <c r="E4" s="420"/>
      <c r="F4" s="162"/>
    </row>
    <row r="5" spans="1:6" x14ac:dyDescent="0.25">
      <c r="C5" s="17" t="s">
        <v>14</v>
      </c>
      <c r="D5" s="16" t="s">
        <v>15</v>
      </c>
      <c r="E5" s="16" t="s">
        <v>16</v>
      </c>
      <c r="F5" s="162"/>
    </row>
    <row r="6" spans="1:6" x14ac:dyDescent="0.25">
      <c r="C6" s="17" t="s">
        <v>434</v>
      </c>
      <c r="D6" s="17" t="s">
        <v>541</v>
      </c>
      <c r="E6" s="17"/>
      <c r="F6" s="162"/>
    </row>
    <row r="7" spans="1:6" x14ac:dyDescent="0.25">
      <c r="C7" s="17" t="s">
        <v>230</v>
      </c>
      <c r="D7" s="17" t="s">
        <v>542</v>
      </c>
      <c r="E7" s="17"/>
    </row>
    <row r="8" spans="1:6" x14ac:dyDescent="0.25">
      <c r="C8" s="180" t="s">
        <v>430</v>
      </c>
      <c r="D8" s="180" t="s">
        <v>431</v>
      </c>
      <c r="E8" s="164" t="s">
        <v>60</v>
      </c>
    </row>
    <row r="9" spans="1:6" x14ac:dyDescent="0.25">
      <c r="C9" s="457" t="s">
        <v>67</v>
      </c>
      <c r="D9" s="215">
        <v>2000</v>
      </c>
      <c r="E9" s="194">
        <v>50</v>
      </c>
    </row>
    <row r="10" spans="1:6" x14ac:dyDescent="0.25">
      <c r="C10" s="457"/>
      <c r="D10" s="215">
        <v>5000</v>
      </c>
      <c r="E10" s="194">
        <v>60</v>
      </c>
    </row>
    <row r="11" spans="1:6" x14ac:dyDescent="0.25">
      <c r="C11" s="458"/>
      <c r="D11" s="322" t="s">
        <v>828</v>
      </c>
      <c r="E11" s="195" t="s">
        <v>1281</v>
      </c>
    </row>
    <row r="12" spans="1:6" x14ac:dyDescent="0.25">
      <c r="C12" s="34"/>
      <c r="D12" s="34"/>
      <c r="E12" s="49">
        <v>0</v>
      </c>
    </row>
    <row r="14" spans="1:6" x14ac:dyDescent="0.25">
      <c r="C14" s="162"/>
    </row>
  </sheetData>
  <mergeCells count="2">
    <mergeCell ref="C4:E4"/>
    <mergeCell ref="C9:C1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4"/>
  <sheetViews>
    <sheetView workbookViewId="0">
      <selection activeCell="A2" sqref="A2"/>
    </sheetView>
  </sheetViews>
  <sheetFormatPr defaultRowHeight="15" x14ac:dyDescent="0.25"/>
  <cols>
    <col min="3" max="3" bestFit="true" customWidth="true" width="42.7109375" collapsed="true"/>
    <col min="4" max="4" customWidth="true" width="120.28515625" collapsed="true"/>
    <col min="5" max="5" customWidth="true" width="67.5703125" collapsed="true"/>
    <col min="6" max="6" customWidth="true" width="76.42578125" collapsed="true"/>
  </cols>
  <sheetData>
    <row r="2" spans="1:6" x14ac:dyDescent="0.25">
      <c r="C2" s="154"/>
      <c r="D2" s="154"/>
    </row>
    <row r="3" spans="1:6" x14ac:dyDescent="0.25">
      <c r="C3" s="154"/>
      <c r="D3" s="154"/>
      <c r="E3" s="3"/>
      <c r="F3" s="3"/>
    </row>
    <row r="4" spans="1:6" ht="15.75" x14ac:dyDescent="0.25">
      <c r="C4" s="470" t="s">
        <v>499</v>
      </c>
      <c r="D4" s="470"/>
      <c r="E4" s="3"/>
      <c r="F4" s="3"/>
    </row>
    <row r="5" spans="1:6" s="162" customFormat="1" x14ac:dyDescent="0.25">
      <c r="C5" s="229" t="s">
        <v>4</v>
      </c>
      <c r="D5" s="230" t="s">
        <v>5</v>
      </c>
      <c r="E5" s="3"/>
      <c r="F5" s="3"/>
    </row>
    <row r="6" spans="1:6" s="162" customFormat="1" x14ac:dyDescent="0.25">
      <c r="C6" s="231" t="s">
        <v>266</v>
      </c>
      <c r="D6" s="233" t="s">
        <v>498</v>
      </c>
      <c r="E6" s="3"/>
      <c r="F6" s="3"/>
    </row>
    <row r="7" spans="1:6" x14ac:dyDescent="0.25">
      <c r="C7" s="231" t="s">
        <v>274</v>
      </c>
      <c r="D7" s="233" t="s">
        <v>500</v>
      </c>
      <c r="E7" s="3"/>
      <c r="F7" s="3"/>
    </row>
    <row r="8" spans="1:6" x14ac:dyDescent="0.25">
      <c r="C8" s="231" t="s">
        <v>273</v>
      </c>
      <c r="D8" s="233" t="s">
        <v>587</v>
      </c>
      <c r="E8" s="3"/>
      <c r="F8" s="3"/>
    </row>
    <row r="9" spans="1:6" x14ac:dyDescent="0.25">
      <c r="C9" s="231" t="s">
        <v>275</v>
      </c>
      <c r="D9" s="233" t="s">
        <v>497</v>
      </c>
      <c r="E9" s="3"/>
      <c r="F9" s="3"/>
    </row>
    <row r="10" spans="1:6" x14ac:dyDescent="0.25">
      <c r="C10" s="231" t="s">
        <v>276</v>
      </c>
      <c r="D10" s="233" t="s">
        <v>588</v>
      </c>
      <c r="E10" s="3"/>
      <c r="F10" s="3"/>
    </row>
    <row r="11" spans="1:6" x14ac:dyDescent="0.25">
      <c r="C11" s="234" t="s">
        <v>378</v>
      </c>
      <c r="D11" s="236" t="s">
        <v>501</v>
      </c>
      <c r="E11" s="3"/>
      <c r="F11" s="3"/>
    </row>
    <row r="12" spans="1:6" x14ac:dyDescent="0.25">
      <c r="C12" s="227"/>
      <c r="D12" s="227"/>
      <c r="E12" s="3"/>
      <c r="F12" s="3"/>
    </row>
    <row r="13" spans="1:6" x14ac:dyDescent="0.25">
      <c r="C13" s="228"/>
      <c r="D13" s="232"/>
      <c r="E13" s="3"/>
      <c r="F13" s="3"/>
    </row>
    <row r="14" spans="1:6" ht="15.75" x14ac:dyDescent="0.25">
      <c r="C14" s="470" t="s">
        <v>589</v>
      </c>
      <c r="D14" s="470"/>
      <c r="E14" s="3"/>
      <c r="F14" s="3"/>
    </row>
    <row r="15" spans="1:6" x14ac:dyDescent="0.25">
      <c r="C15" s="229" t="s">
        <v>4</v>
      </c>
      <c r="D15" s="230" t="s">
        <v>5</v>
      </c>
      <c r="E15" s="3"/>
      <c r="F15" s="3"/>
    </row>
    <row r="16" spans="1:6" x14ac:dyDescent="0.25">
      <c r="A16" s="74"/>
      <c r="C16" s="231" t="s">
        <v>267</v>
      </c>
      <c r="D16" s="233" t="s">
        <v>590</v>
      </c>
      <c r="E16" s="3"/>
      <c r="F16" s="3"/>
    </row>
    <row r="17" spans="3:6" x14ac:dyDescent="0.25">
      <c r="C17" s="231" t="s">
        <v>268</v>
      </c>
      <c r="D17" s="233" t="s">
        <v>591</v>
      </c>
      <c r="E17" s="3"/>
      <c r="F17" s="3"/>
    </row>
    <row r="18" spans="3:6" s="216" customFormat="1" x14ac:dyDescent="0.25">
      <c r="C18" s="231" t="s">
        <v>269</v>
      </c>
      <c r="D18" s="235" t="s">
        <v>592</v>
      </c>
      <c r="E18" s="198"/>
      <c r="F18" s="198"/>
    </row>
    <row r="19" spans="3:6" s="216" customFormat="1" x14ac:dyDescent="0.25">
      <c r="C19" s="231" t="s">
        <v>270</v>
      </c>
      <c r="D19" s="235" t="s">
        <v>593</v>
      </c>
      <c r="E19" s="198"/>
      <c r="F19" s="198"/>
    </row>
    <row r="20" spans="3:6" s="216" customFormat="1" x14ac:dyDescent="0.25">
      <c r="C20" s="231" t="s">
        <v>271</v>
      </c>
      <c r="D20" s="235" t="s">
        <v>594</v>
      </c>
      <c r="E20" s="198"/>
      <c r="F20" s="198"/>
    </row>
    <row r="21" spans="3:6" s="216" customFormat="1" x14ac:dyDescent="0.25">
      <c r="C21" s="231" t="s">
        <v>272</v>
      </c>
      <c r="D21" s="235" t="s">
        <v>595</v>
      </c>
      <c r="E21" s="198"/>
      <c r="F21" s="198"/>
    </row>
    <row r="22" spans="3:6" s="216" customFormat="1" x14ac:dyDescent="0.25">
      <c r="C22" s="237" t="s">
        <v>24</v>
      </c>
      <c r="D22" s="238" t="s">
        <v>596</v>
      </c>
      <c r="E22" s="198"/>
      <c r="F22" s="198"/>
    </row>
    <row r="23" spans="3:6" s="216" customFormat="1" x14ac:dyDescent="0.25">
      <c r="C23" s="198"/>
      <c r="D23" s="154"/>
      <c r="E23" s="198"/>
      <c r="F23" s="198"/>
    </row>
    <row r="24" spans="3:6" x14ac:dyDescent="0.25">
      <c r="C24" s="3"/>
      <c r="D24" s="3"/>
      <c r="E24" s="3"/>
      <c r="F24" s="3"/>
    </row>
    <row r="25" spans="3:6" x14ac:dyDescent="0.25">
      <c r="C25" s="462" t="s">
        <v>840</v>
      </c>
      <c r="D25" s="462"/>
      <c r="E25" s="462"/>
      <c r="F25" s="462"/>
    </row>
    <row r="26" spans="3:6" x14ac:dyDescent="0.25">
      <c r="C26" s="148" t="s">
        <v>841</v>
      </c>
      <c r="D26" s="148" t="s">
        <v>842</v>
      </c>
      <c r="E26" s="148" t="s">
        <v>843</v>
      </c>
      <c r="F26" s="12" t="s">
        <v>60</v>
      </c>
    </row>
    <row r="27" spans="3:6" x14ac:dyDescent="0.25">
      <c r="C27" s="466">
        <v>0</v>
      </c>
      <c r="D27" s="329">
        <v>0</v>
      </c>
      <c r="E27" s="330"/>
      <c r="F27" s="331" t="s">
        <v>839</v>
      </c>
    </row>
    <row r="28" spans="3:6" x14ac:dyDescent="0.25">
      <c r="C28" s="467"/>
      <c r="D28" s="332"/>
      <c r="E28" s="333"/>
      <c r="F28" s="334" t="s">
        <v>399</v>
      </c>
    </row>
    <row r="29" spans="3:6" x14ac:dyDescent="0.25">
      <c r="C29" s="460"/>
      <c r="D29" s="468"/>
      <c r="E29" s="335" t="s">
        <v>838</v>
      </c>
      <c r="F29" s="336" t="s">
        <v>400</v>
      </c>
    </row>
    <row r="30" spans="3:6" ht="27" x14ac:dyDescent="0.25">
      <c r="C30" s="465"/>
      <c r="D30" s="469"/>
      <c r="E30" s="337"/>
      <c r="F30" s="338" t="s">
        <v>509</v>
      </c>
    </row>
    <row r="33" spans="3:8" x14ac:dyDescent="0.25">
      <c r="C33" s="420" t="s">
        <v>277</v>
      </c>
      <c r="D33" s="420"/>
      <c r="E33" s="420"/>
      <c r="F33" s="420"/>
      <c r="G33" s="420"/>
      <c r="H33" s="420"/>
    </row>
    <row r="34" spans="3:8" x14ac:dyDescent="0.25">
      <c r="C34" s="35" t="s">
        <v>278</v>
      </c>
      <c r="D34" s="35" t="s">
        <v>279</v>
      </c>
      <c r="E34" s="12" t="s">
        <v>280</v>
      </c>
      <c r="F34" s="12" t="s">
        <v>281</v>
      </c>
      <c r="G34" s="12" t="s">
        <v>282</v>
      </c>
      <c r="H34" s="12" t="s">
        <v>283</v>
      </c>
    </row>
    <row r="35" spans="3:8" x14ac:dyDescent="0.25">
      <c r="C35" s="110" t="s">
        <v>284</v>
      </c>
      <c r="D35" s="471" t="s">
        <v>285</v>
      </c>
      <c r="E35" s="111">
        <v>-99999</v>
      </c>
      <c r="F35" s="111">
        <v>-750</v>
      </c>
      <c r="G35" s="112">
        <v>-99999</v>
      </c>
      <c r="H35" s="112">
        <v>-750</v>
      </c>
    </row>
    <row r="36" spans="3:8" x14ac:dyDescent="0.25">
      <c r="C36" s="113" t="s">
        <v>286</v>
      </c>
      <c r="D36" s="472"/>
      <c r="E36" s="111">
        <v>-750</v>
      </c>
      <c r="F36" s="111">
        <v>-500</v>
      </c>
      <c r="G36" s="112">
        <v>-750</v>
      </c>
      <c r="H36" s="112">
        <v>-500</v>
      </c>
    </row>
    <row r="37" spans="3:8" x14ac:dyDescent="0.25">
      <c r="C37" s="113" t="s">
        <v>287</v>
      </c>
      <c r="D37" s="472"/>
      <c r="E37" s="111">
        <v>-500</v>
      </c>
      <c r="F37" s="111">
        <v>-200</v>
      </c>
      <c r="G37" s="112">
        <v>-500</v>
      </c>
      <c r="H37" s="112">
        <v>-200</v>
      </c>
    </row>
    <row r="38" spans="3:8" x14ac:dyDescent="0.25">
      <c r="C38" s="113" t="s">
        <v>288</v>
      </c>
      <c r="D38" s="472"/>
      <c r="E38" s="111">
        <v>-200</v>
      </c>
      <c r="F38" s="111">
        <v>-31</v>
      </c>
      <c r="G38" s="112">
        <v>-200</v>
      </c>
      <c r="H38" s="112">
        <v>-31</v>
      </c>
    </row>
    <row r="39" spans="3:8" x14ac:dyDescent="0.25">
      <c r="C39" s="113" t="s">
        <v>289</v>
      </c>
      <c r="D39" s="472"/>
      <c r="E39" s="111">
        <v>-31</v>
      </c>
      <c r="F39" s="111">
        <v>-10</v>
      </c>
      <c r="G39" s="112">
        <v>0</v>
      </c>
      <c r="H39" s="112">
        <v>0</v>
      </c>
    </row>
    <row r="40" spans="3:8" x14ac:dyDescent="0.25">
      <c r="C40" s="113" t="s">
        <v>290</v>
      </c>
      <c r="D40" s="472"/>
      <c r="E40" s="111">
        <v>-10</v>
      </c>
      <c r="F40" s="111">
        <v>25</v>
      </c>
      <c r="G40" s="112">
        <v>30</v>
      </c>
      <c r="H40" s="112">
        <v>30</v>
      </c>
    </row>
    <row r="41" spans="3:8" x14ac:dyDescent="0.25">
      <c r="C41" s="113" t="s">
        <v>291</v>
      </c>
      <c r="D41" s="472"/>
      <c r="E41" s="111">
        <v>25</v>
      </c>
      <c r="F41" s="111">
        <v>200</v>
      </c>
      <c r="G41" s="112">
        <v>30</v>
      </c>
      <c r="H41" s="112">
        <v>200</v>
      </c>
    </row>
    <row r="42" spans="3:8" x14ac:dyDescent="0.25">
      <c r="C42" s="113" t="s">
        <v>292</v>
      </c>
      <c r="D42" s="472"/>
      <c r="E42" s="111">
        <v>200</v>
      </c>
      <c r="F42" s="111">
        <v>500</v>
      </c>
      <c r="G42" s="112">
        <v>200</v>
      </c>
      <c r="H42" s="112">
        <v>500</v>
      </c>
    </row>
    <row r="43" spans="3:8" x14ac:dyDescent="0.25">
      <c r="C43" s="113" t="s">
        <v>293</v>
      </c>
      <c r="D43" s="472"/>
      <c r="E43" s="111">
        <v>500</v>
      </c>
      <c r="F43" s="111">
        <v>750</v>
      </c>
      <c r="G43" s="112">
        <v>500</v>
      </c>
      <c r="H43" s="112">
        <v>750</v>
      </c>
    </row>
    <row r="44" spans="3:8" x14ac:dyDescent="0.25">
      <c r="C44" s="113" t="s">
        <v>294</v>
      </c>
      <c r="D44" s="472"/>
      <c r="E44" s="111">
        <v>750</v>
      </c>
      <c r="F44" s="111">
        <v>99999</v>
      </c>
      <c r="G44" s="112">
        <v>750</v>
      </c>
      <c r="H44" s="112">
        <v>99999</v>
      </c>
    </row>
    <row r="45" spans="3:8" x14ac:dyDescent="0.25">
      <c r="C45" s="110" t="s">
        <v>284</v>
      </c>
      <c r="D45" s="471" t="s">
        <v>295</v>
      </c>
      <c r="E45" s="111">
        <v>-99999</v>
      </c>
      <c r="F45" s="111">
        <v>-750</v>
      </c>
      <c r="G45" s="112">
        <v>-5000</v>
      </c>
      <c r="H45" s="112">
        <v>-325</v>
      </c>
    </row>
    <row r="46" spans="3:8" x14ac:dyDescent="0.25">
      <c r="C46" s="113" t="s">
        <v>286</v>
      </c>
      <c r="D46" s="472"/>
      <c r="E46" s="111">
        <v>-750</v>
      </c>
      <c r="F46" s="111">
        <v>-500</v>
      </c>
      <c r="G46" s="112">
        <v>-325</v>
      </c>
      <c r="H46" s="112">
        <v>-250</v>
      </c>
    </row>
    <row r="47" spans="3:8" x14ac:dyDescent="0.25">
      <c r="C47" s="113" t="s">
        <v>287</v>
      </c>
      <c r="D47" s="472"/>
      <c r="E47" s="111">
        <v>-500</v>
      </c>
      <c r="F47" s="111">
        <v>-200</v>
      </c>
      <c r="G47" s="112">
        <v>-250</v>
      </c>
      <c r="H47" s="112">
        <v>-100</v>
      </c>
    </row>
    <row r="48" spans="3:8" x14ac:dyDescent="0.25">
      <c r="C48" s="113" t="s">
        <v>288</v>
      </c>
      <c r="D48" s="472"/>
      <c r="E48" s="111">
        <v>-200</v>
      </c>
      <c r="F48" s="111">
        <v>-31</v>
      </c>
      <c r="G48" s="112">
        <v>-100</v>
      </c>
      <c r="H48" s="112">
        <v>-25</v>
      </c>
    </row>
    <row r="49" spans="3:8" x14ac:dyDescent="0.25">
      <c r="C49" s="113" t="s">
        <v>289</v>
      </c>
      <c r="D49" s="472"/>
      <c r="E49" s="111">
        <v>-31</v>
      </c>
      <c r="F49" s="111">
        <v>-10</v>
      </c>
      <c r="G49" s="112">
        <v>0</v>
      </c>
      <c r="H49" s="112">
        <v>0</v>
      </c>
    </row>
    <row r="50" spans="3:8" x14ac:dyDescent="0.25">
      <c r="C50" s="113" t="s">
        <v>290</v>
      </c>
      <c r="D50" s="472"/>
      <c r="E50" s="111">
        <v>-10</v>
      </c>
      <c r="F50" s="111">
        <v>25</v>
      </c>
      <c r="G50" s="112">
        <v>30</v>
      </c>
      <c r="H50" s="112">
        <v>30</v>
      </c>
    </row>
    <row r="51" spans="3:8" x14ac:dyDescent="0.25">
      <c r="C51" s="113" t="s">
        <v>291</v>
      </c>
      <c r="D51" s="472"/>
      <c r="E51" s="111">
        <v>25</v>
      </c>
      <c r="F51" s="111">
        <v>200</v>
      </c>
      <c r="G51" s="112">
        <v>30</v>
      </c>
      <c r="H51" s="112">
        <v>100</v>
      </c>
    </row>
    <row r="52" spans="3:8" x14ac:dyDescent="0.25">
      <c r="C52" s="113" t="s">
        <v>292</v>
      </c>
      <c r="D52" s="472"/>
      <c r="E52" s="111">
        <v>200</v>
      </c>
      <c r="F52" s="111">
        <v>500</v>
      </c>
      <c r="G52" s="112">
        <v>100</v>
      </c>
      <c r="H52" s="112">
        <v>250</v>
      </c>
    </row>
    <row r="53" spans="3:8" x14ac:dyDescent="0.25">
      <c r="C53" s="113" t="s">
        <v>293</v>
      </c>
      <c r="D53" s="472"/>
      <c r="E53" s="111">
        <v>500</v>
      </c>
      <c r="F53" s="111">
        <v>750</v>
      </c>
      <c r="G53" s="112">
        <v>250</v>
      </c>
      <c r="H53" s="112">
        <v>325</v>
      </c>
    </row>
    <row r="54" spans="3:8" x14ac:dyDescent="0.25">
      <c r="C54" s="113" t="s">
        <v>294</v>
      </c>
      <c r="D54" s="472"/>
      <c r="E54" s="111">
        <v>750</v>
      </c>
      <c r="F54" s="111">
        <v>99999</v>
      </c>
      <c r="G54" s="112">
        <v>325</v>
      </c>
      <c r="H54" s="112">
        <v>5000</v>
      </c>
    </row>
    <row r="55" spans="3:8" x14ac:dyDescent="0.25">
      <c r="C55" s="110" t="s">
        <v>284</v>
      </c>
      <c r="D55" s="471" t="s">
        <v>296</v>
      </c>
      <c r="E55" s="111">
        <v>-99999</v>
      </c>
      <c r="F55" s="111">
        <v>-750</v>
      </c>
      <c r="G55" s="112">
        <v>-5000</v>
      </c>
      <c r="H55" s="112">
        <v>-300</v>
      </c>
    </row>
    <row r="56" spans="3:8" x14ac:dyDescent="0.25">
      <c r="C56" s="113" t="s">
        <v>286</v>
      </c>
      <c r="D56" s="472"/>
      <c r="E56" s="111">
        <v>-750</v>
      </c>
      <c r="F56" s="111">
        <v>-500</v>
      </c>
      <c r="G56" s="112">
        <v>-300</v>
      </c>
      <c r="H56" s="112">
        <v>-225</v>
      </c>
    </row>
    <row r="57" spans="3:8" x14ac:dyDescent="0.25">
      <c r="C57" s="113" t="s">
        <v>287</v>
      </c>
      <c r="D57" s="472"/>
      <c r="E57" s="111">
        <v>-500</v>
      </c>
      <c r="F57" s="111">
        <v>-200</v>
      </c>
      <c r="G57" s="112">
        <v>-225</v>
      </c>
      <c r="H57" s="112">
        <v>-100</v>
      </c>
    </row>
    <row r="58" spans="3:8" x14ac:dyDescent="0.25">
      <c r="C58" s="113" t="s">
        <v>288</v>
      </c>
      <c r="D58" s="472"/>
      <c r="E58" s="111">
        <v>-200</v>
      </c>
      <c r="F58" s="111">
        <v>-31</v>
      </c>
      <c r="G58" s="112">
        <v>-100</v>
      </c>
      <c r="H58" s="112">
        <v>-10</v>
      </c>
    </row>
    <row r="59" spans="3:8" x14ac:dyDescent="0.25">
      <c r="C59" s="113" t="s">
        <v>289</v>
      </c>
      <c r="D59" s="472"/>
      <c r="E59" s="111">
        <v>-31</v>
      </c>
      <c r="F59" s="111">
        <v>-10</v>
      </c>
      <c r="G59" s="112">
        <v>0</v>
      </c>
      <c r="H59" s="112">
        <v>0</v>
      </c>
    </row>
    <row r="60" spans="3:8" x14ac:dyDescent="0.25">
      <c r="C60" s="113" t="s">
        <v>290</v>
      </c>
      <c r="D60" s="472"/>
      <c r="E60" s="111">
        <v>-10</v>
      </c>
      <c r="F60" s="111">
        <v>25</v>
      </c>
      <c r="G60" s="112">
        <v>30</v>
      </c>
      <c r="H60" s="112">
        <v>30</v>
      </c>
    </row>
    <row r="61" spans="3:8" x14ac:dyDescent="0.25">
      <c r="C61" s="113" t="s">
        <v>291</v>
      </c>
      <c r="D61" s="472"/>
      <c r="E61" s="111">
        <v>25</v>
      </c>
      <c r="F61" s="111">
        <v>200</v>
      </c>
      <c r="G61" s="112">
        <v>30</v>
      </c>
      <c r="H61" s="112">
        <v>100</v>
      </c>
    </row>
    <row r="62" spans="3:8" x14ac:dyDescent="0.25">
      <c r="C62" s="113" t="s">
        <v>292</v>
      </c>
      <c r="D62" s="472"/>
      <c r="E62" s="111">
        <v>200</v>
      </c>
      <c r="F62" s="111">
        <v>500</v>
      </c>
      <c r="G62" s="112">
        <v>100</v>
      </c>
      <c r="H62" s="112">
        <v>250</v>
      </c>
    </row>
    <row r="63" spans="3:8" x14ac:dyDescent="0.25">
      <c r="C63" s="113" t="s">
        <v>293</v>
      </c>
      <c r="D63" s="472"/>
      <c r="E63" s="111">
        <v>500</v>
      </c>
      <c r="F63" s="111">
        <v>750</v>
      </c>
      <c r="G63" s="112">
        <v>250</v>
      </c>
      <c r="H63" s="112">
        <v>325</v>
      </c>
    </row>
    <row r="64" spans="3:8" x14ac:dyDescent="0.25">
      <c r="C64" s="113" t="s">
        <v>294</v>
      </c>
      <c r="D64" s="472"/>
      <c r="E64" s="111">
        <v>750</v>
      </c>
      <c r="F64" s="111">
        <v>99999</v>
      </c>
      <c r="G64" s="112">
        <v>325</v>
      </c>
      <c r="H64" s="112">
        <v>5000</v>
      </c>
    </row>
    <row r="65" spans="3:8" x14ac:dyDescent="0.25">
      <c r="C65" s="110" t="s">
        <v>284</v>
      </c>
      <c r="D65" s="471" t="s">
        <v>297</v>
      </c>
      <c r="E65" s="111">
        <v>-99999</v>
      </c>
      <c r="F65" s="111">
        <v>-750</v>
      </c>
      <c r="G65" s="112">
        <v>0</v>
      </c>
      <c r="H65" s="112">
        <v>0</v>
      </c>
    </row>
    <row r="66" spans="3:8" x14ac:dyDescent="0.25">
      <c r="C66" s="113" t="s">
        <v>286</v>
      </c>
      <c r="D66" s="472"/>
      <c r="E66" s="111">
        <v>-750</v>
      </c>
      <c r="F66" s="111">
        <v>-500</v>
      </c>
      <c r="G66" s="112">
        <v>0</v>
      </c>
      <c r="H66" s="112">
        <v>0</v>
      </c>
    </row>
    <row r="67" spans="3:8" x14ac:dyDescent="0.25">
      <c r="C67" s="113" t="s">
        <v>287</v>
      </c>
      <c r="D67" s="472"/>
      <c r="E67" s="111">
        <v>-500</v>
      </c>
      <c r="F67" s="111">
        <v>-200</v>
      </c>
      <c r="G67" s="112">
        <v>0</v>
      </c>
      <c r="H67" s="112">
        <v>0</v>
      </c>
    </row>
    <row r="68" spans="3:8" x14ac:dyDescent="0.25">
      <c r="C68" s="113" t="s">
        <v>288</v>
      </c>
      <c r="D68" s="472"/>
      <c r="E68" s="111">
        <v>-200</v>
      </c>
      <c r="F68" s="111">
        <v>-31</v>
      </c>
      <c r="G68" s="112">
        <v>0</v>
      </c>
      <c r="H68" s="112">
        <v>0</v>
      </c>
    </row>
    <row r="69" spans="3:8" x14ac:dyDescent="0.25">
      <c r="C69" s="113" t="s">
        <v>289</v>
      </c>
      <c r="D69" s="472"/>
      <c r="E69" s="111">
        <v>-31</v>
      </c>
      <c r="F69" s="111">
        <v>-10</v>
      </c>
      <c r="G69" s="112">
        <v>0</v>
      </c>
      <c r="H69" s="112">
        <v>0</v>
      </c>
    </row>
    <row r="70" spans="3:8" x14ac:dyDescent="0.25">
      <c r="C70" s="113" t="s">
        <v>290</v>
      </c>
      <c r="D70" s="472"/>
      <c r="E70" s="111">
        <v>-10</v>
      </c>
      <c r="F70" s="111">
        <v>25</v>
      </c>
      <c r="G70" s="112">
        <v>25</v>
      </c>
      <c r="H70" s="112">
        <v>25</v>
      </c>
    </row>
    <row r="71" spans="3:8" x14ac:dyDescent="0.25">
      <c r="C71" s="113" t="s">
        <v>291</v>
      </c>
      <c r="D71" s="472"/>
      <c r="E71" s="111">
        <v>25</v>
      </c>
      <c r="F71" s="111">
        <v>200</v>
      </c>
      <c r="G71" s="112">
        <v>25</v>
      </c>
      <c r="H71" s="112">
        <v>35</v>
      </c>
    </row>
    <row r="72" spans="3:8" x14ac:dyDescent="0.25">
      <c r="C72" s="113" t="s">
        <v>292</v>
      </c>
      <c r="D72" s="472"/>
      <c r="E72" s="111">
        <v>200</v>
      </c>
      <c r="F72" s="111">
        <v>500</v>
      </c>
      <c r="G72" s="112">
        <v>35</v>
      </c>
      <c r="H72" s="112">
        <v>50</v>
      </c>
    </row>
    <row r="73" spans="3:8" x14ac:dyDescent="0.25">
      <c r="C73" s="113" t="s">
        <v>293</v>
      </c>
      <c r="D73" s="472"/>
      <c r="E73" s="111">
        <v>500</v>
      </c>
      <c r="F73" s="111">
        <v>750</v>
      </c>
      <c r="G73" s="112">
        <v>50</v>
      </c>
      <c r="H73" s="112">
        <v>100</v>
      </c>
    </row>
    <row r="74" spans="3:8" x14ac:dyDescent="0.25">
      <c r="C74" s="113" t="s">
        <v>294</v>
      </c>
      <c r="D74" s="472"/>
      <c r="E74" s="111">
        <v>750</v>
      </c>
      <c r="F74" s="111">
        <v>99999</v>
      </c>
      <c r="G74" s="112">
        <v>100</v>
      </c>
      <c r="H74" s="112">
        <v>5000</v>
      </c>
    </row>
    <row r="75" spans="3:8" x14ac:dyDescent="0.25">
      <c r="C75" s="110" t="s">
        <v>284</v>
      </c>
      <c r="D75" s="471" t="s">
        <v>298</v>
      </c>
      <c r="E75" s="111">
        <v>-99999</v>
      </c>
      <c r="F75" s="111">
        <v>-750</v>
      </c>
      <c r="G75" s="112">
        <v>0</v>
      </c>
      <c r="H75" s="112">
        <v>0</v>
      </c>
    </row>
    <row r="76" spans="3:8" x14ac:dyDescent="0.25">
      <c r="C76" s="113" t="s">
        <v>286</v>
      </c>
      <c r="D76" s="472"/>
      <c r="E76" s="111">
        <v>-750</v>
      </c>
      <c r="F76" s="111">
        <v>-500</v>
      </c>
      <c r="G76" s="112">
        <v>0</v>
      </c>
      <c r="H76" s="112">
        <v>0</v>
      </c>
    </row>
    <row r="77" spans="3:8" x14ac:dyDescent="0.25">
      <c r="C77" s="113" t="s">
        <v>287</v>
      </c>
      <c r="D77" s="472"/>
      <c r="E77" s="111">
        <v>-500</v>
      </c>
      <c r="F77" s="111">
        <v>-200</v>
      </c>
      <c r="G77" s="112">
        <v>0</v>
      </c>
      <c r="H77" s="112">
        <v>0</v>
      </c>
    </row>
    <row r="78" spans="3:8" x14ac:dyDescent="0.25">
      <c r="C78" s="113" t="s">
        <v>288</v>
      </c>
      <c r="D78" s="472"/>
      <c r="E78" s="111">
        <v>-200</v>
      </c>
      <c r="F78" s="111">
        <v>-31</v>
      </c>
      <c r="G78" s="112">
        <v>0</v>
      </c>
      <c r="H78" s="112">
        <v>0</v>
      </c>
    </row>
    <row r="79" spans="3:8" x14ac:dyDescent="0.25">
      <c r="C79" s="113" t="s">
        <v>289</v>
      </c>
      <c r="D79" s="472"/>
      <c r="E79" s="111">
        <v>-31</v>
      </c>
      <c r="F79" s="111">
        <v>-10</v>
      </c>
      <c r="G79" s="112">
        <v>0</v>
      </c>
      <c r="H79" s="112">
        <v>0</v>
      </c>
    </row>
    <row r="80" spans="3:8" x14ac:dyDescent="0.25">
      <c r="C80" s="113" t="s">
        <v>290</v>
      </c>
      <c r="D80" s="472"/>
      <c r="E80" s="111">
        <v>-10</v>
      </c>
      <c r="F80" s="111">
        <v>25</v>
      </c>
      <c r="G80" s="112">
        <v>25</v>
      </c>
      <c r="H80" s="112">
        <v>25</v>
      </c>
    </row>
    <row r="81" spans="3:8" x14ac:dyDescent="0.25">
      <c r="C81" s="113" t="s">
        <v>291</v>
      </c>
      <c r="D81" s="472"/>
      <c r="E81" s="111">
        <v>25</v>
      </c>
      <c r="F81" s="111">
        <v>200</v>
      </c>
      <c r="G81" s="112">
        <v>25</v>
      </c>
      <c r="H81" s="112">
        <v>25</v>
      </c>
    </row>
    <row r="82" spans="3:8" x14ac:dyDescent="0.25">
      <c r="C82" s="113" t="s">
        <v>292</v>
      </c>
      <c r="D82" s="472"/>
      <c r="E82" s="111">
        <v>200</v>
      </c>
      <c r="F82" s="111">
        <v>500</v>
      </c>
      <c r="G82" s="112">
        <v>25</v>
      </c>
      <c r="H82" s="112">
        <v>50</v>
      </c>
    </row>
    <row r="83" spans="3:8" x14ac:dyDescent="0.25">
      <c r="C83" s="113" t="s">
        <v>293</v>
      </c>
      <c r="D83" s="472"/>
      <c r="E83" s="111">
        <v>500</v>
      </c>
      <c r="F83" s="111">
        <v>750</v>
      </c>
      <c r="G83" s="112">
        <v>50</v>
      </c>
      <c r="H83" s="112">
        <v>100</v>
      </c>
    </row>
    <row r="84" spans="3:8" x14ac:dyDescent="0.25">
      <c r="C84" s="114" t="s">
        <v>294</v>
      </c>
      <c r="D84" s="473"/>
      <c r="E84" s="115">
        <v>750</v>
      </c>
      <c r="F84" s="115">
        <v>99999</v>
      </c>
      <c r="G84" s="116">
        <v>100</v>
      </c>
      <c r="H84" s="116">
        <v>5000</v>
      </c>
    </row>
  </sheetData>
  <mergeCells count="12">
    <mergeCell ref="D55:D64"/>
    <mergeCell ref="D65:D74"/>
    <mergeCell ref="D75:D84"/>
    <mergeCell ref="C33:H33"/>
    <mergeCell ref="D35:D44"/>
    <mergeCell ref="D45:D54"/>
    <mergeCell ref="C29:C30"/>
    <mergeCell ref="C27:C28"/>
    <mergeCell ref="D29:D30"/>
    <mergeCell ref="C25:F25"/>
    <mergeCell ref="C4:D4"/>
    <mergeCell ref="C14:D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tabSelected="1" zoomScale="85" zoomScaleNormal="85" workbookViewId="0">
      <selection activeCell="H23" sqref="H23"/>
    </sheetView>
  </sheetViews>
  <sheetFormatPr defaultRowHeight="15" x14ac:dyDescent="0.25"/>
  <cols>
    <col min="1" max="1" style="251" width="9.140625" collapsed="false"/>
    <col min="3" max="3" customWidth="true" width="26.28515625" collapsed="false"/>
    <col min="4" max="4" customWidth="true" width="15.5703125" collapsed="false"/>
    <col min="5" max="5" customWidth="true" width="20.5703125" collapsed="false"/>
    <col min="6" max="6" customWidth="true" width="18.85546875" collapsed="false"/>
    <col min="7" max="7" customWidth="true" width="19.7109375" collapsed="false"/>
    <col min="8" max="8" customWidth="true" width="40.140625" collapsed="false"/>
    <col min="9" max="9" customWidth="true" width="38.140625" collapsed="false"/>
  </cols>
  <sheetData>
    <row r="3" spans="2:9" x14ac:dyDescent="0.25">
      <c r="B3" s="251"/>
      <c r="C3" s="251"/>
      <c r="D3" s="251"/>
      <c r="E3" s="251"/>
      <c r="F3" s="252"/>
      <c r="G3" s="252"/>
      <c r="H3" s="251"/>
      <c r="I3" s="251"/>
    </row>
    <row r="4" spans="2:9" x14ac:dyDescent="0.25">
      <c r="B4" s="251"/>
      <c r="C4" s="415" t="s">
        <v>900</v>
      </c>
      <c r="D4" s="415"/>
      <c r="E4" s="415"/>
      <c r="F4" s="416"/>
      <c r="G4" s="416"/>
      <c r="H4" s="416"/>
      <c r="I4" s="416"/>
    </row>
    <row r="5" spans="2:9" x14ac:dyDescent="0.25">
      <c r="B5" s="251"/>
      <c r="C5" s="272" t="s">
        <v>14</v>
      </c>
      <c r="D5" s="272" t="s">
        <v>15</v>
      </c>
      <c r="E5" s="272" t="s">
        <v>63</v>
      </c>
      <c r="F5" s="248" t="s">
        <v>614</v>
      </c>
      <c r="G5" s="248" t="s">
        <v>615</v>
      </c>
      <c r="H5" s="248" t="s">
        <v>19</v>
      </c>
      <c r="I5" s="248" t="s">
        <v>16</v>
      </c>
    </row>
    <row r="6" spans="2:9" x14ac:dyDescent="0.25">
      <c r="B6" s="251"/>
      <c r="C6" s="248" t="s">
        <v>616</v>
      </c>
      <c r="D6" s="261" t="s">
        <v>370</v>
      </c>
      <c r="E6" s="261" t="s">
        <v>617</v>
      </c>
      <c r="F6" s="248" t="s">
        <v>64</v>
      </c>
      <c r="G6" s="248" t="s">
        <v>835</v>
      </c>
      <c r="H6" s="248" t="s">
        <v>618</v>
      </c>
      <c r="I6" s="248"/>
    </row>
    <row r="7" spans="2:9" x14ac:dyDescent="0.25">
      <c r="B7" s="251"/>
      <c r="C7" s="248" t="s">
        <v>256</v>
      </c>
      <c r="D7" s="248" t="s">
        <v>371</v>
      </c>
      <c r="E7" s="248" t="s">
        <v>256</v>
      </c>
      <c r="F7" s="248" t="s">
        <v>65</v>
      </c>
      <c r="G7" s="248" t="s">
        <v>230</v>
      </c>
      <c r="H7" s="248" t="s">
        <v>619</v>
      </c>
      <c r="I7" s="248"/>
    </row>
    <row r="8" spans="2:9" x14ac:dyDescent="0.25">
      <c r="B8" s="251"/>
      <c r="C8" s="273" t="s">
        <v>384</v>
      </c>
      <c r="D8" s="273" t="s">
        <v>543</v>
      </c>
      <c r="E8" s="273" t="s">
        <v>620</v>
      </c>
      <c r="F8" s="273" t="s">
        <v>61</v>
      </c>
      <c r="G8" s="273"/>
      <c r="H8" s="262">
        <v>43466</v>
      </c>
      <c r="I8" s="259"/>
    </row>
    <row r="9" spans="2:9" ht="27" x14ac:dyDescent="0.25">
      <c r="B9" s="251"/>
      <c r="C9" s="417" t="s">
        <v>621</v>
      </c>
      <c r="D9" s="365" t="s">
        <v>622</v>
      </c>
      <c r="E9" s="365" t="s">
        <v>623</v>
      </c>
      <c r="F9" s="365"/>
      <c r="G9" s="368"/>
      <c r="H9" s="369" t="s">
        <v>901</v>
      </c>
      <c r="I9" s="369" t="s">
        <v>901</v>
      </c>
    </row>
    <row r="10" spans="2:9" x14ac:dyDescent="0.25">
      <c r="B10" s="251"/>
      <c r="C10" s="417"/>
      <c r="D10" s="352"/>
      <c r="E10" s="352"/>
      <c r="F10" s="352" t="s">
        <v>401</v>
      </c>
      <c r="G10" s="314"/>
      <c r="H10" s="271">
        <v>0</v>
      </c>
      <c r="I10" s="271">
        <v>0</v>
      </c>
    </row>
    <row r="11" spans="2:9" x14ac:dyDescent="0.25">
      <c r="B11" s="251"/>
      <c r="C11" s="417"/>
      <c r="D11" s="352"/>
      <c r="E11" s="352"/>
      <c r="F11" s="314"/>
      <c r="G11" s="314" t="s">
        <v>67</v>
      </c>
      <c r="H11" s="274">
        <v>16.899999999999999</v>
      </c>
      <c r="I11" s="274">
        <v>16.899999999999999</v>
      </c>
    </row>
    <row r="12" spans="2:9" x14ac:dyDescent="0.25">
      <c r="B12" s="251"/>
      <c r="C12" s="418"/>
      <c r="D12" s="365"/>
      <c r="E12" s="365"/>
      <c r="F12" s="366"/>
      <c r="G12" s="366"/>
      <c r="H12" s="367">
        <v>8.4499999999999993</v>
      </c>
      <c r="I12" s="367">
        <v>8.4499999999999993</v>
      </c>
    </row>
    <row r="13" spans="2:9" x14ac:dyDescent="0.25">
      <c r="B13" s="251"/>
      <c r="C13" s="313" t="s">
        <v>133</v>
      </c>
      <c r="D13" s="313"/>
      <c r="E13" s="313"/>
      <c r="F13" s="315"/>
      <c r="G13" s="315"/>
      <c r="H13" s="260">
        <v>0.15</v>
      </c>
      <c r="I13" s="260">
        <v>0.15</v>
      </c>
    </row>
    <row r="14" spans="2:9" x14ac:dyDescent="0.25">
      <c r="B14" s="251"/>
      <c r="C14" s="251"/>
      <c r="D14" s="251"/>
      <c r="E14" s="251"/>
      <c r="F14" s="252"/>
      <c r="G14" s="252"/>
      <c r="H14" s="251"/>
      <c r="I14" s="251"/>
    </row>
    <row r="15" spans="2:9" x14ac:dyDescent="0.25">
      <c r="B15" s="251"/>
      <c r="C15" s="251"/>
      <c r="D15" s="251"/>
      <c r="E15" s="251"/>
      <c r="F15" s="252"/>
      <c r="G15" s="252"/>
      <c r="H15" s="251"/>
      <c r="I15" s="251"/>
    </row>
    <row r="16" spans="2:9" x14ac:dyDescent="0.25">
      <c r="B16" s="251"/>
      <c r="C16" s="251"/>
      <c r="D16" s="251"/>
      <c r="E16" s="251"/>
      <c r="F16" s="252"/>
      <c r="G16" s="252"/>
      <c r="H16" s="251"/>
      <c r="I16" s="251"/>
    </row>
    <row r="17" spans="2:9" x14ac:dyDescent="0.25">
      <c r="B17" s="249"/>
      <c r="C17" s="419" t="s">
        <v>624</v>
      </c>
      <c r="D17" s="419"/>
      <c r="E17" s="249"/>
      <c r="F17" s="252"/>
      <c r="G17" s="252"/>
      <c r="H17" s="249"/>
      <c r="I17" s="249"/>
    </row>
    <row r="18" spans="2:9" x14ac:dyDescent="0.25">
      <c r="B18" s="249"/>
      <c r="C18" s="263" t="s">
        <v>14</v>
      </c>
      <c r="D18" s="264" t="s">
        <v>16</v>
      </c>
      <c r="E18" s="249"/>
      <c r="F18" s="252"/>
      <c r="G18" s="252"/>
      <c r="H18" s="249"/>
      <c r="I18" s="249"/>
    </row>
    <row r="19" spans="2:9" x14ac:dyDescent="0.25">
      <c r="B19" s="249"/>
      <c r="C19" s="265" t="s">
        <v>625</v>
      </c>
      <c r="D19" s="266"/>
      <c r="E19" s="249"/>
      <c r="F19" s="252"/>
      <c r="G19" s="252"/>
      <c r="H19" s="249"/>
      <c r="I19" s="249"/>
    </row>
    <row r="20" spans="2:9" x14ac:dyDescent="0.25">
      <c r="B20" s="249"/>
      <c r="C20" s="265" t="s">
        <v>626</v>
      </c>
      <c r="D20" s="266"/>
      <c r="E20" s="249"/>
      <c r="F20" s="252"/>
      <c r="G20" s="252"/>
      <c r="H20" s="249"/>
      <c r="I20" s="249"/>
    </row>
    <row r="21" spans="2:9" x14ac:dyDescent="0.25">
      <c r="B21" s="249"/>
      <c r="C21" s="267" t="s">
        <v>627</v>
      </c>
      <c r="D21" s="275" t="s">
        <v>628</v>
      </c>
      <c r="E21" s="249"/>
      <c r="F21" s="252"/>
      <c r="G21" s="252"/>
      <c r="H21" s="249"/>
      <c r="I21" s="249"/>
    </row>
    <row r="22" spans="2:9" x14ac:dyDescent="0.25">
      <c r="B22" s="249"/>
      <c r="C22" s="316">
        <v>43282</v>
      </c>
      <c r="D22" s="91">
        <v>10.6</v>
      </c>
      <c r="E22" s="249"/>
      <c r="F22" s="252"/>
      <c r="G22" s="252"/>
      <c r="H22" s="249"/>
      <c r="I22" s="249"/>
    </row>
    <row r="23" spans="2:9" x14ac:dyDescent="0.25">
      <c r="B23" s="249"/>
      <c r="C23" s="317">
        <v>1</v>
      </c>
      <c r="D23" s="268">
        <v>7.6</v>
      </c>
      <c r="E23" s="249"/>
      <c r="F23" s="252"/>
      <c r="G23" s="252"/>
      <c r="H23" s="249"/>
      <c r="I23" s="249"/>
    </row>
    <row r="24" spans="2:9" x14ac:dyDescent="0.25">
      <c r="B24" s="249"/>
      <c r="C24" s="249"/>
      <c r="D24" s="249"/>
      <c r="E24" s="249"/>
      <c r="F24" s="252"/>
      <c r="G24" s="252"/>
      <c r="H24" s="249"/>
      <c r="I24" s="249"/>
    </row>
    <row r="25" spans="2:9" x14ac:dyDescent="0.25">
      <c r="B25" s="249"/>
      <c r="C25" s="249"/>
      <c r="D25" s="249"/>
      <c r="E25" s="249"/>
      <c r="F25" s="252"/>
      <c r="G25" s="252"/>
      <c r="H25" s="249"/>
      <c r="I25" s="249"/>
    </row>
  </sheetData>
  <mergeCells count="3">
    <mergeCell ref="C4:I4"/>
    <mergeCell ref="C9:C12"/>
    <mergeCell ref="C17:D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C1:G47"/>
  <sheetViews>
    <sheetView zoomScaleNormal="100" workbookViewId="0">
      <selection activeCell="C24" sqref="C24:D24"/>
    </sheetView>
  </sheetViews>
  <sheetFormatPr defaultRowHeight="13.5" customHeight="1" x14ac:dyDescent="0.25"/>
  <cols>
    <col min="1" max="1" style="82" width="9.140625" collapsed="true"/>
    <col min="3" max="3" customWidth="true" width="34.28515625" collapsed="true"/>
    <col min="4" max="4" customWidth="true" width="84.7109375" collapsed="true"/>
    <col min="5" max="5" customWidth="true" width="17.5703125" collapsed="false"/>
  </cols>
  <sheetData>
    <row r="1" spans="3:6" s="82" customFormat="1" ht="13.5" customHeight="1" x14ac:dyDescent="0.25"/>
    <row r="3" spans="3:6" ht="13.5" customHeight="1" x14ac:dyDescent="0.25">
      <c r="C3" s="427" t="s">
        <v>330</v>
      </c>
      <c r="D3" s="427"/>
    </row>
    <row r="4" spans="3:6" ht="13.5" customHeight="1" x14ac:dyDescent="0.25">
      <c r="C4" s="51" t="s">
        <v>299</v>
      </c>
      <c r="D4" s="52" t="s">
        <v>335</v>
      </c>
    </row>
    <row r="5" spans="3:6" ht="13.5" customHeight="1" x14ac:dyDescent="0.25">
      <c r="C5" s="117" t="s">
        <v>300</v>
      </c>
      <c r="D5" s="131">
        <v>0.1</v>
      </c>
      <c r="F5" s="74" t="s">
        <v>756</v>
      </c>
    </row>
    <row r="6" spans="3:6" ht="13.5" customHeight="1" x14ac:dyDescent="0.25">
      <c r="C6" s="117" t="s">
        <v>301</v>
      </c>
      <c r="D6" s="131">
        <v>0.05</v>
      </c>
      <c r="F6" s="74" t="s">
        <v>757</v>
      </c>
    </row>
    <row r="7" spans="3:6" ht="13.5" customHeight="1" x14ac:dyDescent="0.25">
      <c r="C7" s="118"/>
      <c r="D7" s="132">
        <v>0</v>
      </c>
    </row>
    <row r="8" spans="3:6" ht="13.5" customHeight="1" x14ac:dyDescent="0.25">
      <c r="C8" s="82"/>
      <c r="D8" s="82"/>
    </row>
    <row r="9" spans="3:6" ht="13.5" customHeight="1" x14ac:dyDescent="0.25">
      <c r="C9" s="82"/>
      <c r="D9" s="82"/>
    </row>
    <row r="10" spans="3:6" ht="13.5" customHeight="1" x14ac:dyDescent="0.25">
      <c r="C10" s="427" t="s">
        <v>332</v>
      </c>
      <c r="D10" s="427"/>
    </row>
    <row r="11" spans="3:6" ht="13.5" customHeight="1" x14ac:dyDescent="0.25">
      <c r="C11" s="51" t="s">
        <v>299</v>
      </c>
      <c r="D11" s="52" t="s">
        <v>336</v>
      </c>
    </row>
    <row r="12" spans="3:6" ht="13.5" customHeight="1" x14ac:dyDescent="0.25">
      <c r="C12" s="117" t="s">
        <v>331</v>
      </c>
      <c r="D12" s="133">
        <v>25</v>
      </c>
    </row>
    <row r="13" spans="3:6" ht="13.5" customHeight="1" x14ac:dyDescent="0.25">
      <c r="C13" s="118"/>
      <c r="D13" s="134">
        <v>0</v>
      </c>
    </row>
    <row r="16" spans="3:6" ht="13.5" customHeight="1" x14ac:dyDescent="0.25">
      <c r="C16" s="427" t="s">
        <v>408</v>
      </c>
      <c r="D16" s="427"/>
      <c r="E16" s="427"/>
    </row>
    <row r="17" spans="3:7" ht="13.5" customHeight="1" x14ac:dyDescent="0.25">
      <c r="C17" s="51" t="s">
        <v>313</v>
      </c>
      <c r="D17" s="51" t="s">
        <v>302</v>
      </c>
      <c r="E17" s="52" t="s">
        <v>60</v>
      </c>
    </row>
    <row r="18" spans="3:7" ht="13.5" customHeight="1" x14ac:dyDescent="0.25">
      <c r="C18" s="475" t="s">
        <v>407</v>
      </c>
      <c r="D18" s="122">
        <v>1</v>
      </c>
      <c r="E18" s="48">
        <v>1</v>
      </c>
    </row>
    <row r="19" spans="3:7" ht="13.5" customHeight="1" x14ac:dyDescent="0.25">
      <c r="C19" s="475"/>
      <c r="D19" s="122">
        <v>2</v>
      </c>
      <c r="E19" s="48">
        <v>0.9</v>
      </c>
    </row>
    <row r="20" spans="3:7" ht="13.5" customHeight="1" x14ac:dyDescent="0.25">
      <c r="C20" s="475"/>
      <c r="D20" s="122" t="s">
        <v>303</v>
      </c>
      <c r="E20" s="137">
        <v>0.8</v>
      </c>
    </row>
    <row r="21" spans="3:7" ht="13.5" customHeight="1" x14ac:dyDescent="0.25">
      <c r="C21" s="118"/>
      <c r="D21" s="118"/>
      <c r="E21" s="108">
        <v>1</v>
      </c>
      <c r="G21" s="74" t="s">
        <v>488</v>
      </c>
    </row>
    <row r="24" spans="3:7" ht="13.5" customHeight="1" x14ac:dyDescent="0.25">
      <c r="C24" s="476" t="s">
        <v>782</v>
      </c>
      <c r="D24" s="476"/>
    </row>
    <row r="25" spans="3:7" ht="13.5" customHeight="1" x14ac:dyDescent="0.25">
      <c r="C25" s="28" t="s">
        <v>4</v>
      </c>
      <c r="D25" s="230" t="s">
        <v>5</v>
      </c>
    </row>
    <row r="26" spans="3:7" ht="13.5" customHeight="1" x14ac:dyDescent="0.25">
      <c r="C26" s="11" t="s">
        <v>601</v>
      </c>
      <c r="D26" s="256" t="s">
        <v>853</v>
      </c>
      <c r="F26" s="74"/>
    </row>
    <row r="27" spans="3:7" ht="13.5" customHeight="1" x14ac:dyDescent="0.25">
      <c r="C27" s="11" t="s">
        <v>602</v>
      </c>
      <c r="D27" s="256" t="s">
        <v>854</v>
      </c>
    </row>
    <row r="28" spans="3:7" ht="13.5" customHeight="1" x14ac:dyDescent="0.25">
      <c r="C28" s="243" t="s">
        <v>603</v>
      </c>
      <c r="D28" s="256" t="s">
        <v>855</v>
      </c>
      <c r="F28" s="250"/>
    </row>
    <row r="29" spans="3:7" ht="13.5" customHeight="1" x14ac:dyDescent="0.25">
      <c r="C29" s="243" t="s">
        <v>604</v>
      </c>
      <c r="D29" s="256" t="s">
        <v>856</v>
      </c>
      <c r="F29" s="74"/>
    </row>
    <row r="30" spans="3:7" ht="13.5" customHeight="1" x14ac:dyDescent="0.25">
      <c r="C30" s="243" t="s">
        <v>609</v>
      </c>
      <c r="D30" s="256" t="s">
        <v>857</v>
      </c>
    </row>
    <row r="31" spans="3:7" ht="13.5" customHeight="1" x14ac:dyDescent="0.25">
      <c r="C31" s="11" t="s">
        <v>611</v>
      </c>
      <c r="D31" s="256" t="s">
        <v>759</v>
      </c>
    </row>
    <row r="32" spans="3:7" ht="13.5" customHeight="1" x14ac:dyDescent="0.25">
      <c r="C32" s="11" t="s">
        <v>605</v>
      </c>
      <c r="D32" s="256" t="s">
        <v>760</v>
      </c>
    </row>
    <row r="33" spans="3:6" ht="13.5" customHeight="1" x14ac:dyDescent="0.25">
      <c r="C33" s="11" t="s">
        <v>606</v>
      </c>
      <c r="D33" s="256" t="s">
        <v>783</v>
      </c>
    </row>
    <row r="34" spans="3:6" ht="13.5" customHeight="1" x14ac:dyDescent="0.25">
      <c r="C34" s="11" t="s">
        <v>607</v>
      </c>
      <c r="D34" s="256" t="s">
        <v>761</v>
      </c>
    </row>
    <row r="35" spans="3:6" ht="13.5" customHeight="1" x14ac:dyDescent="0.25">
      <c r="C35" s="11" t="s">
        <v>610</v>
      </c>
      <c r="D35" s="256" t="s">
        <v>762</v>
      </c>
    </row>
    <row r="36" spans="3:6" ht="13.5" customHeight="1" x14ac:dyDescent="0.25">
      <c r="C36" s="282" t="s">
        <v>24</v>
      </c>
      <c r="D36" s="283" t="s">
        <v>681</v>
      </c>
    </row>
    <row r="39" spans="3:6" ht="13.5" customHeight="1" x14ac:dyDescent="0.25">
      <c r="C39" s="251"/>
    </row>
    <row r="40" spans="3:6" ht="13.5" customHeight="1" x14ac:dyDescent="0.25">
      <c r="C40" s="251"/>
      <c r="E40" s="251"/>
    </row>
    <row r="41" spans="3:6" ht="13.5" customHeight="1" x14ac:dyDescent="0.25">
      <c r="C41" s="474" t="s">
        <v>784</v>
      </c>
      <c r="D41" s="474"/>
      <c r="E41" s="251"/>
    </row>
    <row r="42" spans="3:6" ht="13.5" customHeight="1" x14ac:dyDescent="0.25">
      <c r="C42" s="305" t="s">
        <v>785</v>
      </c>
      <c r="D42" s="285" t="s">
        <v>682</v>
      </c>
      <c r="E42" s="251"/>
    </row>
    <row r="43" spans="3:6" ht="13.5" customHeight="1" x14ac:dyDescent="0.25">
      <c r="C43" s="243" t="s">
        <v>300</v>
      </c>
      <c r="D43" s="183" t="s">
        <v>756</v>
      </c>
      <c r="E43" s="251"/>
    </row>
    <row r="44" spans="3:6" ht="13.5" customHeight="1" x14ac:dyDescent="0.25">
      <c r="C44" s="11" t="s">
        <v>301</v>
      </c>
      <c r="D44" s="183" t="s">
        <v>757</v>
      </c>
      <c r="E44" s="251"/>
    </row>
    <row r="45" spans="3:6" ht="13.5" customHeight="1" x14ac:dyDescent="0.25">
      <c r="C45" s="11" t="s">
        <v>331</v>
      </c>
      <c r="D45" s="184" t="s">
        <v>787</v>
      </c>
      <c r="E45" s="251"/>
    </row>
    <row r="46" spans="3:6" ht="13.5" customHeight="1" x14ac:dyDescent="0.25">
      <c r="C46" s="118"/>
      <c r="D46" s="108" t="s">
        <v>135</v>
      </c>
      <c r="E46" s="251"/>
      <c r="F46" s="74" t="s">
        <v>763</v>
      </c>
    </row>
    <row r="47" spans="3:6" ht="13.5" customHeight="1" x14ac:dyDescent="0.25">
      <c r="C47" s="251"/>
      <c r="E47" s="251"/>
    </row>
  </sheetData>
  <mergeCells count="6">
    <mergeCell ref="C41:D41"/>
    <mergeCell ref="C3:D3"/>
    <mergeCell ref="C10:D10"/>
    <mergeCell ref="C18:C20"/>
    <mergeCell ref="C16:E16"/>
    <mergeCell ref="C24:D2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F58"/>
  <sheetViews>
    <sheetView topLeftCell="A25" zoomScaleNormal="100" workbookViewId="0">
      <selection activeCell="H59" sqref="H59"/>
    </sheetView>
  </sheetViews>
  <sheetFormatPr defaultRowHeight="15" x14ac:dyDescent="0.25"/>
  <cols>
    <col min="1" max="1" customWidth="true" width="27.140625" collapsed="true"/>
    <col min="2" max="2" customWidth="true" width="16.5703125" collapsed="true"/>
    <col min="3" max="3" customWidth="true" width="47.140625" collapsed="true"/>
    <col min="4" max="4" customWidth="true" width="26.7109375" collapsed="true"/>
    <col min="5" max="5" customWidth="true" width="25.85546875" collapsed="true"/>
    <col min="6" max="6" customWidth="true" width="31.140625" collapsed="true"/>
  </cols>
  <sheetData>
    <row r="5" spans="1:6" ht="34.5" customHeight="1" x14ac:dyDescent="0.25">
      <c r="C5" s="38" t="s">
        <v>86</v>
      </c>
      <c r="D5" s="41" t="s">
        <v>77</v>
      </c>
      <c r="E5" s="41" t="s">
        <v>78</v>
      </c>
      <c r="F5" s="57" t="s">
        <v>118</v>
      </c>
    </row>
    <row r="6" spans="1:6" ht="15.75" x14ac:dyDescent="0.25">
      <c r="A6" s="39" t="s">
        <v>82</v>
      </c>
      <c r="C6" s="41" t="s">
        <v>62</v>
      </c>
      <c r="D6" s="37" t="s">
        <v>81</v>
      </c>
      <c r="E6" s="37" t="s">
        <v>81</v>
      </c>
      <c r="F6" s="37" t="s">
        <v>81</v>
      </c>
    </row>
    <row r="7" spans="1:6" ht="15.75" x14ac:dyDescent="0.25">
      <c r="A7" s="39" t="s">
        <v>83</v>
      </c>
      <c r="C7" s="41" t="s">
        <v>79</v>
      </c>
      <c r="D7" s="37" t="s">
        <v>81</v>
      </c>
      <c r="E7" s="37"/>
      <c r="F7" s="37"/>
    </row>
    <row r="8" spans="1:6" ht="15.75" x14ac:dyDescent="0.25">
      <c r="A8" s="39" t="s">
        <v>84</v>
      </c>
      <c r="C8" s="41" t="s">
        <v>70</v>
      </c>
      <c r="D8" s="37" t="s">
        <v>81</v>
      </c>
      <c r="E8" s="37" t="s">
        <v>81</v>
      </c>
      <c r="F8" s="37" t="s">
        <v>81</v>
      </c>
    </row>
    <row r="9" spans="1:6" ht="15.75" x14ac:dyDescent="0.25">
      <c r="A9" s="39" t="s">
        <v>85</v>
      </c>
      <c r="C9" s="41" t="s">
        <v>80</v>
      </c>
      <c r="D9" s="37" t="s">
        <v>81</v>
      </c>
      <c r="E9" s="37" t="s">
        <v>81</v>
      </c>
      <c r="F9" s="37"/>
    </row>
    <row r="17" spans="2:6" ht="31.5" x14ac:dyDescent="0.25">
      <c r="C17" s="38" t="s">
        <v>119</v>
      </c>
      <c r="D17" s="41" t="s">
        <v>77</v>
      </c>
      <c r="E17" s="41" t="s">
        <v>78</v>
      </c>
      <c r="F17" s="57" t="s">
        <v>118</v>
      </c>
    </row>
    <row r="18" spans="2:6" ht="15.75" x14ac:dyDescent="0.25">
      <c r="C18" s="41" t="s">
        <v>120</v>
      </c>
      <c r="D18" s="56" t="s">
        <v>81</v>
      </c>
      <c r="E18" s="56" t="s">
        <v>81</v>
      </c>
      <c r="F18" s="56" t="s">
        <v>81</v>
      </c>
    </row>
    <row r="19" spans="2:6" ht="15.75" x14ac:dyDescent="0.25">
      <c r="C19" s="41" t="s">
        <v>123</v>
      </c>
      <c r="D19" s="56"/>
      <c r="E19" s="56" t="s">
        <v>81</v>
      </c>
      <c r="F19" s="56" t="s">
        <v>81</v>
      </c>
    </row>
    <row r="20" spans="2:6" ht="15.75" x14ac:dyDescent="0.25">
      <c r="C20" s="41" t="s">
        <v>121</v>
      </c>
      <c r="D20" s="56" t="s">
        <v>81</v>
      </c>
      <c r="E20" s="56"/>
      <c r="F20" s="56" t="s">
        <v>81</v>
      </c>
    </row>
    <row r="21" spans="2:6" ht="15.75" x14ac:dyDescent="0.25">
      <c r="C21" s="41" t="s">
        <v>122</v>
      </c>
      <c r="D21" s="56" t="s">
        <v>81</v>
      </c>
      <c r="E21" s="56" t="s">
        <v>81</v>
      </c>
      <c r="F21" s="56" t="s">
        <v>81</v>
      </c>
    </row>
    <row r="23" spans="2:6" s="50" customFormat="1" x14ac:dyDescent="0.25"/>
    <row r="24" spans="2:6" s="50" customFormat="1" x14ac:dyDescent="0.25"/>
    <row r="25" spans="2:6" s="50" customFormat="1" x14ac:dyDescent="0.25"/>
    <row r="26" spans="2:6" s="50" customFormat="1" x14ac:dyDescent="0.25"/>
    <row r="27" spans="2:6" s="50" customFormat="1" x14ac:dyDescent="0.25"/>
    <row r="28" spans="2:6" s="50" customFormat="1" x14ac:dyDescent="0.25">
      <c r="B28" s="477">
        <v>1</v>
      </c>
      <c r="C28" s="58" t="s">
        <v>77</v>
      </c>
      <c r="D28" s="4"/>
      <c r="E28" s="62" t="s">
        <v>140</v>
      </c>
      <c r="F28" s="63" t="s">
        <v>131</v>
      </c>
    </row>
    <row r="29" spans="2:6" s="50" customFormat="1" x14ac:dyDescent="0.25">
      <c r="B29" s="478"/>
      <c r="C29" s="59" t="s">
        <v>78</v>
      </c>
      <c r="D29" s="4"/>
      <c r="E29" s="61"/>
      <c r="F29" s="65"/>
    </row>
    <row r="30" spans="2:6" s="50" customFormat="1" x14ac:dyDescent="0.25">
      <c r="B30" s="479"/>
      <c r="C30" s="60" t="s">
        <v>117</v>
      </c>
      <c r="D30" s="4"/>
      <c r="E30" s="69">
        <v>7</v>
      </c>
      <c r="F30" s="63" t="s">
        <v>132</v>
      </c>
    </row>
    <row r="31" spans="2:6" x14ac:dyDescent="0.25">
      <c r="B31" s="61"/>
      <c r="C31" s="61"/>
      <c r="D31" s="4"/>
      <c r="E31" s="70"/>
      <c r="F31" s="65"/>
    </row>
    <row r="32" spans="2:6" x14ac:dyDescent="0.25">
      <c r="B32" s="62">
        <v>2</v>
      </c>
      <c r="C32" s="63" t="s">
        <v>124</v>
      </c>
      <c r="D32" s="4"/>
      <c r="E32" s="69">
        <v>8</v>
      </c>
      <c r="F32" s="63" t="s">
        <v>133</v>
      </c>
    </row>
    <row r="33" spans="2:6" s="50" customFormat="1" x14ac:dyDescent="0.25">
      <c r="B33" s="64"/>
      <c r="C33" s="65"/>
      <c r="D33" s="4"/>
      <c r="E33" s="61"/>
      <c r="F33" s="61"/>
    </row>
    <row r="34" spans="2:6" x14ac:dyDescent="0.25">
      <c r="B34" s="62">
        <v>3</v>
      </c>
      <c r="C34" s="63" t="s">
        <v>125</v>
      </c>
      <c r="D34" s="4"/>
      <c r="E34" s="69" t="s">
        <v>141</v>
      </c>
      <c r="F34" s="63" t="s">
        <v>134</v>
      </c>
    </row>
    <row r="35" spans="2:6" x14ac:dyDescent="0.25">
      <c r="B35" s="61"/>
      <c r="C35" s="61"/>
      <c r="D35" s="4"/>
      <c r="E35" s="61"/>
      <c r="F35" s="61"/>
    </row>
    <row r="36" spans="2:6" x14ac:dyDescent="0.25">
      <c r="B36" s="62" t="s">
        <v>139</v>
      </c>
      <c r="C36" s="63" t="s">
        <v>126</v>
      </c>
      <c r="D36" s="4"/>
      <c r="E36" s="477">
        <v>10</v>
      </c>
      <c r="F36" s="66" t="s">
        <v>135</v>
      </c>
    </row>
    <row r="37" spans="2:6" x14ac:dyDescent="0.25">
      <c r="B37" s="61"/>
      <c r="C37" s="61"/>
      <c r="D37" s="4"/>
      <c r="E37" s="478"/>
      <c r="F37" s="67" t="s">
        <v>136</v>
      </c>
    </row>
    <row r="38" spans="2:6" x14ac:dyDescent="0.25">
      <c r="B38" s="477">
        <v>5</v>
      </c>
      <c r="C38" s="66" t="s">
        <v>103</v>
      </c>
      <c r="D38" s="4"/>
      <c r="E38" s="479"/>
      <c r="F38" s="68" t="s">
        <v>137</v>
      </c>
    </row>
    <row r="39" spans="2:6" x14ac:dyDescent="0.25">
      <c r="B39" s="478"/>
      <c r="C39" s="67" t="s">
        <v>107</v>
      </c>
      <c r="D39" s="4"/>
      <c r="E39" s="61"/>
      <c r="F39" s="61"/>
    </row>
    <row r="40" spans="2:6" x14ac:dyDescent="0.25">
      <c r="B40" s="478"/>
      <c r="C40" s="67" t="s">
        <v>110</v>
      </c>
      <c r="D40" s="4"/>
      <c r="E40" s="69" t="s">
        <v>142</v>
      </c>
      <c r="F40" s="63" t="s">
        <v>138</v>
      </c>
    </row>
    <row r="41" spans="2:6" x14ac:dyDescent="0.25">
      <c r="B41" s="478"/>
      <c r="C41" s="67" t="s">
        <v>127</v>
      </c>
      <c r="D41" s="4"/>
      <c r="E41" s="4"/>
    </row>
    <row r="42" spans="2:6" x14ac:dyDescent="0.25">
      <c r="B42" s="478"/>
      <c r="C42" s="67" t="s">
        <v>128</v>
      </c>
      <c r="D42" s="4"/>
      <c r="E42" s="4"/>
    </row>
    <row r="43" spans="2:6" x14ac:dyDescent="0.25">
      <c r="B43" s="478"/>
      <c r="C43" s="67" t="s">
        <v>129</v>
      </c>
      <c r="D43" s="4"/>
      <c r="E43" s="4"/>
    </row>
    <row r="44" spans="2:6" x14ac:dyDescent="0.25">
      <c r="B44" s="479"/>
      <c r="C44" s="68" t="s">
        <v>130</v>
      </c>
      <c r="D44" s="4"/>
      <c r="E44" s="4"/>
    </row>
    <row r="45" spans="2:6" x14ac:dyDescent="0.25">
      <c r="B45" s="50"/>
      <c r="C45" s="50"/>
      <c r="D45" s="4"/>
      <c r="E45" s="4"/>
    </row>
    <row r="46" spans="2:6" x14ac:dyDescent="0.25">
      <c r="B46" s="50"/>
      <c r="C46" s="50"/>
      <c r="D46" s="4"/>
      <c r="E46" s="4"/>
    </row>
    <row r="47" spans="2:6" x14ac:dyDescent="0.25">
      <c r="D47" s="4"/>
      <c r="E47" s="4"/>
    </row>
    <row r="48" spans="2:6" x14ac:dyDescent="0.25">
      <c r="D48" s="4"/>
      <c r="E48" s="4"/>
    </row>
    <row r="49" spans="4:5" x14ac:dyDescent="0.25">
      <c r="D49" s="4"/>
      <c r="E49" s="4"/>
    </row>
    <row r="50" spans="4:5" x14ac:dyDescent="0.25">
      <c r="D50" s="4"/>
      <c r="E50" s="4"/>
    </row>
    <row r="51" spans="4:5" x14ac:dyDescent="0.25">
      <c r="D51" s="4"/>
      <c r="E51" s="4"/>
    </row>
    <row r="52" spans="4:5" x14ac:dyDescent="0.25">
      <c r="D52" s="4"/>
      <c r="E52" s="4"/>
    </row>
    <row r="53" spans="4:5" x14ac:dyDescent="0.25">
      <c r="D53" s="4"/>
      <c r="E53" s="4"/>
    </row>
    <row r="54" spans="4:5" x14ac:dyDescent="0.25">
      <c r="D54" s="4"/>
      <c r="E54" s="4"/>
    </row>
    <row r="55" spans="4:5" x14ac:dyDescent="0.25">
      <c r="D55" s="4"/>
      <c r="E55" s="4"/>
    </row>
    <row r="56" spans="4:5" x14ac:dyDescent="0.25">
      <c r="D56" s="4"/>
      <c r="E56" s="4"/>
    </row>
    <row r="57" spans="4:5" x14ac:dyDescent="0.25">
      <c r="D57" s="4"/>
      <c r="E57" s="4"/>
    </row>
    <row r="58" spans="4:5" x14ac:dyDescent="0.25">
      <c r="D58" s="4"/>
      <c r="E58" s="4"/>
    </row>
  </sheetData>
  <mergeCells count="3">
    <mergeCell ref="B28:B30"/>
    <mergeCell ref="B38:B44"/>
    <mergeCell ref="E36:E38"/>
  </mergeCells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143"/>
  <sheetViews>
    <sheetView topLeftCell="B100" workbookViewId="0">
      <selection activeCell="E127" sqref="E127"/>
    </sheetView>
  </sheetViews>
  <sheetFormatPr defaultRowHeight="15" x14ac:dyDescent="0.25"/>
  <cols>
    <col min="3" max="3" bestFit="true" customWidth="true" width="66.42578125" collapsed="false"/>
    <col min="4" max="4" bestFit="true" customWidth="true" width="106.42578125" collapsed="false"/>
    <col min="5" max="5" customWidth="true" width="41.140625" collapsed="false"/>
    <col min="6" max="6" customWidth="true" width="16.28515625" collapsed="false"/>
  </cols>
  <sheetData>
    <row r="1" spans="3:4" s="251" customFormat="1" x14ac:dyDescent="0.25"/>
    <row r="2" spans="3:4" s="251" customFormat="1" x14ac:dyDescent="0.25"/>
    <row r="3" spans="3:4" s="251" customFormat="1" ht="15.75" x14ac:dyDescent="0.25">
      <c r="C3" s="412" t="s">
        <v>679</v>
      </c>
      <c r="D3" s="412"/>
    </row>
    <row r="4" spans="3:4" x14ac:dyDescent="0.25">
      <c r="C4" s="483" t="s">
        <v>666</v>
      </c>
      <c r="D4" s="484"/>
    </row>
    <row r="8" spans="3:4" ht="15.75" x14ac:dyDescent="0.25">
      <c r="C8" s="412" t="s">
        <v>665</v>
      </c>
      <c r="D8" s="412"/>
    </row>
    <row r="9" spans="3:4" x14ac:dyDescent="0.25">
      <c r="C9" s="200" t="s">
        <v>4</v>
      </c>
      <c r="D9" s="242" t="s">
        <v>5</v>
      </c>
    </row>
    <row r="10" spans="3:4" s="251" customFormat="1" x14ac:dyDescent="0.25">
      <c r="C10" s="277" t="s">
        <v>767</v>
      </c>
      <c r="D10" s="254" t="s">
        <v>775</v>
      </c>
    </row>
    <row r="11" spans="3:4" x14ac:dyDescent="0.25">
      <c r="C11" s="277" t="s">
        <v>632</v>
      </c>
      <c r="D11" s="254" t="s">
        <v>768</v>
      </c>
    </row>
    <row r="12" spans="3:4" s="251" customFormat="1" x14ac:dyDescent="0.25">
      <c r="C12" s="277" t="s">
        <v>635</v>
      </c>
      <c r="D12" s="254" t="s">
        <v>661</v>
      </c>
    </row>
    <row r="13" spans="3:4" s="251" customFormat="1" x14ac:dyDescent="0.25">
      <c r="C13" s="277" t="s">
        <v>630</v>
      </c>
      <c r="D13" s="254" t="s">
        <v>769</v>
      </c>
    </row>
    <row r="14" spans="3:4" x14ac:dyDescent="0.25">
      <c r="C14" s="277" t="s">
        <v>631</v>
      </c>
      <c r="D14" s="254" t="s">
        <v>770</v>
      </c>
    </row>
    <row r="15" spans="3:4" s="251" customFormat="1" x14ac:dyDescent="0.25">
      <c r="C15" s="277" t="s">
        <v>636</v>
      </c>
      <c r="D15" s="254" t="s">
        <v>662</v>
      </c>
    </row>
    <row r="16" spans="3:4" s="251" customFormat="1" x14ac:dyDescent="0.25">
      <c r="C16" s="277" t="s">
        <v>633</v>
      </c>
      <c r="D16" s="254" t="s">
        <v>771</v>
      </c>
    </row>
    <row r="17" spans="3:5" x14ac:dyDescent="0.25">
      <c r="C17" s="277" t="s">
        <v>634</v>
      </c>
      <c r="D17" s="254" t="s">
        <v>772</v>
      </c>
    </row>
    <row r="18" spans="3:5" x14ac:dyDescent="0.25">
      <c r="C18" s="277" t="s">
        <v>637</v>
      </c>
      <c r="D18" s="254" t="s">
        <v>663</v>
      </c>
    </row>
    <row r="19" spans="3:5" x14ac:dyDescent="0.25">
      <c r="C19" s="278" t="s">
        <v>664</v>
      </c>
      <c r="D19" s="107" t="s">
        <v>638</v>
      </c>
    </row>
    <row r="21" spans="3:5" s="251" customFormat="1" x14ac:dyDescent="0.25"/>
    <row r="22" spans="3:5" s="251" customFormat="1" x14ac:dyDescent="0.25"/>
    <row r="23" spans="3:5" s="251" customFormat="1" ht="15.75" x14ac:dyDescent="0.25">
      <c r="C23" s="485" t="s">
        <v>680</v>
      </c>
      <c r="D23" s="485"/>
      <c r="E23" s="485"/>
    </row>
    <row r="24" spans="3:5" s="251" customFormat="1" x14ac:dyDescent="0.25">
      <c r="C24" s="320" t="s">
        <v>820</v>
      </c>
      <c r="D24" s="321" t="s">
        <v>821</v>
      </c>
      <c r="E24" s="320" t="s">
        <v>414</v>
      </c>
    </row>
    <row r="25" spans="3:5" s="251" customFormat="1" x14ac:dyDescent="0.25">
      <c r="C25" s="486" t="s">
        <v>677</v>
      </c>
      <c r="D25" s="486"/>
      <c r="E25" s="486"/>
    </row>
    <row r="26" spans="3:5" s="251" customFormat="1" x14ac:dyDescent="0.25"/>
    <row r="27" spans="3:5" s="251" customFormat="1" x14ac:dyDescent="0.25"/>
    <row r="28" spans="3:5" s="251" customFormat="1" ht="15.75" x14ac:dyDescent="0.25">
      <c r="C28" s="485" t="s">
        <v>680</v>
      </c>
      <c r="D28" s="485"/>
      <c r="E28" s="485"/>
    </row>
    <row r="29" spans="3:5" s="251" customFormat="1" x14ac:dyDescent="0.25">
      <c r="C29" s="320" t="s">
        <v>820</v>
      </c>
      <c r="D29" s="321" t="s">
        <v>821</v>
      </c>
      <c r="E29" s="320" t="s">
        <v>477</v>
      </c>
    </row>
    <row r="30" spans="3:5" s="251" customFormat="1" x14ac:dyDescent="0.25">
      <c r="C30" s="486" t="s">
        <v>822</v>
      </c>
      <c r="D30" s="486"/>
      <c r="E30" s="486"/>
    </row>
    <row r="31" spans="3:5" x14ac:dyDescent="0.25">
      <c r="C31" s="251"/>
      <c r="D31" s="251"/>
    </row>
    <row r="32" spans="3:5" x14ac:dyDescent="0.25">
      <c r="C32" s="251"/>
      <c r="D32" s="251"/>
    </row>
    <row r="33" spans="3:4" ht="15.75" x14ac:dyDescent="0.25">
      <c r="C33" s="412" t="s">
        <v>675</v>
      </c>
      <c r="D33" s="412"/>
    </row>
    <row r="34" spans="3:4" x14ac:dyDescent="0.25">
      <c r="C34" s="200" t="s">
        <v>4</v>
      </c>
      <c r="D34" s="242" t="s">
        <v>5</v>
      </c>
    </row>
    <row r="35" spans="3:4" x14ac:dyDescent="0.25">
      <c r="C35" s="277" t="s">
        <v>630</v>
      </c>
      <c r="D35" s="254" t="s">
        <v>769</v>
      </c>
    </row>
    <row r="36" spans="3:4" x14ac:dyDescent="0.25">
      <c r="C36" s="277" t="s">
        <v>631</v>
      </c>
      <c r="D36" s="233" t="s">
        <v>770</v>
      </c>
    </row>
    <row r="37" spans="3:4" x14ac:dyDescent="0.25">
      <c r="C37" s="318" t="s">
        <v>636</v>
      </c>
      <c r="D37" s="233" t="s">
        <v>793</v>
      </c>
    </row>
    <row r="38" spans="3:4" x14ac:dyDescent="0.25">
      <c r="C38" s="277" t="s">
        <v>633</v>
      </c>
      <c r="D38" s="233" t="s">
        <v>771</v>
      </c>
    </row>
    <row r="39" spans="3:4" x14ac:dyDescent="0.25">
      <c r="C39" s="277" t="s">
        <v>634</v>
      </c>
      <c r="D39" s="233" t="s">
        <v>772</v>
      </c>
    </row>
    <row r="40" spans="3:4" x14ac:dyDescent="0.25">
      <c r="C40" s="318" t="s">
        <v>637</v>
      </c>
      <c r="D40" s="233" t="s">
        <v>792</v>
      </c>
    </row>
    <row r="41" spans="3:4" s="251" customFormat="1" x14ac:dyDescent="0.25">
      <c r="C41" s="318" t="s">
        <v>794</v>
      </c>
      <c r="D41" s="233" t="s">
        <v>796</v>
      </c>
    </row>
    <row r="42" spans="3:4" s="251" customFormat="1" x14ac:dyDescent="0.25">
      <c r="C42" s="318" t="s">
        <v>795</v>
      </c>
      <c r="D42" s="233" t="s">
        <v>797</v>
      </c>
    </row>
    <row r="43" spans="3:4" s="251" customFormat="1" x14ac:dyDescent="0.25">
      <c r="C43" s="277" t="s">
        <v>639</v>
      </c>
      <c r="D43" s="312" t="s">
        <v>798</v>
      </c>
    </row>
    <row r="44" spans="3:4" s="251" customFormat="1" x14ac:dyDescent="0.25">
      <c r="C44" s="277" t="s">
        <v>640</v>
      </c>
      <c r="D44" s="312" t="s">
        <v>799</v>
      </c>
    </row>
    <row r="45" spans="3:4" s="251" customFormat="1" x14ac:dyDescent="0.25">
      <c r="C45" s="277" t="s">
        <v>641</v>
      </c>
      <c r="D45" s="312" t="s">
        <v>800</v>
      </c>
    </row>
    <row r="46" spans="3:4" s="251" customFormat="1" x14ac:dyDescent="0.25">
      <c r="C46" s="277" t="s">
        <v>642</v>
      </c>
      <c r="D46" s="312" t="s">
        <v>801</v>
      </c>
    </row>
    <row r="47" spans="3:4" s="251" customFormat="1" x14ac:dyDescent="0.25">
      <c r="C47" s="277" t="s">
        <v>647</v>
      </c>
      <c r="D47" s="254" t="s">
        <v>654</v>
      </c>
    </row>
    <row r="48" spans="3:4" ht="121.5" x14ac:dyDescent="0.25">
      <c r="C48" s="278" t="s">
        <v>664</v>
      </c>
      <c r="D48" s="281" t="s">
        <v>678</v>
      </c>
    </row>
    <row r="50" spans="3:6" s="251" customFormat="1" x14ac:dyDescent="0.25"/>
    <row r="51" spans="3:6" s="251" customFormat="1" ht="15.75" x14ac:dyDescent="0.25">
      <c r="C51" s="412" t="s">
        <v>655</v>
      </c>
      <c r="D51" s="412"/>
    </row>
    <row r="52" spans="3:6" s="251" customFormat="1" x14ac:dyDescent="0.25">
      <c r="C52" s="200" t="s">
        <v>4</v>
      </c>
      <c r="D52" s="242" t="s">
        <v>5</v>
      </c>
    </row>
    <row r="53" spans="3:6" s="251" customFormat="1" x14ac:dyDescent="0.25">
      <c r="C53" s="280" t="s">
        <v>652</v>
      </c>
      <c r="D53" s="254" t="s">
        <v>776</v>
      </c>
    </row>
    <row r="54" spans="3:6" s="251" customFormat="1" x14ac:dyDescent="0.25">
      <c r="C54" s="280" t="s">
        <v>648</v>
      </c>
      <c r="D54" s="254" t="s">
        <v>777</v>
      </c>
    </row>
    <row r="55" spans="3:6" x14ac:dyDescent="0.25">
      <c r="C55" s="280" t="s">
        <v>649</v>
      </c>
      <c r="D55" s="254" t="s">
        <v>778</v>
      </c>
      <c r="E55" s="251"/>
      <c r="F55" s="251"/>
    </row>
    <row r="56" spans="3:6" x14ac:dyDescent="0.25">
      <c r="C56" s="280" t="s">
        <v>650</v>
      </c>
      <c r="D56" s="254" t="s">
        <v>779</v>
      </c>
      <c r="E56" s="251"/>
      <c r="F56" s="251"/>
    </row>
    <row r="57" spans="3:6" x14ac:dyDescent="0.25">
      <c r="C57" s="280" t="s">
        <v>651</v>
      </c>
      <c r="D57" s="254" t="s">
        <v>780</v>
      </c>
      <c r="E57" s="251"/>
      <c r="F57" s="251"/>
    </row>
    <row r="58" spans="3:6" x14ac:dyDescent="0.25">
      <c r="C58" s="311" t="s">
        <v>24</v>
      </c>
      <c r="D58" s="107" t="s">
        <v>653</v>
      </c>
      <c r="E58" s="251"/>
    </row>
    <row r="59" spans="3:6" x14ac:dyDescent="0.25">
      <c r="E59" s="251"/>
    </row>
    <row r="61" spans="3:6" ht="15.75" x14ac:dyDescent="0.25">
      <c r="C61" s="419" t="s">
        <v>802</v>
      </c>
      <c r="D61" s="419"/>
    </row>
    <row r="62" spans="3:6" x14ac:dyDescent="0.25">
      <c r="C62" s="200" t="s">
        <v>4</v>
      </c>
      <c r="D62" s="242" t="s">
        <v>254</v>
      </c>
    </row>
    <row r="63" spans="3:6" x14ac:dyDescent="0.25">
      <c r="C63" s="201" t="s">
        <v>95</v>
      </c>
      <c r="D63" s="255" t="s">
        <v>645</v>
      </c>
    </row>
    <row r="64" spans="3:6" x14ac:dyDescent="0.25">
      <c r="C64" s="277" t="s">
        <v>644</v>
      </c>
      <c r="D64" s="254" t="s">
        <v>646</v>
      </c>
    </row>
    <row r="65" spans="3:4" x14ac:dyDescent="0.25">
      <c r="C65" s="278" t="s">
        <v>24</v>
      </c>
      <c r="D65" s="107" t="s">
        <v>643</v>
      </c>
    </row>
    <row r="69" spans="3:4" x14ac:dyDescent="0.25">
      <c r="C69" s="411" t="s">
        <v>657</v>
      </c>
      <c r="D69" s="411"/>
    </row>
    <row r="70" spans="3:4" x14ac:dyDescent="0.25">
      <c r="C70" s="200" t="s">
        <v>4</v>
      </c>
      <c r="D70" s="242" t="s">
        <v>254</v>
      </c>
    </row>
    <row r="71" spans="3:4" x14ac:dyDescent="0.25">
      <c r="C71" s="201" t="s">
        <v>556</v>
      </c>
      <c r="D71" s="255" t="s">
        <v>658</v>
      </c>
    </row>
    <row r="72" spans="3:4" s="251" customFormat="1" x14ac:dyDescent="0.25">
      <c r="C72" s="277" t="s">
        <v>656</v>
      </c>
      <c r="D72" s="254" t="s">
        <v>667</v>
      </c>
    </row>
    <row r="73" spans="3:4" s="251" customFormat="1" x14ac:dyDescent="0.25">
      <c r="C73" s="277" t="s">
        <v>668</v>
      </c>
      <c r="D73" s="254" t="s">
        <v>659</v>
      </c>
    </row>
    <row r="74" spans="3:4" s="251" customFormat="1" x14ac:dyDescent="0.25">
      <c r="C74" s="201" t="s">
        <v>806</v>
      </c>
      <c r="D74" s="254" t="s">
        <v>805</v>
      </c>
    </row>
    <row r="75" spans="3:4" s="251" customFormat="1" x14ac:dyDescent="0.25">
      <c r="C75" s="201" t="s">
        <v>810</v>
      </c>
      <c r="D75" s="254" t="s">
        <v>809</v>
      </c>
    </row>
    <row r="76" spans="3:4" s="251" customFormat="1" x14ac:dyDescent="0.25">
      <c r="C76" s="201" t="s">
        <v>807</v>
      </c>
      <c r="D76" s="254" t="s">
        <v>811</v>
      </c>
    </row>
    <row r="77" spans="3:4" x14ac:dyDescent="0.25">
      <c r="C77" s="201" t="s">
        <v>557</v>
      </c>
      <c r="D77" s="255" t="s">
        <v>669</v>
      </c>
    </row>
    <row r="78" spans="3:4" x14ac:dyDescent="0.25">
      <c r="C78" s="201" t="s">
        <v>569</v>
      </c>
      <c r="D78" s="255" t="s">
        <v>567</v>
      </c>
    </row>
    <row r="79" spans="3:4" x14ac:dyDescent="0.25">
      <c r="C79" s="205" t="s">
        <v>24</v>
      </c>
      <c r="D79" s="204" t="s">
        <v>808</v>
      </c>
    </row>
    <row r="83" spans="3:4" x14ac:dyDescent="0.25">
      <c r="C83" s="241" t="s">
        <v>670</v>
      </c>
      <c r="D83" s="241"/>
    </row>
    <row r="84" spans="3:4" x14ac:dyDescent="0.25">
      <c r="C84" s="200" t="s">
        <v>4</v>
      </c>
      <c r="D84" s="242" t="s">
        <v>254</v>
      </c>
    </row>
    <row r="85" spans="3:4" s="251" customFormat="1" x14ac:dyDescent="0.25">
      <c r="C85" s="201" t="s">
        <v>255</v>
      </c>
      <c r="D85" s="255" t="s">
        <v>439</v>
      </c>
    </row>
    <row r="86" spans="3:4" x14ac:dyDescent="0.25">
      <c r="C86" s="201" t="s">
        <v>470</v>
      </c>
      <c r="D86" s="255" t="s">
        <v>812</v>
      </c>
    </row>
    <row r="87" spans="3:4" x14ac:dyDescent="0.25">
      <c r="C87" s="205" t="s">
        <v>24</v>
      </c>
      <c r="D87" s="204" t="s">
        <v>671</v>
      </c>
    </row>
    <row r="91" spans="3:4" x14ac:dyDescent="0.25">
      <c r="C91" s="411" t="s">
        <v>660</v>
      </c>
      <c r="D91" s="411"/>
    </row>
    <row r="92" spans="3:4" x14ac:dyDescent="0.25">
      <c r="C92" s="200" t="s">
        <v>4</v>
      </c>
      <c r="D92" s="242" t="s">
        <v>254</v>
      </c>
    </row>
    <row r="93" spans="3:4" x14ac:dyDescent="0.25">
      <c r="C93" s="205" t="s">
        <v>24</v>
      </c>
      <c r="D93" s="204" t="s">
        <v>815</v>
      </c>
    </row>
    <row r="97" spans="3:4" x14ac:dyDescent="0.25">
      <c r="C97" s="411" t="s">
        <v>676</v>
      </c>
      <c r="D97" s="411"/>
    </row>
    <row r="98" spans="3:4" x14ac:dyDescent="0.25">
      <c r="C98" s="200" t="s">
        <v>4</v>
      </c>
      <c r="D98" s="242" t="s">
        <v>254</v>
      </c>
    </row>
    <row r="99" spans="3:4" x14ac:dyDescent="0.25">
      <c r="C99" s="201" t="s">
        <v>471</v>
      </c>
      <c r="D99" s="255" t="s">
        <v>674</v>
      </c>
    </row>
    <row r="100" spans="3:4" x14ac:dyDescent="0.25">
      <c r="C100" s="201" t="s">
        <v>547</v>
      </c>
      <c r="D100" s="255" t="s">
        <v>577</v>
      </c>
    </row>
    <row r="101" spans="3:4" x14ac:dyDescent="0.25">
      <c r="C101" s="205" t="s">
        <v>24</v>
      </c>
      <c r="D101" s="204" t="s">
        <v>818</v>
      </c>
    </row>
    <row r="105" spans="3:4" x14ac:dyDescent="0.25">
      <c r="C105" s="411" t="s">
        <v>672</v>
      </c>
      <c r="D105" s="411"/>
    </row>
    <row r="106" spans="3:4" x14ac:dyDescent="0.25">
      <c r="C106" s="200" t="s">
        <v>4</v>
      </c>
      <c r="D106" s="242" t="s">
        <v>254</v>
      </c>
    </row>
    <row r="107" spans="3:4" x14ac:dyDescent="0.25">
      <c r="C107" s="201" t="s">
        <v>255</v>
      </c>
      <c r="D107" s="255" t="s">
        <v>439</v>
      </c>
    </row>
    <row r="108" spans="3:4" x14ac:dyDescent="0.25">
      <c r="C108" s="201" t="s">
        <v>470</v>
      </c>
      <c r="D108" s="255" t="s">
        <v>673</v>
      </c>
    </row>
    <row r="109" spans="3:4" x14ac:dyDescent="0.25">
      <c r="C109" s="205" t="s">
        <v>24</v>
      </c>
      <c r="D109" s="204" t="s">
        <v>671</v>
      </c>
    </row>
    <row r="113" spans="3:7" x14ac:dyDescent="0.25">
      <c r="C113" s="411" t="s">
        <v>548</v>
      </c>
      <c r="D113" s="411"/>
      <c r="E113" s="216"/>
      <c r="F113" s="216"/>
      <c r="G113" s="216"/>
    </row>
    <row r="114" spans="3:7" x14ac:dyDescent="0.25">
      <c r="C114" s="200" t="s">
        <v>543</v>
      </c>
      <c r="D114" s="219" t="s">
        <v>544</v>
      </c>
      <c r="E114" s="216"/>
      <c r="F114" s="216"/>
      <c r="G114" s="216"/>
    </row>
    <row r="115" spans="3:7" x14ac:dyDescent="0.25">
      <c r="C115" s="201" t="s">
        <v>373</v>
      </c>
      <c r="D115" s="220" t="s">
        <v>545</v>
      </c>
      <c r="E115" s="216"/>
      <c r="F115" s="216"/>
      <c r="G115" s="216"/>
    </row>
    <row r="116" spans="3:7" x14ac:dyDescent="0.25">
      <c r="C116" s="205" t="s">
        <v>316</v>
      </c>
      <c r="D116" s="204" t="s">
        <v>546</v>
      </c>
      <c r="E116" s="216"/>
      <c r="F116" s="216"/>
      <c r="G116" s="216"/>
    </row>
    <row r="117" spans="3:7" x14ac:dyDescent="0.25">
      <c r="C117" s="251"/>
      <c r="D117" s="251"/>
      <c r="E117" s="216"/>
      <c r="F117" s="216"/>
      <c r="G117" s="216"/>
    </row>
    <row r="118" spans="3:7" x14ac:dyDescent="0.25">
      <c r="C118" s="251"/>
      <c r="D118" s="251"/>
      <c r="E118" s="216"/>
      <c r="F118" s="216"/>
      <c r="G118" s="216"/>
    </row>
    <row r="119" spans="3:7" x14ac:dyDescent="0.25">
      <c r="C119" s="251"/>
      <c r="D119" s="251"/>
      <c r="E119" s="216"/>
      <c r="F119" s="216"/>
      <c r="G119" s="216"/>
    </row>
    <row r="120" spans="3:7" x14ac:dyDescent="0.25">
      <c r="C120" s="411" t="s">
        <v>551</v>
      </c>
      <c r="D120" s="411"/>
      <c r="E120" s="216"/>
      <c r="F120" s="216"/>
      <c r="G120" s="216"/>
    </row>
    <row r="121" spans="3:7" x14ac:dyDescent="0.25">
      <c r="C121" s="200" t="s">
        <v>543</v>
      </c>
      <c r="D121" s="200" t="s">
        <v>61</v>
      </c>
      <c r="E121" s="219" t="s">
        <v>11</v>
      </c>
      <c r="F121" s="219" t="s">
        <v>549</v>
      </c>
      <c r="G121" s="219" t="s">
        <v>536</v>
      </c>
    </row>
    <row r="122" spans="3:7" ht="27" x14ac:dyDescent="0.25">
      <c r="C122" s="480" t="s">
        <v>373</v>
      </c>
      <c r="D122" s="309" t="s">
        <v>550</v>
      </c>
      <c r="E122" s="255" t="s">
        <v>554</v>
      </c>
      <c r="F122" s="220"/>
      <c r="G122" s="220"/>
    </row>
    <row r="123" spans="3:7" x14ac:dyDescent="0.25">
      <c r="C123" s="481"/>
      <c r="D123" s="308" t="s">
        <v>545</v>
      </c>
      <c r="E123" s="204" t="s">
        <v>553</v>
      </c>
      <c r="F123" s="204"/>
      <c r="G123" s="204"/>
    </row>
    <row r="124" spans="3:7" x14ac:dyDescent="0.25">
      <c r="C124" s="482" t="s">
        <v>316</v>
      </c>
      <c r="D124" s="310" t="s">
        <v>546</v>
      </c>
      <c r="E124" s="255" t="s">
        <v>553</v>
      </c>
      <c r="F124" s="220"/>
      <c r="G124" s="220"/>
    </row>
    <row r="125" spans="3:7" x14ac:dyDescent="0.25">
      <c r="C125" s="480"/>
      <c r="D125" s="480" t="s">
        <v>306</v>
      </c>
      <c r="E125" s="255" t="s">
        <v>552</v>
      </c>
      <c r="F125" s="220"/>
      <c r="G125" s="220"/>
    </row>
    <row r="126" spans="3:7" x14ac:dyDescent="0.25">
      <c r="C126" s="480"/>
      <c r="D126" s="480"/>
      <c r="E126" s="255" t="s">
        <v>555</v>
      </c>
      <c r="F126" s="279">
        <v>5000</v>
      </c>
      <c r="G126" s="279">
        <v>5000</v>
      </c>
    </row>
    <row r="127" spans="3:7" ht="27" x14ac:dyDescent="0.25">
      <c r="C127" s="481"/>
      <c r="D127" s="481"/>
      <c r="E127" s="204" t="s">
        <v>554</v>
      </c>
      <c r="F127" s="204"/>
      <c r="G127" s="204"/>
    </row>
    <row r="128" spans="3:7" x14ac:dyDescent="0.25">
      <c r="C128" s="251"/>
      <c r="D128" s="251"/>
      <c r="E128" s="216"/>
      <c r="F128" s="216"/>
      <c r="G128" s="216"/>
    </row>
    <row r="129" spans="3:7" x14ac:dyDescent="0.25">
      <c r="C129" s="251"/>
      <c r="D129" s="251"/>
      <c r="E129" s="216"/>
      <c r="F129" s="216"/>
      <c r="G129" s="216"/>
    </row>
    <row r="130" spans="3:7" x14ac:dyDescent="0.25">
      <c r="C130" s="216"/>
      <c r="D130" s="216"/>
      <c r="E130" s="216"/>
      <c r="F130" s="216"/>
      <c r="G130" s="216"/>
    </row>
    <row r="131" spans="3:7" x14ac:dyDescent="0.25">
      <c r="C131" s="411" t="s">
        <v>1285</v>
      </c>
      <c r="D131" s="411"/>
      <c r="E131" s="508"/>
      <c r="F131" s="216"/>
      <c r="G131" s="216"/>
    </row>
    <row r="132" spans="3:7" x14ac:dyDescent="0.25">
      <c r="C132" s="489" t="s">
        <v>820</v>
      </c>
      <c r="D132" t="s">
        <v>1286</v>
      </c>
      <c r="E132" s="491" t="b">
        <v>0</v>
      </c>
      <c r="F132" s="216"/>
      <c r="G132" s="216"/>
    </row>
    <row r="133" spans="3:7" x14ac:dyDescent="0.25">
      <c r="C133" s="200" t="s">
        <v>558</v>
      </c>
      <c r="D133" s="219" t="s">
        <v>254</v>
      </c>
      <c r="E133" s="497"/>
      <c r="F133" s="216"/>
      <c r="G133" s="216"/>
    </row>
    <row r="134" spans="3:7" x14ac:dyDescent="0.25">
      <c r="C134" s="201" t="s">
        <v>561</v>
      </c>
      <c r="D134" s="220" t="s">
        <v>560</v>
      </c>
      <c r="E134" s="498"/>
      <c r="F134" s="216"/>
      <c r="G134" s="216"/>
    </row>
    <row r="135" spans="3:7" x14ac:dyDescent="0.25">
      <c r="C135" s="201" t="s">
        <v>562</v>
      </c>
      <c r="D135" s="220" t="s">
        <v>563</v>
      </c>
      <c r="E135" s="499"/>
      <c r="F135" s="216"/>
      <c r="G135" s="216"/>
    </row>
    <row r="136" spans="3:7" x14ac:dyDescent="0.25">
      <c r="C136" s="201" t="s">
        <v>565</v>
      </c>
      <c r="D136" s="220" t="s">
        <v>568</v>
      </c>
      <c r="E136" s="500"/>
      <c r="F136" s="216"/>
      <c r="G136" s="216"/>
    </row>
    <row r="137" spans="3:7" x14ac:dyDescent="0.25">
      <c r="C137" s="201" t="s">
        <v>564</v>
      </c>
      <c r="D137" s="255" t="s">
        <v>1284</v>
      </c>
      <c r="E137" s="501"/>
      <c r="F137" s="216"/>
      <c r="G137" s="216"/>
    </row>
    <row r="138" spans="3:7" x14ac:dyDescent="0.25">
      <c r="C138" s="205" t="s">
        <v>24</v>
      </c>
      <c r="D138" s="204" t="s">
        <v>566</v>
      </c>
      <c r="E138" s="502"/>
      <c r="F138" s="216"/>
      <c r="G138" s="216"/>
    </row>
    <row r="139" spans="3:7" x14ac:dyDescent="0.25">
      <c r="C139" s="216"/>
      <c r="D139" s="216"/>
      <c r="E139" s="216"/>
      <c r="F139" s="216"/>
      <c r="G139" s="216"/>
    </row>
    <row r="140" spans="3:7" x14ac:dyDescent="0.25">
      <c r="C140" s="216"/>
      <c r="D140" s="216"/>
      <c r="E140" s="216"/>
      <c r="F140" s="216"/>
      <c r="G140" s="216"/>
    </row>
    <row r="141" spans="3:7" x14ac:dyDescent="0.25">
      <c r="C141" s="411" t="s">
        <v>813</v>
      </c>
      <c r="D141" s="411"/>
      <c r="E141" s="216"/>
      <c r="F141" s="216"/>
      <c r="G141" s="216"/>
    </row>
    <row r="142" spans="3:7" x14ac:dyDescent="0.25">
      <c r="C142" s="200" t="s">
        <v>558</v>
      </c>
      <c r="D142" s="219" t="s">
        <v>254</v>
      </c>
      <c r="E142" s="216"/>
      <c r="F142" s="216"/>
      <c r="G142" s="216"/>
    </row>
    <row r="143" spans="3:7" x14ac:dyDescent="0.25">
      <c r="C143" s="205" t="s">
        <v>24</v>
      </c>
      <c r="D143" s="204" t="s">
        <v>559</v>
      </c>
      <c r="E143" s="216"/>
      <c r="F143" s="216"/>
      <c r="G143" s="216"/>
    </row>
  </sheetData>
  <mergeCells count="21">
    <mergeCell ref="C3:D3"/>
    <mergeCell ref="C4:D4"/>
    <mergeCell ref="C97:D97"/>
    <mergeCell ref="C61:D61"/>
    <mergeCell ref="C51:D51"/>
    <mergeCell ref="C8:D8"/>
    <mergeCell ref="C33:D33"/>
    <mergeCell ref="C23:E23"/>
    <mergeCell ref="C25:E25"/>
    <mergeCell ref="C28:E28"/>
    <mergeCell ref="C30:E30"/>
    <mergeCell ref="C105:D105"/>
    <mergeCell ref="C113:D113"/>
    <mergeCell ref="C69:D69"/>
    <mergeCell ref="C91:D91"/>
    <mergeCell ref="C141:D141"/>
    <mergeCell ref="C120:D120"/>
    <mergeCell ref="C122:C123"/>
    <mergeCell ref="C124:C127"/>
    <mergeCell ref="D125:D127"/>
    <mergeCell ref="C131:E131"/>
    <mergeCell ref="D133:E133"/>
    <mergeCell ref="D134:E134"/>
    <mergeCell ref="D135:E135"/>
    <mergeCell ref="D136:E136"/>
    <mergeCell ref="D137:E137"/>
    <mergeCell ref="D138:E138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4"/>
  <sheetViews>
    <sheetView workbookViewId="0"/>
  </sheetViews>
  <sheetFormatPr defaultRowHeight="15" x14ac:dyDescent="0.25"/>
  <cols>
    <col min="3" max="3" customWidth="true" width="27.5703125" collapsed="true"/>
    <col min="4" max="4" customWidth="true" width="40.42578125" collapsed="true"/>
  </cols>
  <sheetData>
    <row r="3" spans="3:4" x14ac:dyDescent="0.25">
      <c r="C3" s="487" t="s">
        <v>0</v>
      </c>
      <c r="D3" s="488"/>
    </row>
    <row r="4" spans="3:4" x14ac:dyDescent="0.25">
      <c r="C4" s="276" t="s">
        <v>1</v>
      </c>
      <c r="D4" s="9" t="s">
        <v>572</v>
      </c>
    </row>
  </sheetData>
  <mergeCells count="1">
    <mergeCell ref="C3:D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opLeftCell="A48" workbookViewId="0">
      <selection activeCell="D60" sqref="D60"/>
    </sheetView>
  </sheetViews>
  <sheetFormatPr defaultRowHeight="15" x14ac:dyDescent="0.25"/>
  <cols>
    <col min="1" max="1" bestFit="true" customWidth="true" width="12.28515625" collapsed="true"/>
    <col min="2" max="2" bestFit="true" customWidth="true" width="9.7109375" collapsed="true"/>
    <col min="3" max="3" bestFit="true" customWidth="true" width="74.7109375" collapsed="true"/>
    <col min="4" max="4" bestFit="true" customWidth="true" width="7.85546875" collapsed="true"/>
  </cols>
  <sheetData>
    <row r="1" spans="1:4" x14ac:dyDescent="0.25">
      <c r="A1" s="202" t="s">
        <v>213</v>
      </c>
      <c r="B1" s="202" t="s">
        <v>214</v>
      </c>
      <c r="C1" s="202" t="s">
        <v>215</v>
      </c>
      <c r="D1" s="202" t="s">
        <v>216</v>
      </c>
    </row>
    <row r="2" spans="1:4" x14ac:dyDescent="0.25">
      <c r="A2" s="210">
        <v>43322</v>
      </c>
      <c r="B2" s="202" t="s">
        <v>245</v>
      </c>
      <c r="C2" s="202" t="s">
        <v>217</v>
      </c>
      <c r="D2" s="202">
        <v>1</v>
      </c>
    </row>
    <row r="3" spans="1:4" x14ac:dyDescent="0.25">
      <c r="A3" s="210">
        <v>43322</v>
      </c>
      <c r="B3" s="202" t="s">
        <v>259</v>
      </c>
      <c r="C3" s="140" t="s">
        <v>221</v>
      </c>
      <c r="D3" s="202">
        <v>2</v>
      </c>
    </row>
    <row r="4" spans="1:4" x14ac:dyDescent="0.25">
      <c r="A4" s="210">
        <v>43322</v>
      </c>
      <c r="B4" s="202" t="s">
        <v>259</v>
      </c>
      <c r="C4" s="202" t="s">
        <v>219</v>
      </c>
      <c r="D4" s="202">
        <v>3</v>
      </c>
    </row>
    <row r="5" spans="1:4" x14ac:dyDescent="0.25">
      <c r="A5" s="210">
        <v>43322</v>
      </c>
      <c r="B5" s="202" t="s">
        <v>259</v>
      </c>
      <c r="C5" s="202" t="s">
        <v>220</v>
      </c>
      <c r="D5" s="202">
        <v>4</v>
      </c>
    </row>
    <row r="6" spans="1:4" x14ac:dyDescent="0.25">
      <c r="A6" s="210">
        <v>43323</v>
      </c>
      <c r="B6" s="202" t="s">
        <v>259</v>
      </c>
      <c r="C6" s="202" t="s">
        <v>226</v>
      </c>
      <c r="D6" s="202">
        <v>5</v>
      </c>
    </row>
    <row r="7" spans="1:4" x14ac:dyDescent="0.25">
      <c r="A7" s="210">
        <v>43325</v>
      </c>
      <c r="B7" s="202" t="s">
        <v>259</v>
      </c>
      <c r="C7" s="202" t="s">
        <v>229</v>
      </c>
      <c r="D7" s="202">
        <v>6</v>
      </c>
    </row>
    <row r="8" spans="1:4" x14ac:dyDescent="0.25">
      <c r="A8" s="210">
        <v>43326</v>
      </c>
      <c r="B8" s="202" t="s">
        <v>259</v>
      </c>
      <c r="C8" s="202" t="s">
        <v>240</v>
      </c>
      <c r="D8" s="202">
        <v>7</v>
      </c>
    </row>
    <row r="9" spans="1:4" x14ac:dyDescent="0.25">
      <c r="A9" s="210">
        <v>43327</v>
      </c>
      <c r="B9" s="202" t="s">
        <v>259</v>
      </c>
      <c r="C9" s="202" t="s">
        <v>242</v>
      </c>
      <c r="D9" s="202">
        <v>8</v>
      </c>
    </row>
    <row r="10" spans="1:4" x14ac:dyDescent="0.25">
      <c r="A10" s="210">
        <v>43328</v>
      </c>
      <c r="B10" s="202" t="s">
        <v>245</v>
      </c>
      <c r="C10" s="202" t="s">
        <v>246</v>
      </c>
      <c r="D10" s="202">
        <v>9</v>
      </c>
    </row>
    <row r="11" spans="1:4" x14ac:dyDescent="0.25">
      <c r="A11" s="210">
        <v>43328</v>
      </c>
      <c r="B11" s="202" t="s">
        <v>259</v>
      </c>
      <c r="C11" s="202" t="s">
        <v>248</v>
      </c>
      <c r="D11" s="202">
        <v>10</v>
      </c>
    </row>
    <row r="12" spans="1:4" x14ac:dyDescent="0.25">
      <c r="A12" s="210">
        <v>43328</v>
      </c>
      <c r="B12" s="202" t="s">
        <v>259</v>
      </c>
      <c r="C12" s="206" t="s">
        <v>250</v>
      </c>
      <c r="D12" s="202">
        <v>11</v>
      </c>
    </row>
    <row r="13" spans="1:4" x14ac:dyDescent="0.25">
      <c r="A13" s="210">
        <v>43328</v>
      </c>
      <c r="B13" s="202" t="s">
        <v>259</v>
      </c>
      <c r="C13" s="202" t="s">
        <v>251</v>
      </c>
      <c r="D13" s="202">
        <v>12</v>
      </c>
    </row>
    <row r="14" spans="1:4" x14ac:dyDescent="0.25">
      <c r="A14" s="210">
        <v>43329</v>
      </c>
      <c r="B14" s="202" t="s">
        <v>259</v>
      </c>
      <c r="C14" s="202" t="s">
        <v>252</v>
      </c>
      <c r="D14" s="202">
        <v>13</v>
      </c>
    </row>
    <row r="15" spans="1:4" x14ac:dyDescent="0.25">
      <c r="A15" s="210">
        <v>43329</v>
      </c>
      <c r="B15" s="202" t="s">
        <v>259</v>
      </c>
      <c r="C15" s="202" t="s">
        <v>253</v>
      </c>
      <c r="D15" s="202">
        <v>14</v>
      </c>
    </row>
    <row r="16" spans="1:4" x14ac:dyDescent="0.25">
      <c r="A16" s="210">
        <v>43332</v>
      </c>
      <c r="B16" s="202" t="s">
        <v>245</v>
      </c>
      <c r="C16" s="202" t="s">
        <v>257</v>
      </c>
      <c r="D16" s="202">
        <v>15</v>
      </c>
    </row>
    <row r="17" spans="1:4" x14ac:dyDescent="0.25">
      <c r="A17" s="210">
        <v>43333</v>
      </c>
      <c r="B17" s="202" t="s">
        <v>245</v>
      </c>
      <c r="C17" s="202" t="s">
        <v>258</v>
      </c>
      <c r="D17" s="202">
        <v>16</v>
      </c>
    </row>
    <row r="18" spans="1:4" x14ac:dyDescent="0.25">
      <c r="A18" s="210">
        <v>43335</v>
      </c>
      <c r="B18" s="202" t="s">
        <v>259</v>
      </c>
      <c r="C18" s="202" t="s">
        <v>260</v>
      </c>
      <c r="D18" s="202">
        <v>17</v>
      </c>
    </row>
    <row r="19" spans="1:4" x14ac:dyDescent="0.25">
      <c r="A19" s="210">
        <v>43354</v>
      </c>
      <c r="B19" s="202" t="s">
        <v>259</v>
      </c>
      <c r="C19" s="202" t="s">
        <v>383</v>
      </c>
      <c r="D19" s="202">
        <v>18</v>
      </c>
    </row>
    <row r="20" spans="1:4" x14ac:dyDescent="0.25">
      <c r="A20" s="210" t="s">
        <v>402</v>
      </c>
      <c r="B20" s="202" t="s">
        <v>245</v>
      </c>
      <c r="C20" s="158" t="s">
        <v>403</v>
      </c>
      <c r="D20" s="202">
        <v>19</v>
      </c>
    </row>
    <row r="21" spans="1:4" x14ac:dyDescent="0.25">
      <c r="A21" s="211" t="s">
        <v>405</v>
      </c>
      <c r="B21" s="202" t="s">
        <v>245</v>
      </c>
      <c r="C21" s="202" t="s">
        <v>406</v>
      </c>
      <c r="D21" s="202">
        <v>20</v>
      </c>
    </row>
    <row r="22" spans="1:4" x14ac:dyDescent="0.25">
      <c r="A22" s="211" t="s">
        <v>405</v>
      </c>
      <c r="B22" s="202" t="s">
        <v>259</v>
      </c>
      <c r="C22" s="202" t="s">
        <v>409</v>
      </c>
      <c r="D22" s="202">
        <v>21</v>
      </c>
    </row>
    <row r="23" spans="1:4" x14ac:dyDescent="0.25">
      <c r="A23" s="211" t="s">
        <v>435</v>
      </c>
      <c r="B23" s="202" t="s">
        <v>245</v>
      </c>
      <c r="C23" s="202" t="s">
        <v>440</v>
      </c>
      <c r="D23" s="202">
        <v>22</v>
      </c>
    </row>
    <row r="24" spans="1:4" x14ac:dyDescent="0.25">
      <c r="A24" s="211" t="s">
        <v>444</v>
      </c>
      <c r="B24" s="202" t="s">
        <v>245</v>
      </c>
      <c r="C24" s="202" t="s">
        <v>445</v>
      </c>
      <c r="D24" s="202">
        <v>23</v>
      </c>
    </row>
    <row r="25" spans="1:4" x14ac:dyDescent="0.25">
      <c r="A25" s="212">
        <v>43110</v>
      </c>
      <c r="B25" s="202" t="s">
        <v>245</v>
      </c>
      <c r="C25" s="202" t="s">
        <v>464</v>
      </c>
      <c r="D25" s="202">
        <v>24</v>
      </c>
    </row>
    <row r="26" spans="1:4" x14ac:dyDescent="0.25">
      <c r="A26" s="212">
        <v>43110</v>
      </c>
      <c r="B26" s="202" t="s">
        <v>245</v>
      </c>
      <c r="C26" s="202" t="s">
        <v>469</v>
      </c>
      <c r="D26" s="202">
        <v>25</v>
      </c>
    </row>
    <row r="27" spans="1:4" x14ac:dyDescent="0.25">
      <c r="A27" s="212">
        <v>43141</v>
      </c>
      <c r="B27" s="202" t="s">
        <v>245</v>
      </c>
      <c r="C27" s="202" t="s">
        <v>476</v>
      </c>
      <c r="D27" s="202">
        <v>26</v>
      </c>
    </row>
    <row r="28" spans="1:4" x14ac:dyDescent="0.25">
      <c r="A28" s="212">
        <v>43141</v>
      </c>
      <c r="B28" s="202" t="s">
        <v>245</v>
      </c>
      <c r="C28" s="202" t="s">
        <v>478</v>
      </c>
      <c r="D28" s="202">
        <v>27</v>
      </c>
    </row>
    <row r="29" spans="1:4" x14ac:dyDescent="0.25">
      <c r="A29" s="212">
        <v>43141</v>
      </c>
      <c r="B29" s="202" t="s">
        <v>245</v>
      </c>
      <c r="C29" s="202" t="s">
        <v>480</v>
      </c>
      <c r="D29" s="202">
        <v>28</v>
      </c>
    </row>
    <row r="30" spans="1:4" x14ac:dyDescent="0.25">
      <c r="A30" s="212">
        <v>43141</v>
      </c>
      <c r="B30" s="202" t="s">
        <v>245</v>
      </c>
      <c r="C30" s="202" t="s">
        <v>482</v>
      </c>
      <c r="D30" s="202">
        <v>29</v>
      </c>
    </row>
    <row r="31" spans="1:4" x14ac:dyDescent="0.25">
      <c r="A31" s="212">
        <v>43169</v>
      </c>
      <c r="B31" s="202" t="s">
        <v>245</v>
      </c>
      <c r="C31" s="202" t="s">
        <v>490</v>
      </c>
      <c r="D31" s="202">
        <v>30</v>
      </c>
    </row>
    <row r="32" spans="1:4" x14ac:dyDescent="0.25">
      <c r="A32" s="212">
        <v>43169</v>
      </c>
      <c r="B32" s="202" t="s">
        <v>245</v>
      </c>
      <c r="C32" s="202" t="s">
        <v>491</v>
      </c>
      <c r="D32" s="202">
        <v>31</v>
      </c>
    </row>
    <row r="33" spans="1:4" x14ac:dyDescent="0.25">
      <c r="A33" s="212">
        <v>43200</v>
      </c>
      <c r="B33" s="202" t="s">
        <v>245</v>
      </c>
      <c r="C33" s="202" t="s">
        <v>495</v>
      </c>
      <c r="D33" s="202">
        <v>32</v>
      </c>
    </row>
    <row r="34" spans="1:4" x14ac:dyDescent="0.25">
      <c r="A34" s="212">
        <v>43230</v>
      </c>
      <c r="B34" s="202" t="s">
        <v>245</v>
      </c>
      <c r="C34" s="202" t="s">
        <v>502</v>
      </c>
      <c r="D34" s="202">
        <v>33</v>
      </c>
    </row>
    <row r="35" spans="1:4" x14ac:dyDescent="0.25">
      <c r="A35" s="212">
        <v>43353</v>
      </c>
      <c r="B35" s="202" t="s">
        <v>245</v>
      </c>
      <c r="C35" s="202" t="s">
        <v>507</v>
      </c>
      <c r="D35" s="202">
        <v>34</v>
      </c>
    </row>
    <row r="36" spans="1:4" x14ac:dyDescent="0.25">
      <c r="A36" s="212">
        <v>43353</v>
      </c>
      <c r="B36" s="202" t="s">
        <v>245</v>
      </c>
      <c r="C36" s="202" t="s">
        <v>508</v>
      </c>
      <c r="D36" s="202">
        <v>35</v>
      </c>
    </row>
    <row r="37" spans="1:4" x14ac:dyDescent="0.25">
      <c r="A37" s="212">
        <v>43353</v>
      </c>
      <c r="B37" s="202" t="s">
        <v>245</v>
      </c>
      <c r="C37" s="327" t="s">
        <v>511</v>
      </c>
      <c r="D37" s="202">
        <v>36</v>
      </c>
    </row>
    <row r="38" spans="1:4" x14ac:dyDescent="0.25">
      <c r="A38" s="212">
        <v>43353</v>
      </c>
      <c r="B38" s="202" t="s">
        <v>245</v>
      </c>
      <c r="C38" s="202" t="s">
        <v>512</v>
      </c>
      <c r="D38" s="202">
        <v>37</v>
      </c>
    </row>
    <row r="39" spans="1:4" x14ac:dyDescent="0.25">
      <c r="A39" s="212">
        <v>43353</v>
      </c>
      <c r="B39" s="202" t="s">
        <v>245</v>
      </c>
      <c r="C39" s="202" t="s">
        <v>513</v>
      </c>
      <c r="D39" s="202">
        <v>38</v>
      </c>
    </row>
    <row r="40" spans="1:4" x14ac:dyDescent="0.25">
      <c r="A40" s="212">
        <v>43353</v>
      </c>
      <c r="B40" s="202" t="s">
        <v>245</v>
      </c>
      <c r="C40" s="202" t="s">
        <v>515</v>
      </c>
      <c r="D40" s="202">
        <v>39</v>
      </c>
    </row>
    <row r="41" spans="1:4" x14ac:dyDescent="0.25">
      <c r="A41" s="211" t="s">
        <v>519</v>
      </c>
      <c r="B41" s="202" t="s">
        <v>245</v>
      </c>
      <c r="C41" s="202" t="s">
        <v>518</v>
      </c>
      <c r="D41" s="202">
        <v>40</v>
      </c>
    </row>
    <row r="42" spans="1:4" x14ac:dyDescent="0.25">
      <c r="A42" s="211" t="s">
        <v>522</v>
      </c>
      <c r="B42" s="202" t="s">
        <v>259</v>
      </c>
      <c r="C42" s="202" t="s">
        <v>523</v>
      </c>
      <c r="D42" s="202">
        <v>41</v>
      </c>
    </row>
    <row r="43" spans="1:4" x14ac:dyDescent="0.25">
      <c r="A43" s="211" t="s">
        <v>539</v>
      </c>
      <c r="B43" s="202" t="s">
        <v>245</v>
      </c>
      <c r="C43" s="202" t="s">
        <v>540</v>
      </c>
      <c r="D43" s="202">
        <v>42</v>
      </c>
    </row>
    <row r="44" spans="1:4" x14ac:dyDescent="0.25">
      <c r="A44" s="211" t="s">
        <v>571</v>
      </c>
      <c r="B44" s="202" t="s">
        <v>245</v>
      </c>
      <c r="C44" s="202" t="s">
        <v>570</v>
      </c>
      <c r="D44" s="202">
        <v>43</v>
      </c>
    </row>
    <row r="45" spans="1:4" x14ac:dyDescent="0.25">
      <c r="A45" s="211" t="s">
        <v>571</v>
      </c>
      <c r="B45" s="202" t="s">
        <v>259</v>
      </c>
      <c r="C45" s="202" t="s">
        <v>573</v>
      </c>
      <c r="D45" s="202">
        <v>44</v>
      </c>
    </row>
    <row r="46" spans="1:4" x14ac:dyDescent="0.25">
      <c r="A46" s="211" t="s">
        <v>571</v>
      </c>
      <c r="B46" s="202" t="s">
        <v>245</v>
      </c>
      <c r="C46" s="202" t="s">
        <v>576</v>
      </c>
      <c r="D46" s="202">
        <v>45</v>
      </c>
    </row>
    <row r="47" spans="1:4" x14ac:dyDescent="0.25">
      <c r="A47" s="212">
        <v>43262</v>
      </c>
      <c r="B47" s="202" t="s">
        <v>245</v>
      </c>
      <c r="C47" s="202" t="s">
        <v>243</v>
      </c>
      <c r="D47" s="202">
        <v>46</v>
      </c>
    </row>
    <row r="48" spans="1:4" x14ac:dyDescent="0.25">
      <c r="A48" s="212">
        <v>43262</v>
      </c>
      <c r="B48" s="202" t="s">
        <v>245</v>
      </c>
      <c r="C48" s="202" t="s">
        <v>112</v>
      </c>
      <c r="D48" s="202">
        <v>47</v>
      </c>
    </row>
    <row r="49" spans="1:4" x14ac:dyDescent="0.25">
      <c r="A49" s="211" t="s">
        <v>765</v>
      </c>
      <c r="B49" s="202" t="s">
        <v>245</v>
      </c>
      <c r="C49" s="202" t="s">
        <v>764</v>
      </c>
      <c r="D49" s="202">
        <v>48</v>
      </c>
    </row>
    <row r="50" spans="1:4" x14ac:dyDescent="0.25">
      <c r="A50" s="211" t="s">
        <v>773</v>
      </c>
      <c r="B50" s="202" t="s">
        <v>245</v>
      </c>
      <c r="C50" s="202" t="s">
        <v>774</v>
      </c>
      <c r="D50" s="202">
        <v>49</v>
      </c>
    </row>
    <row r="51" spans="1:4" x14ac:dyDescent="0.25">
      <c r="A51" s="212">
        <v>43263</v>
      </c>
      <c r="B51" s="202" t="s">
        <v>245</v>
      </c>
      <c r="C51" s="202" t="s">
        <v>817</v>
      </c>
      <c r="D51" s="202">
        <v>50</v>
      </c>
    </row>
    <row r="52" spans="1:4" ht="27" x14ac:dyDescent="0.25">
      <c r="A52" s="319">
        <v>43293</v>
      </c>
      <c r="B52" s="202" t="s">
        <v>819</v>
      </c>
      <c r="C52" s="158" t="s">
        <v>823</v>
      </c>
      <c r="D52" s="202">
        <v>51</v>
      </c>
    </row>
    <row r="53" spans="1:4" x14ac:dyDescent="0.25">
      <c r="A53" s="319">
        <v>43385</v>
      </c>
      <c r="B53" s="202" t="s">
        <v>245</v>
      </c>
      <c r="C53" s="202" t="s">
        <v>826</v>
      </c>
      <c r="D53" s="202">
        <v>52</v>
      </c>
    </row>
    <row r="54" spans="1:4" x14ac:dyDescent="0.25">
      <c r="A54" s="326" t="s">
        <v>830</v>
      </c>
      <c r="B54" s="202" t="s">
        <v>245</v>
      </c>
      <c r="C54" s="202" t="s">
        <v>827</v>
      </c>
      <c r="D54" s="202">
        <v>53</v>
      </c>
    </row>
    <row r="55" spans="1:4" x14ac:dyDescent="0.25">
      <c r="A55" s="326" t="s">
        <v>831</v>
      </c>
      <c r="B55" s="202" t="s">
        <v>819</v>
      </c>
      <c r="C55" s="202" t="s">
        <v>829</v>
      </c>
      <c r="D55" s="202">
        <v>54</v>
      </c>
    </row>
    <row r="56" spans="1:4" ht="67.5" x14ac:dyDescent="0.25">
      <c r="A56" s="326" t="s">
        <v>832</v>
      </c>
      <c r="B56" s="202" t="s">
        <v>819</v>
      </c>
      <c r="C56" s="328" t="s">
        <v>858</v>
      </c>
      <c r="D56" s="202">
        <v>55</v>
      </c>
    </row>
    <row r="57" spans="1:4" x14ac:dyDescent="0.25">
      <c r="A57" s="326" t="s">
        <v>861</v>
      </c>
      <c r="B57" s="202" t="s">
        <v>245</v>
      </c>
      <c r="C57" t="s">
        <v>862</v>
      </c>
      <c r="D57" s="202">
        <v>56</v>
      </c>
    </row>
    <row r="58" spans="1:4" x14ac:dyDescent="0.25">
      <c r="A58" s="319">
        <v>43467</v>
      </c>
      <c r="B58" s="202" t="s">
        <v>245</v>
      </c>
      <c r="C58" s="202" t="s">
        <v>867</v>
      </c>
      <c r="D58" s="202">
        <v>57</v>
      </c>
    </row>
    <row r="59" spans="1:4" x14ac:dyDescent="0.25">
      <c r="A59" s="319">
        <v>43587</v>
      </c>
      <c r="B59" s="202" t="s">
        <v>245</v>
      </c>
      <c r="C59" s="202" t="s">
        <v>1282</v>
      </c>
      <c r="D59" s="202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Algorithm</vt:lpstr>
      <vt:lpstr>Interpolation - AgeGender</vt:lpstr>
      <vt:lpstr>Excess</vt:lpstr>
      <vt:lpstr>Interpolation - SumInsured</vt:lpstr>
      <vt:lpstr>Interpolation - NCD</vt:lpstr>
      <vt:lpstr>Factors</vt:lpstr>
      <vt:lpstr>Multiplicative rules</vt:lpstr>
      <vt:lpstr>Additive rules</vt:lpstr>
      <vt:lpstr>Adjustments</vt:lpstr>
      <vt:lpstr>Accessory</vt:lpstr>
      <vt:lpstr>CapCup</vt:lpstr>
      <vt:lpstr>Taxes and Fees</vt:lpstr>
      <vt:lpstr>Discounts</vt:lpstr>
      <vt:lpstr>Plan-&gt;Component</vt:lpstr>
      <vt:lpstr>Policy+DXP Variations</vt:lpstr>
      <vt:lpstr>Environment</vt:lpstr>
      <vt:lpstr>Hist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2018-01-24T09:22:56Z</dcterms:created>
  <dc:creator>Yanina Sanko</dc:creator>
  <cp:lastModifiedBy>Maryia Kobets</cp:lastModifiedBy>
  <dcterms:modified xsi:type="dcterms:W3CDTF">2019-02-05T02:25:29Z</dcterms:modified>
</cp:coreProperties>
</file>