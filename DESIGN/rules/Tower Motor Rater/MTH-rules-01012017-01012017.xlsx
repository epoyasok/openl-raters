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910" yWindow="6600" windowWidth="14580" windowHeight="1170" tabRatio="944" firstSheet="3" activeTab="16"/>
  </bookViews>
  <sheets>
    <sheet name="Algorithm" sheetId="5" r:id="rId1"/>
    <sheet name="Interpolation - AgeGender" sheetId="4" r:id="rId2"/>
    <sheet name="Interpolation - SumInsured" sheetId="9" r:id="rId3"/>
    <sheet name="Interpolation - NCD" sheetId="21" r:id="rId4"/>
    <sheet name="Factors" sheetId="6" r:id="rId5"/>
    <sheet name="Multiplicative rules" sheetId="7" r:id="rId6"/>
    <sheet name="Contents+Accessory " sheetId="3" r:id="rId7"/>
    <sheet name="CapCup" sheetId="23" r:id="rId8"/>
    <sheet name="Adjustments" sheetId="12" r:id="rId9"/>
    <sheet name="Excess" sheetId="13" r:id="rId10"/>
    <sheet name="Taxes and Fees" sheetId="25" r:id="rId11"/>
    <sheet name="Discounts" sheetId="20" r:id="rId12"/>
    <sheet name="Plan-&gt;Component" sheetId="8" state="hidden" r:id="rId13"/>
    <sheet name="Temp" sheetId="16" state="hidden" r:id="rId14"/>
    <sheet name="Policy Variations" sheetId="24" r:id="rId15"/>
    <sheet name="Environment" sheetId="10" r:id="rId16"/>
    <sheet name="Hist" sheetId="18" r:id="rId17"/>
  </sheets>
  <externalReferences>
    <externalReference r:id="rId18"/>
  </externalReferences>
  <definedNames>
    <definedName name="AuthorisedDriversMotor">'[1]List Data Motor'!$Y$5:$Y$7</definedName>
    <definedName name="PaymentFrequencyMotor">'[1]List Data Motor'!$W$5:$W$8</definedName>
    <definedName name="PostCodeMotor">'[1]Modifiers Motor'!$BL$5:$BL$1067</definedName>
  </definedNames>
  <calcPr calcId="145621"/>
</workbook>
</file>

<file path=xl/calcChain.xml><?xml version="1.0" encoding="utf-8"?>
<calcChain xmlns="http://schemas.openxmlformats.org/spreadsheetml/2006/main">
  <c r="O63" i="4" l="1"/>
  <c r="P63" i="4" s="1"/>
  <c r="O62" i="4"/>
  <c r="P62" i="4" s="1"/>
  <c r="O61" i="4"/>
  <c r="P61" i="4" s="1"/>
  <c r="O60" i="4"/>
  <c r="P60" i="4" s="1"/>
  <c r="O59" i="4"/>
  <c r="P59" i="4" s="1"/>
  <c r="O58" i="4"/>
  <c r="P58" i="4" s="1"/>
  <c r="O57" i="4"/>
  <c r="P57" i="4" s="1"/>
  <c r="O56" i="4"/>
  <c r="P56" i="4" s="1"/>
  <c r="P55" i="4"/>
  <c r="O55" i="4"/>
  <c r="O54" i="4"/>
  <c r="P54" i="4" s="1"/>
  <c r="O53" i="4"/>
  <c r="P53" i="4" s="1"/>
  <c r="O52" i="4"/>
  <c r="P52" i="4" s="1"/>
  <c r="O51" i="4"/>
  <c r="P51" i="4" s="1"/>
  <c r="O50" i="4"/>
  <c r="P50" i="4" s="1"/>
  <c r="O49" i="4"/>
  <c r="P49" i="4" s="1"/>
  <c r="O48" i="4"/>
  <c r="P48" i="4" s="1"/>
  <c r="O47" i="4"/>
  <c r="P47" i="4" s="1"/>
  <c r="O46" i="4"/>
  <c r="P46" i="4" s="1"/>
  <c r="O45" i="4"/>
  <c r="P45" i="4" s="1"/>
  <c r="O44" i="4"/>
  <c r="P44" i="4" s="1"/>
  <c r="O43" i="4"/>
  <c r="P43" i="4" s="1"/>
  <c r="O42" i="4"/>
  <c r="P42" i="4" s="1"/>
  <c r="O41" i="4"/>
  <c r="P41" i="4" s="1"/>
  <c r="K63" i="4" l="1"/>
  <c r="L63" i="4" s="1"/>
  <c r="G63" i="4"/>
  <c r="H63" i="4" s="1"/>
  <c r="K62" i="4" l="1"/>
  <c r="L62" i="4" s="1"/>
  <c r="G62" i="4"/>
  <c r="H62" i="4" s="1"/>
  <c r="K61" i="4"/>
  <c r="L61" i="4" s="1"/>
  <c r="G61" i="4"/>
  <c r="H61" i="4" s="1"/>
  <c r="K60" i="4"/>
  <c r="L60" i="4" s="1"/>
  <c r="G60" i="4"/>
  <c r="H60" i="4" s="1"/>
  <c r="K59" i="4"/>
  <c r="L59" i="4" s="1"/>
  <c r="G59" i="4"/>
  <c r="H59" i="4" s="1"/>
  <c r="K58" i="4"/>
  <c r="L58" i="4" s="1"/>
  <c r="G58" i="4"/>
  <c r="H58" i="4" s="1"/>
  <c r="K57" i="4"/>
  <c r="L57" i="4" s="1"/>
  <c r="G57" i="4"/>
  <c r="H57" i="4" s="1"/>
  <c r="K56" i="4"/>
  <c r="L56" i="4" s="1"/>
  <c r="G56" i="4"/>
  <c r="H56" i="4" s="1"/>
  <c r="K55" i="4"/>
  <c r="L55" i="4" s="1"/>
  <c r="G55" i="4"/>
  <c r="H55" i="4" s="1"/>
  <c r="K54" i="4"/>
  <c r="L54" i="4" s="1"/>
  <c r="G54" i="4"/>
  <c r="H54" i="4" s="1"/>
  <c r="K53" i="4"/>
  <c r="L53" i="4" s="1"/>
  <c r="G53" i="4"/>
  <c r="H53" i="4" s="1"/>
  <c r="K52" i="4"/>
  <c r="L52" i="4" s="1"/>
  <c r="G52" i="4"/>
  <c r="H52" i="4" s="1"/>
  <c r="K51" i="4"/>
  <c r="L51" i="4" s="1"/>
  <c r="G51" i="4"/>
  <c r="H51" i="4" s="1"/>
  <c r="K50" i="4"/>
  <c r="L50" i="4" s="1"/>
  <c r="G50" i="4"/>
  <c r="H50" i="4" s="1"/>
  <c r="K49" i="4"/>
  <c r="L49" i="4" s="1"/>
  <c r="G49" i="4"/>
  <c r="H49" i="4" s="1"/>
  <c r="K48" i="4"/>
  <c r="L48" i="4" s="1"/>
  <c r="G48" i="4"/>
  <c r="H48" i="4" s="1"/>
  <c r="K47" i="4"/>
  <c r="L47" i="4" s="1"/>
  <c r="G47" i="4"/>
  <c r="H47" i="4" s="1"/>
  <c r="K46" i="4"/>
  <c r="L46" i="4" s="1"/>
  <c r="G46" i="4"/>
  <c r="H46" i="4" s="1"/>
  <c r="K45" i="4"/>
  <c r="L45" i="4" s="1"/>
  <c r="G45" i="4"/>
  <c r="H45" i="4" s="1"/>
  <c r="K44" i="4"/>
  <c r="L44" i="4" s="1"/>
  <c r="G44" i="4"/>
  <c r="H44" i="4" s="1"/>
  <c r="K43" i="4"/>
  <c r="L43" i="4" s="1"/>
  <c r="G43" i="4"/>
  <c r="H43" i="4" s="1"/>
  <c r="K42" i="4"/>
  <c r="L42" i="4" s="1"/>
  <c r="G42" i="4"/>
  <c r="H42" i="4" s="1"/>
  <c r="K41" i="4"/>
  <c r="L41" i="4" s="1"/>
  <c r="G41" i="4"/>
  <c r="H41" i="4" s="1"/>
  <c r="D70" i="4" l="1"/>
</calcChain>
</file>

<file path=xl/comments1.xml><?xml version="1.0" encoding="utf-8"?>
<comments xmlns="http://schemas.openxmlformats.org/spreadsheetml/2006/main">
  <authors>
    <author>Maryia Kobets</author>
  </authors>
  <commentList>
    <comment ref="C29" authorId="0">
      <text>
        <r>
          <rPr>
            <sz val="9"/>
            <color indexed="81"/>
            <rFont val="Tahoma"/>
            <family val="2"/>
          </rPr>
          <t xml:space="preserve">Multiplicative base, 
Sum insured factor, 
Age-gender factor, Multiplicative rules
</t>
        </r>
      </text>
    </comment>
    <comment ref="C32" authorId="0">
      <text>
        <r>
          <rPr>
            <sz val="9"/>
            <color indexed="81"/>
            <rFont val="Tahoma"/>
            <family val="2"/>
          </rPr>
          <t>VehicleGlassFactor, TrailerFactor, RentalVehicleFactor</t>
        </r>
      </text>
    </comment>
  </commentList>
</comments>
</file>

<file path=xl/sharedStrings.xml><?xml version="1.0" encoding="utf-8"?>
<sst xmlns="http://schemas.openxmlformats.org/spreadsheetml/2006/main" count="1129" uniqueCount="775">
  <si>
    <t>Environment</t>
  </si>
  <si>
    <t>dependency</t>
  </si>
  <si>
    <t>Third Party Only</t>
  </si>
  <si>
    <t>Comprehensive</t>
  </si>
  <si>
    <t>Step</t>
  </si>
  <si>
    <t>Formula</t>
  </si>
  <si>
    <t>Policy</t>
  </si>
  <si>
    <t>= PolicyID</t>
  </si>
  <si>
    <t>MultiplicativeBase</t>
  </si>
  <si>
    <t>AgeGenderFactor</t>
  </si>
  <si>
    <t>SumInsuredFactor</t>
  </si>
  <si>
    <t>= MultiplicativeBase ( coverageName )</t>
  </si>
  <si>
    <t>Coverage Name</t>
  </si>
  <si>
    <t>Base</t>
  </si>
  <si>
    <t>Fire and Theft</t>
  </si>
  <si>
    <t>C1</t>
  </si>
  <si>
    <t>C2</t>
  </si>
  <si>
    <t>RET1</t>
  </si>
  <si>
    <t>Age From</t>
  </si>
  <si>
    <t>Age To</t>
  </si>
  <si>
    <t>HC1</t>
  </si>
  <si>
    <t>HC2</t>
  </si>
  <si>
    <t>gender</t>
  </si>
  <si>
    <t>Gender</t>
  </si>
  <si>
    <t>RETURN</t>
  </si>
  <si>
    <t>InitialCall</t>
  </si>
  <si>
    <t>= $InitialCall.factor</t>
  </si>
  <si>
    <t>InterpolationFactor</t>
  </si>
  <si>
    <t>Integer minAge</t>
  </si>
  <si>
    <t>Integer maxAge</t>
  </si>
  <si>
    <t>floorValue</t>
  </si>
  <si>
    <t>Double factor</t>
  </si>
  <si>
    <t>FloorFactor</t>
  </si>
  <si>
    <t>Region</t>
  </si>
  <si>
    <t>1-44</t>
  </si>
  <si>
    <t>Factor</t>
  </si>
  <si>
    <t>Plan Name</t>
  </si>
  <si>
    <t>AMA</t>
  </si>
  <si>
    <t>Sum Insured % From</t>
  </si>
  <si>
    <t xml:space="preserve">sumInsuredPercent &gt; minPercent </t>
  </si>
  <si>
    <t>sumInsuredPercent &lt;= maxPercent</t>
  </si>
  <si>
    <t>Sum Insured %  To</t>
  </si>
  <si>
    <t>C3</t>
  </si>
  <si>
    <t>planName</t>
  </si>
  <si>
    <t>PlanName</t>
  </si>
  <si>
    <t>Double minPercent</t>
  </si>
  <si>
    <t>Double maxPercent</t>
  </si>
  <si>
    <t>Exclude Under 25s?</t>
  </si>
  <si>
    <t>Yes</t>
  </si>
  <si>
    <t>No</t>
  </si>
  <si>
    <t>Parking type</t>
  </si>
  <si>
    <t>AMG</t>
  </si>
  <si>
    <t>License Years</t>
  </si>
  <si>
    <t>// need logic to add DWI duration to License Years (see G287 on Component Calculatons sheet)</t>
  </si>
  <si>
    <t>4+</t>
  </si>
  <si>
    <t>CoverTypeFactor</t>
  </si>
  <si>
    <t xml:space="preserve">ParkingTypeFactor </t>
  </si>
  <si>
    <t>Third party cover</t>
  </si>
  <si>
    <t>Fire and theft cover</t>
  </si>
  <si>
    <t>AMB</t>
  </si>
  <si>
    <t>AMS</t>
  </si>
  <si>
    <t>+</t>
  </si>
  <si>
    <t>AMA : Car Comprehensive agreed value</t>
  </si>
  <si>
    <t>AMB : Car Third party only</t>
  </si>
  <si>
    <t>AMG : Car Comprehensive market value</t>
  </si>
  <si>
    <t>AMS : Car Third party fire &amp; theft</t>
  </si>
  <si>
    <t>Plan/Cover</t>
  </si>
  <si>
    <t>Sum Insured From</t>
  </si>
  <si>
    <t>Sum Insured To</t>
  </si>
  <si>
    <t>coverageName</t>
  </si>
  <si>
    <t>CoverageName</t>
  </si>
  <si>
    <r>
      <t xml:space="preserve">SimpleRules Double </t>
    </r>
    <r>
      <rPr>
        <b/>
        <sz val="11"/>
        <rFont val="Franklin Gothic Book"/>
        <family val="2"/>
      </rPr>
      <t>MultiplicativeBase</t>
    </r>
    <r>
      <rPr>
        <sz val="10"/>
        <color theme="0" tint="-0.499984740745262"/>
        <rFont val="Franklin Gothic Book"/>
        <family val="2"/>
      </rPr>
      <t xml:space="preserve"> ( CoverageName coverageName )</t>
    </r>
  </si>
  <si>
    <t>ComponentFacror</t>
  </si>
  <si>
    <t>PercentOfUse</t>
  </si>
  <si>
    <t>AdjustedBaseRate</t>
  </si>
  <si>
    <t>MultiplicativeRules</t>
  </si>
  <si>
    <t>= product ( $MultiplicativeBase:$MultiplicativeRules )</t>
  </si>
  <si>
    <t xml:space="preserve">UndiscountedPremiumBeforeAdjustments </t>
  </si>
  <si>
    <t>DaysSinceBaseDate</t>
  </si>
  <si>
    <t>Inflation factor</t>
  </si>
  <si>
    <t>= max ( 1,  pow ( 1 + 0.035, $DaysSinceBaseDate/365) )</t>
  </si>
  <si>
    <t>Payment Frequency</t>
  </si>
  <si>
    <t xml:space="preserve">PaymentFrequencyFactor </t>
  </si>
  <si>
    <t>Agent adjustment</t>
  </si>
  <si>
    <t>AgentAdjustment</t>
  </si>
  <si>
    <t>Agent</t>
  </si>
  <si>
    <t>Loading</t>
  </si>
  <si>
    <t>AMD</t>
  </si>
  <si>
    <t>ANZ</t>
  </si>
  <si>
    <t>AVA</t>
  </si>
  <si>
    <t>BPK</t>
  </si>
  <si>
    <t>BRP</t>
  </si>
  <si>
    <t>EGC</t>
  </si>
  <si>
    <t>FPA</t>
  </si>
  <si>
    <t>GLS</t>
  </si>
  <si>
    <t>KBS</t>
  </si>
  <si>
    <t>MOR</t>
  </si>
  <si>
    <t>NBG</t>
  </si>
  <si>
    <t>NHL</t>
  </si>
  <si>
    <t>NIC</t>
  </si>
  <si>
    <t>OTS</t>
  </si>
  <si>
    <t>POI</t>
  </si>
  <si>
    <t>SPT</t>
  </si>
  <si>
    <t>TAS</t>
  </si>
  <si>
    <t>THR</t>
  </si>
  <si>
    <t>TOW</t>
  </si>
  <si>
    <t>TSS</t>
  </si>
  <si>
    <t>WMM</t>
  </si>
  <si>
    <t>Marketing factor</t>
  </si>
  <si>
    <t>CeilingFactor</t>
  </si>
  <si>
    <t>= ( 1 - $InterpolationFactor ) * $FloorFactor + $InterpolationFactor * $CeilingFactor</t>
  </si>
  <si>
    <t>ceilingValue</t>
  </si>
  <si>
    <t>Comprehensive cover</t>
  </si>
  <si>
    <t>Comprehensive cover/
Own damage cover</t>
  </si>
  <si>
    <t>Rating steps</t>
  </si>
  <si>
    <t>Multiplicative base</t>
  </si>
  <si>
    <t>Age-gender factor</t>
  </si>
  <si>
    <t>Multiplicative rules</t>
  </si>
  <si>
    <t>Sum insured factor</t>
  </si>
  <si>
    <t>Additive components of cover</t>
  </si>
  <si>
    <t>Accessories</t>
  </si>
  <si>
    <t>Undiscounted premium before further adjustments</t>
  </si>
  <si>
    <t>Optimisation factor</t>
  </si>
  <si>
    <t>Excess factor</t>
  </si>
  <si>
    <t>NCB factor</t>
  </si>
  <si>
    <t>Payment frequency factor</t>
  </si>
  <si>
    <t>Undiscounted company premium</t>
  </si>
  <si>
    <t>FSL</t>
  </si>
  <si>
    <t>GST</t>
  </si>
  <si>
    <t>Undiscounted customer premium</t>
  </si>
  <si>
    <t>Promotional discount</t>
  </si>
  <si>
    <t>Package discount</t>
  </si>
  <si>
    <t>Total discount amount</t>
  </si>
  <si>
    <t>Discounted customer premium</t>
  </si>
  <si>
    <t>4 = 1 + 2 + 3</t>
  </si>
  <si>
    <t>6 = 4 * 5</t>
  </si>
  <si>
    <t>9 = 6 + 7 + 8</t>
  </si>
  <si>
    <t>11 = 9 -10</t>
  </si>
  <si>
    <t>Sum Insured</t>
  </si>
  <si>
    <t>floorValueSumInsured</t>
  </si>
  <si>
    <t>ceilingValueSumInsured</t>
  </si>
  <si>
    <t>SI1_E1</t>
  </si>
  <si>
    <t>SI2_E1</t>
  </si>
  <si>
    <t>SI1_E2</t>
  </si>
  <si>
    <t>SI2_E2</t>
  </si>
  <si>
    <t>floorValueExcess</t>
  </si>
  <si>
    <t>ceilingValueExcess</t>
  </si>
  <si>
    <t>SIInterpolationFactor</t>
  </si>
  <si>
    <t>ExcessIInterpolationFactor</t>
  </si>
  <si>
    <t>= ( sumInsured - $floorValueSumInsured ) / ( $ceilingValueSumInsured - $floorValueSumInsured )</t>
  </si>
  <si>
    <t>= ( excess - $floorValueExcess ) / ( $ceilingValueExcess - $floorValueExcess )</t>
  </si>
  <si>
    <t>SI_E1</t>
  </si>
  <si>
    <t>SI_E2</t>
  </si>
  <si>
    <t>= $SI1_E2 * ( 1 - $SIInterpolationFactor ) + $SI2_E2 * $SIInterpolationFactor</t>
  </si>
  <si>
    <t>= $SI1_E1 * ( 1 - $SIInterpolationFactor ) + $SI2_E1 * $SIInterpolationFactor</t>
  </si>
  <si>
    <t>= 1 - ( $SI_E1 * ( 1 - $ExcessIInterpolationFactor ) + $SI_E2 * $ExcessIInterpolationFactor )</t>
  </si>
  <si>
    <t>sumInsured &gt;= floorSumInsured</t>
  </si>
  <si>
    <t>excess &gt;= floorExcess</t>
  </si>
  <si>
    <t>excess &lt; ceilingExcess</t>
  </si>
  <si>
    <t>sumInsured &lt; ceilingSumInsured</t>
  </si>
  <si>
    <t>Double ceilingSumInsured</t>
  </si>
  <si>
    <t>Double floorSumInsured</t>
  </si>
  <si>
    <t>Double minSumInsured</t>
  </si>
  <si>
    <t>Double maxSumInsured</t>
  </si>
  <si>
    <t>Integer floorExcess</t>
  </si>
  <si>
    <t>Integer ceilingExcess</t>
  </si>
  <si>
    <t>= $InitialCall.floorValue1</t>
  </si>
  <si>
    <t>= $InitialCall.ceilingValue1</t>
  </si>
  <si>
    <t>= $InitialCall.floorValue2</t>
  </si>
  <si>
    <t>= $InitialCall.ceilingValue2</t>
  </si>
  <si>
    <t>Plan</t>
  </si>
  <si>
    <t>= getValues ( AMACompNames )</t>
  </si>
  <si>
    <t>Return List</t>
  </si>
  <si>
    <t>= getValues ( AMBCompNames )</t>
  </si>
  <si>
    <t>= getValues ( AMGCompNames )</t>
  </si>
  <si>
    <t>= getValues ( AMSCompNames )</t>
  </si>
  <si>
    <t>= CoverList ( planName )</t>
  </si>
  <si>
    <t>ListOfPremiumComponents</t>
  </si>
  <si>
    <t>ComponentsPremium</t>
  </si>
  <si>
    <r>
      <t>//</t>
    </r>
    <r>
      <rPr>
        <sz val="10"/>
        <color theme="0" tint="-0.34998626667073579"/>
        <rFont val="Franklin Gothic Book"/>
        <family val="2"/>
      </rPr>
      <t xml:space="preserve">Rules String[] </t>
    </r>
    <r>
      <rPr>
        <b/>
        <sz val="10"/>
        <rFont val="Franklin Gothic Book"/>
        <family val="2"/>
      </rPr>
      <t xml:space="preserve"> </t>
    </r>
    <r>
      <rPr>
        <b/>
        <sz val="11"/>
        <rFont val="Franklin Gothic Book"/>
        <family val="2"/>
      </rPr>
      <t>CoverList</t>
    </r>
    <r>
      <rPr>
        <b/>
        <sz val="10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( PlanName planName )</t>
    </r>
  </si>
  <si>
    <t>Third Party Only,Fire and Theft</t>
  </si>
  <si>
    <t>Third Party Only,Fire and Theft,Comprehensive</t>
  </si>
  <si>
    <t>the another way how to determine list:</t>
  </si>
  <si>
    <t>currentAge</t>
  </si>
  <si>
    <t>dr1</t>
  </si>
  <si>
    <t>dr2</t>
  </si>
  <si>
    <t>dr3</t>
  </si>
  <si>
    <t xml:space="preserve"> LicenseYears</t>
  </si>
  <si>
    <t>Garage</t>
  </si>
  <si>
    <r>
      <t xml:space="preserve">SimpleRules Double </t>
    </r>
    <r>
      <rPr>
        <b/>
        <sz val="11"/>
        <rFont val="Franklin Gothic Book"/>
        <family val="2"/>
      </rPr>
      <t>PaymentFrequencyFactor</t>
    </r>
    <r>
      <rPr>
        <sz val="10"/>
        <color theme="0" tint="-0.499984740745262"/>
        <rFont val="Franklin Gothic Book"/>
        <family val="2"/>
      </rPr>
      <t xml:space="preserve"> ( PaymentPlan paymentPlan )</t>
    </r>
  </si>
  <si>
    <t>sumInsured &gt;= minSumInsured</t>
  </si>
  <si>
    <t>sumInsured &lt; maxSumInsured</t>
  </si>
  <si>
    <t>new InterpolationFactor ( null, null, $C1.minAge, $C2.maxAge, factor  )</t>
  </si>
  <si>
    <t>new InterpolationFactor ( $C1.minSumInsured, $C2.maxSumInsured, null, null, factor  )</t>
  </si>
  <si>
    <t>new InterpolationFactor ($C1.floorSumInsured, $C2.ceilingSumInsured, $HC1.floorExcess, $HC2.ceilingExcess, factor)</t>
  </si>
  <si>
    <t>= PaymentFrequencyFactor ( paymentPlan )</t>
  </si>
  <si>
    <t>Duration</t>
  </si>
  <si>
    <t xml:space="preserve">NCBFactor </t>
  </si>
  <si>
    <t>NCB Grade</t>
  </si>
  <si>
    <t>date</t>
  </si>
  <si>
    <t>who</t>
  </si>
  <si>
    <t>description</t>
  </si>
  <si>
    <t>version</t>
  </si>
  <si>
    <t>UndiscountedCompanyPremium</t>
  </si>
  <si>
    <t>InflationFactor</t>
  </si>
  <si>
    <r>
      <t xml:space="preserve">Spreadsheet Double </t>
    </r>
    <r>
      <rPr>
        <b/>
        <sz val="11"/>
        <rFont val="Franklin Gothic Book"/>
        <family val="2"/>
      </rPr>
      <t>InflationFactor</t>
    </r>
    <r>
      <rPr>
        <sz val="10"/>
        <color theme="0" tint="-0.499984740745262"/>
        <rFont val="Franklin Gothic Book"/>
        <family val="2"/>
      </rPr>
      <t xml:space="preserve"> ( Date policyEffectiveDate )</t>
    </r>
  </si>
  <si>
    <t>ExcessFactor</t>
  </si>
  <si>
    <t>= InflationFactor ( policyEffectiveDate )</t>
  </si>
  <si>
    <t>Boolean</t>
  </si>
  <si>
    <r>
      <t>*</t>
    </r>
    <r>
      <rPr>
        <sz val="10"/>
        <color theme="0" tint="-0.34998626667073579"/>
        <rFont val="Franklin Gothic Book"/>
        <family val="2"/>
      </rPr>
      <t>SimpleRules Double</t>
    </r>
    <r>
      <rPr>
        <b/>
        <sz val="10"/>
        <rFont val="Franklin Gothic Book"/>
        <family val="2"/>
      </rPr>
      <t xml:space="preserve"> NCBFactor</t>
    </r>
    <r>
      <rPr>
        <sz val="10"/>
        <color theme="0" tint="-0.34998626667073579"/>
        <rFont val="Franklin Gothic Book"/>
        <family val="2"/>
      </rPr>
      <t xml:space="preserve"> ( Integer NCBGrade )</t>
    </r>
  </si>
  <si>
    <t>DistanceFactor</t>
  </si>
  <si>
    <r>
      <t>*</t>
    </r>
    <r>
      <rPr>
        <sz val="10"/>
        <color theme="0" tint="-0.34998626667073579"/>
        <rFont val="Franklin Gothic Book"/>
        <family val="2"/>
      </rPr>
      <t xml:space="preserve">SimpleRules Double </t>
    </r>
    <r>
      <rPr>
        <b/>
        <sz val="10"/>
        <rFont val="Franklin Gothic Book"/>
        <family val="2"/>
      </rPr>
      <t xml:space="preserve">LicenseYearsFactor </t>
    </r>
    <r>
      <rPr>
        <sz val="10"/>
        <color theme="0" tint="-0.34998626667073579"/>
        <rFont val="Franklin Gothic Book"/>
        <family val="2"/>
      </rPr>
      <t>( Integer licenseYears )</t>
    </r>
  </si>
  <si>
    <r>
      <t>*</t>
    </r>
    <r>
      <rPr>
        <sz val="10"/>
        <color theme="0" tint="-0.34998626667073579"/>
        <rFont val="Franklin Gothic Book"/>
        <family val="2"/>
      </rPr>
      <t xml:space="preserve">SimpleRules Double </t>
    </r>
    <r>
      <rPr>
        <b/>
        <sz val="10"/>
        <rFont val="Franklin Gothic Book"/>
        <family val="2"/>
      </rPr>
      <t xml:space="preserve">ParkingTypeFactor </t>
    </r>
    <r>
      <rPr>
        <sz val="10"/>
        <color theme="0" tint="-0.34998626667073579"/>
        <rFont val="Franklin Gothic Book"/>
        <family val="2"/>
      </rPr>
      <t>( ParkingType parkingType, PlanName planName )</t>
    </r>
  </si>
  <si>
    <r>
      <t>*</t>
    </r>
    <r>
      <rPr>
        <sz val="10"/>
        <color theme="0" tint="-0.34998626667073579"/>
        <rFont val="Franklin Gothic Book"/>
        <family val="2"/>
      </rPr>
      <t xml:space="preserve">SimpleRules Double </t>
    </r>
    <r>
      <rPr>
        <b/>
        <sz val="10"/>
        <rFont val="Franklin Gothic Book"/>
        <family val="2"/>
      </rPr>
      <t xml:space="preserve">ExcludeUnder25sFactor </t>
    </r>
    <r>
      <rPr>
        <sz val="10"/>
        <color theme="0" tint="-0.34998626667073579"/>
        <rFont val="Franklin Gothic Book"/>
        <family val="2"/>
      </rPr>
      <t>( Boolean excludeUnder25s )</t>
    </r>
  </si>
  <si>
    <r>
      <t>*</t>
    </r>
    <r>
      <rPr>
        <sz val="10"/>
        <color theme="0" tint="-0.34998626667073579"/>
        <rFont val="Franklin Gothic Book"/>
        <family val="2"/>
      </rPr>
      <t>Rules Double</t>
    </r>
    <r>
      <rPr>
        <b/>
        <sz val="10"/>
        <rFont val="Franklin Gothic Book"/>
        <family val="2"/>
      </rPr>
      <t xml:space="preserve"> CoverTypeFactor</t>
    </r>
    <r>
      <rPr>
        <sz val="10"/>
        <color theme="0" tint="-0.34998626667073579"/>
        <rFont val="Franklin Gothic Book"/>
        <family val="2"/>
      </rPr>
      <t xml:space="preserve"> ( PlanName planName, Double sumInsuredPercent )</t>
    </r>
  </si>
  <si>
    <t>currentAge &lt; maxAge</t>
  </si>
  <si>
    <t xml:space="preserve">currentAge &gt;= minAge </t>
  </si>
  <si>
    <t>= DistanceFactor ( distanceDriven, coverageName )</t>
  </si>
  <si>
    <t>CoverageOutput</t>
  </si>
  <si>
    <t>ComplexOutput</t>
  </si>
  <si>
    <t>= round ( product ( $UndiscountedPremiumBeforeAdjustments:$PaymentFrequencyFactor) , 2)</t>
  </si>
  <si>
    <t xml:space="preserve">= dayDiff ( policyEffectiveDate, toDate ("6/20/2019") ) </t>
  </si>
  <si>
    <t>=  DetermineVehiclePremium ( policy, vehicle )</t>
  </si>
  <si>
    <t>VehiclePremiumCalc</t>
  </si>
  <si>
    <r>
      <t xml:space="preserve">*SimpleRules Double </t>
    </r>
    <r>
      <rPr>
        <b/>
        <sz val="11"/>
        <rFont val="Franklin Gothic Book"/>
        <family val="2"/>
      </rPr>
      <t>AgentAdjustment</t>
    </r>
    <r>
      <rPr>
        <sz val="10"/>
        <color theme="0" tint="-0.499984740745262"/>
        <rFont val="Franklin Gothic Book"/>
        <family val="2"/>
      </rPr>
      <t xml:space="preserve"> ( String agent )</t>
    </r>
  </si>
  <si>
    <t>= new ComplexOutput ( $CoverageOutput, varId )</t>
  </si>
  <si>
    <t>MonthlyPremium</t>
  </si>
  <si>
    <t>Vyacheslav</t>
  </si>
  <si>
    <t>UndiscountedCustomerPremium</t>
  </si>
  <si>
    <t>PackageDiscount</t>
  </si>
  <si>
    <t>= 1 - PackageDiscount ( policyCount )</t>
  </si>
  <si>
    <t>PackageDiscountAmount</t>
  </si>
  <si>
    <t>= round ( $PackageDiscount * $UndiscountedCustomerPremium, 2 )</t>
  </si>
  <si>
    <t>TotalDiscountAmount</t>
  </si>
  <si>
    <t>= round ( $UndiscountedCustomerPremium - $TotalDiscountAmount, 2 )</t>
  </si>
  <si>
    <t xml:space="preserve">PreviousAnnualisedCustomerPremium </t>
  </si>
  <si>
    <t>= transactionType == "New Business" ? 0 : prevAnnualisedCustomerPremium</t>
  </si>
  <si>
    <t>PreviousDeltaAmount</t>
  </si>
  <si>
    <t>PreviousDeltaPercent</t>
  </si>
  <si>
    <t>=  $PreviousAnnualisedCustomerPremium == 0 ? 0 : round ( abs ( $PreviousDeltaAmount / $PreviousAnnualisedCustomerPremium) * 100 , 2 )</t>
  </si>
  <si>
    <t>PremDeltaMinAmount</t>
  </si>
  <si>
    <t>=  $PreviousAnnualisedCustomerPremium == 0 ? $PreviousDeltaAmount : CupCapAdj ( $PreviousDeltaAmount , $PreviousDeltaPercent, "DiffMin" )</t>
  </si>
  <si>
    <t>PremDeltaMaxAmount</t>
  </si>
  <si>
    <t>=  $PreviousAnnualisedCustomerPremium == 0 ? $PreviousDeltaAmount : CupCapAdj ( $PreviousDeltaAmount , $PreviousDeltaPercent, "DiffMax" )</t>
  </si>
  <si>
    <t>DeltaAdjustmentMinAmount</t>
  </si>
  <si>
    <t>= $PreviousAnnualisedCustomerPremium == 0 ? $PreviousDeltaAmount : CupCapAdj ( $PreviousDeltaAmount , $PreviousDeltaPercent, "TargetMin" )</t>
  </si>
  <si>
    <t>DeltaAdjustmentMaxAmount</t>
  </si>
  <si>
    <t>=  $PreviousAnnualisedCustomerPremium == 0 ? $PreviousDeltaAmount : CupCapAdj ( $PreviousDeltaAmount , $PreviousDeltaPercent, "TargetMax" )</t>
  </si>
  <si>
    <t>DeltaAdjustment</t>
  </si>
  <si>
    <t>=  $PreviousAnnualisedCustomerPremium == 0 ? 0 : ( $PreviousDeltaAmount - $PremDeltaMinAmount ) / ( $PremDeltaMaxAmount - $PremDeltaMinAmount) * ( $DeltaAdjustmentMaxAmount - $DeltaAdjustmentMinAmount ) + $DeltaAdjustmentMinAmount</t>
  </si>
  <si>
    <t>PrevUndiscountedCustomerPremium</t>
  </si>
  <si>
    <t>= prevUndiscountedCustomerPremium</t>
  </si>
  <si>
    <t>NewUndiscountedPremium</t>
  </si>
  <si>
    <t>CapCup</t>
  </si>
  <si>
    <r>
      <t xml:space="preserve">= $PrevUndiscountedCustomerPremium == 0 ? $PreviousAnnualisedCustomerPremium == 0 ? 0 : round ($DeltaAdjustment, 2) : $NewUndiscountedPremium &gt;=0 ? round ($NewUndiscountedPremium, 2) : round ( $PreviousAnnualisedCustomerPremium  / </t>
    </r>
    <r>
      <rPr>
        <sz val="10"/>
        <color theme="1"/>
        <rFont val="Franklin Gothic Book"/>
        <family val="2"/>
      </rPr>
      <t>$PrevUndiscountedCustomerPremium * $NewUndiscountedPremium, 2)</t>
    </r>
  </si>
  <si>
    <r>
      <rPr>
        <sz val="10"/>
        <color theme="0" tint="-0.34998626667073579"/>
        <rFont val="Franklin Gothic Book"/>
        <family val="2"/>
      </rPr>
      <t>SimpleLookup Double</t>
    </r>
    <r>
      <rPr>
        <b/>
        <sz val="10"/>
        <rFont val="Franklin Gothic Book"/>
        <family val="2"/>
      </rPr>
      <t xml:space="preserve"> CupCapAdj</t>
    </r>
    <r>
      <rPr>
        <sz val="10"/>
        <color theme="0" tint="-0.34998626667073579"/>
        <rFont val="Franklin Gothic Book"/>
        <family val="2"/>
      </rPr>
      <t xml:space="preserve"> ( double exp_Prem_DDIFF, double exp_Prem_PDIFF, String type )</t>
    </r>
  </si>
  <si>
    <t>EXP_PREM_DDIFF from to</t>
  </si>
  <si>
    <t>EXP_PREM_PDIFF from to</t>
  </si>
  <si>
    <t>DiffMin</t>
  </si>
  <si>
    <t>DiffMax</t>
  </si>
  <si>
    <t>TargetMin</t>
  </si>
  <si>
    <t>TargetMax</t>
  </si>
  <si>
    <t>&lt;=  -750</t>
  </si>
  <si>
    <t>[ 0 .. 10 )</t>
  </si>
  <si>
    <t>( -750 .. -500 ]</t>
  </si>
  <si>
    <t>( -500  .. -200 ]</t>
  </si>
  <si>
    <t>( -200 .. -31 ]</t>
  </si>
  <si>
    <t>( -31 .. -10 ]</t>
  </si>
  <si>
    <t>( -10  .. 25 )</t>
  </si>
  <si>
    <t>[ 25 .. 200 )</t>
  </si>
  <si>
    <t>[ 200 .. 500 )</t>
  </si>
  <si>
    <t>[ 500 .. 750 )</t>
  </si>
  <si>
    <t>750+</t>
  </si>
  <si>
    <t>[ 10 .. 50 )</t>
  </si>
  <si>
    <t>[ 50 .. 100 )</t>
  </si>
  <si>
    <t>[ 100 .. 200 )</t>
  </si>
  <si>
    <t>200+</t>
  </si>
  <si>
    <t>Campaign code</t>
  </si>
  <si>
    <t>Discount</t>
  </si>
  <si>
    <t>pressy1701</t>
  </si>
  <si>
    <t>pressy1706</t>
  </si>
  <si>
    <t>Packages Held</t>
  </si>
  <si>
    <t>3+</t>
  </si>
  <si>
    <r>
      <t>*</t>
    </r>
    <r>
      <rPr>
        <sz val="10"/>
        <color theme="0" tint="-0.34998626667073579"/>
        <rFont val="Franklin Gothic Book"/>
        <family val="2"/>
      </rPr>
      <t>SimpleRules Double</t>
    </r>
    <r>
      <rPr>
        <b/>
        <sz val="10"/>
        <rFont val="Franklin Gothic Book"/>
        <family val="2"/>
      </rPr>
      <t xml:space="preserve"> RegionFactor</t>
    </r>
    <r>
      <rPr>
        <sz val="10"/>
        <color theme="0" tint="-0.34998626667073579"/>
        <rFont val="Franklin Gothic Book"/>
        <family val="2"/>
      </rPr>
      <t xml:space="preserve"> ( Integer ratingRegion )</t>
    </r>
  </si>
  <si>
    <t>7-9</t>
  </si>
  <si>
    <r>
      <t xml:space="preserve">*SimpleRules Double </t>
    </r>
    <r>
      <rPr>
        <b/>
        <sz val="11"/>
        <rFont val="Franklin Gothic Book"/>
        <family val="2"/>
      </rPr>
      <t>MarketingAdjustment</t>
    </r>
    <r>
      <rPr>
        <sz val="10"/>
        <color theme="0" tint="-0.499984740745262"/>
        <rFont val="Franklin Gothic Book"/>
        <family val="2"/>
      </rPr>
      <t xml:space="preserve"> ( Integer duration,  Integer ratingRegion )</t>
    </r>
  </si>
  <si>
    <t>GARAGE</t>
  </si>
  <si>
    <t>Comp_Agreed</t>
  </si>
  <si>
    <t>Comp_Market</t>
  </si>
  <si>
    <t>TPFT</t>
  </si>
  <si>
    <r>
      <t>*</t>
    </r>
    <r>
      <rPr>
        <sz val="10"/>
        <color theme="0" tint="-0.34998626667073579"/>
        <rFont val="Franklin Gothic Book"/>
        <family val="2"/>
      </rPr>
      <t xml:space="preserve">Rules String[] </t>
    </r>
    <r>
      <rPr>
        <b/>
        <sz val="10"/>
        <rFont val="Franklin Gothic Book"/>
        <family val="2"/>
      </rPr>
      <t xml:space="preserve"> </t>
    </r>
    <r>
      <rPr>
        <b/>
        <sz val="11"/>
        <rFont val="Franklin Gothic Book"/>
        <family val="2"/>
      </rPr>
      <t>CoverList</t>
    </r>
    <r>
      <rPr>
        <b/>
        <sz val="10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( PlanName planName )</t>
    </r>
  </si>
  <si>
    <r>
      <t xml:space="preserve">SimpleRules Double </t>
    </r>
    <r>
      <rPr>
        <b/>
        <sz val="11"/>
        <rFont val="Franklin Gothic Book"/>
        <family val="2"/>
      </rPr>
      <t>DefaultFactorNoDrivers</t>
    </r>
    <r>
      <rPr>
        <sz val="10"/>
        <color theme="0" tint="-0.499984740745262"/>
        <rFont val="Franklin Gothic Book"/>
        <family val="2"/>
      </rPr>
      <t xml:space="preserve"> ( CoverageName coverageName )</t>
    </r>
  </si>
  <si>
    <t xml:space="preserve">= planName == "TFO" ? 0 : 8.45 </t>
  </si>
  <si>
    <t>ONL</t>
  </si>
  <si>
    <r>
      <t xml:space="preserve">SimpleRules Double </t>
    </r>
    <r>
      <rPr>
        <b/>
        <sz val="11"/>
        <rFont val="Franklin Gothic Book"/>
        <family val="2"/>
      </rPr>
      <t>CampaignDiscountPercent</t>
    </r>
    <r>
      <rPr>
        <sz val="10"/>
        <color theme="0" tint="-0.499984740745262"/>
        <rFont val="Franklin Gothic Book"/>
        <family val="2"/>
      </rPr>
      <t xml:space="preserve"> ( String campaignCode )</t>
    </r>
  </si>
  <si>
    <t>PromotionalDiscountPercent</t>
  </si>
  <si>
    <t>pressy1801cash</t>
  </si>
  <si>
    <r>
      <t xml:space="preserve">SimpleRules Double </t>
    </r>
    <r>
      <rPr>
        <b/>
        <sz val="11"/>
        <rFont val="Franklin Gothic Book"/>
        <family val="2"/>
      </rPr>
      <t>CampaignDiscountAbsolute</t>
    </r>
    <r>
      <rPr>
        <sz val="10"/>
        <color theme="0" tint="-0.499984740745262"/>
        <rFont val="Franklin Gothic Book"/>
        <family val="2"/>
      </rPr>
      <t xml:space="preserve"> ( String campaignCode )</t>
    </r>
  </si>
  <si>
    <t>= CampaignDiscountAbsolute ( campaignCode )</t>
  </si>
  <si>
    <t>DiscountAbsolute</t>
  </si>
  <si>
    <t>=  $Formula$UndiscountedCompanyPremium ( $VehiclePremiumCalc )</t>
  </si>
  <si>
    <t>= round (($UndiscountedCompanyPremium / 12), 2 )</t>
  </si>
  <si>
    <t>= new CoverageOutput[] {new CoverageOutput ("MainCoverage", $UndiscountedCompanyPremium, $MonthlyPremium)}</t>
  </si>
  <si>
    <t>= round ( 0.15 * ( $UndiscountedCompanyPremium + $FSL ), 2 )</t>
  </si>
  <si>
    <t>= round ( $UndiscountedCompanyPremium + $FSL + $GST, 2 )</t>
  </si>
  <si>
    <t>Discount %</t>
  </si>
  <si>
    <t>Discount $</t>
  </si>
  <si>
    <t>= CampaignDiscountPercent ( campaignCode )</t>
  </si>
  <si>
    <t>Aged Claims from</t>
  </si>
  <si>
    <t>Aged Claims to</t>
  </si>
  <si>
    <t>NCD</t>
  </si>
  <si>
    <t>agedClaims &gt;= minAgedClaims</t>
  </si>
  <si>
    <t>Double minAgedClaims</t>
  </si>
  <si>
    <t>agedClaims &lt; maxAgedClaims</t>
  </si>
  <si>
    <t>Double maxAgedClaims</t>
  </si>
  <si>
    <t>new InterpolationFactor ( $C1.minAgedClaims, $C2.maxAgedClaims, null, null, factor  )</t>
  </si>
  <si>
    <t>AgedClaims</t>
  </si>
  <si>
    <t>NCBFactor</t>
  </si>
  <si>
    <t>= round ( $NCBFactor, 4 )</t>
  </si>
  <si>
    <t>= round ( $AdjustedBaseRate, 2)</t>
  </si>
  <si>
    <t>ClaimsFloorValue</t>
  </si>
  <si>
    <t>ClaimsCeilingValue</t>
  </si>
  <si>
    <t>= ( agedClaims - $ClaimsFloorValue ) / ( $ClaimsCeilingValue - $ClaimsFloorValue )</t>
  </si>
  <si>
    <t>NCDFloorValue</t>
  </si>
  <si>
    <t>NCDCeilingValue</t>
  </si>
  <si>
    <t>TotalClaimsYear1</t>
  </si>
  <si>
    <t>TotalClaimsYear2</t>
  </si>
  <si>
    <t>TotalClaimsYear3</t>
  </si>
  <si>
    <t>= ( $NCDCeilingValue - $NCDFloorValue) * $InterpolationFactor + $NCDFloorValue</t>
  </si>
  <si>
    <r>
      <t xml:space="preserve">Spreadsheet Double </t>
    </r>
    <r>
      <rPr>
        <b/>
        <sz val="11"/>
        <rFont val="Franklin Gothic Book"/>
        <family val="2"/>
      </rPr>
      <t>NCDInterpolation</t>
    </r>
    <r>
      <rPr>
        <sz val="10"/>
        <color theme="0" tint="-0.499984740745262"/>
        <rFont val="Franklin Gothic Book"/>
        <family val="2"/>
      </rPr>
      <t xml:space="preserve"> ( Double agedClaims )</t>
    </r>
  </si>
  <si>
    <t>= NCDInterpolationCalc ( agedClaims )</t>
  </si>
  <si>
    <r>
      <rPr>
        <sz val="10"/>
        <color theme="0" tint="-0.34998626667073579"/>
        <rFont val="Franklin Gothic Book"/>
        <family val="2"/>
      </rPr>
      <t>Rules InterpolationFactor</t>
    </r>
    <r>
      <rPr>
        <b/>
        <sz val="10"/>
        <rFont val="Franklin Gothic Book"/>
        <family val="2"/>
      </rPr>
      <t xml:space="preserve"> </t>
    </r>
    <r>
      <rPr>
        <b/>
        <sz val="11"/>
        <rFont val="Franklin Gothic Book"/>
        <family val="2"/>
      </rPr>
      <t>NCDInterpolationCalc</t>
    </r>
    <r>
      <rPr>
        <sz val="10"/>
        <color theme="0" tint="-0.34998626667073579"/>
        <rFont val="Franklin Gothic Book"/>
        <family val="2"/>
      </rPr>
      <t xml:space="preserve"> ( Double agedClaims )</t>
    </r>
  </si>
  <si>
    <t>= NCDInterpolationCalc ( $ClaimsCeilingValue ).factor</t>
  </si>
  <si>
    <t>TotalPromotionalDiscounts</t>
  </si>
  <si>
    <t>AgentCampaignDiscounts</t>
  </si>
  <si>
    <t>= AgentFactor ( agent ) ? 0 : AgentDiscount ( agent )</t>
  </si>
  <si>
    <t>= $PromotionalDiscountPercent + $AgentCampaignDiscounts</t>
  </si>
  <si>
    <t>TotalPromotionalDiscountsAmount</t>
  </si>
  <si>
    <t>= round ( $TotalPromotionalDiscounts * $UndiscountedCustomerPremium, 2 )</t>
  </si>
  <si>
    <t>CustomerPremiumAfterDiscount</t>
  </si>
  <si>
    <t>Roadside</t>
  </si>
  <si>
    <t>UndiscountedCompanyPremiumRoadside</t>
  </si>
  <si>
    <t>GSTRoadside</t>
  </si>
  <si>
    <t>= round ( 0.15 * $UndiscountedCompanyPremiumRoadside, 2)</t>
  </si>
  <si>
    <t>UndiscountedCoveragePremiumRoadside</t>
  </si>
  <si>
    <t>PromotionalDiscountAmountRoadside</t>
  </si>
  <si>
    <t>= round ( $Roadside, 2)</t>
  </si>
  <si>
    <t>= round ( $UndiscountedCompanyPremiumRoadside + $GSTRoadside, 2)</t>
  </si>
  <si>
    <t>PackageDiscountAmountRoadside</t>
  </si>
  <si>
    <t>= round ( $PackageDiscount * $UndiscountedCoveragePremiumRoadside, 2 )</t>
  </si>
  <si>
    <t>TotalDiscountAmountRoadside</t>
  </si>
  <si>
    <t>= round ( $PromotionalDiscountAmountRoadside + $PackageDiscountAmountRoadside, 2)</t>
  </si>
  <si>
    <t>CustomerPremiumAfterDiscountRoadside</t>
  </si>
  <si>
    <t>= round ( $UndiscountedCoveragePremiumRoadside - $TotalDiscountAmountRoadside, 2)</t>
  </si>
  <si>
    <t>TotalUndiscountedCustomerPremium</t>
  </si>
  <si>
    <t>= round ( $UndiscountedCustomerPremium + $UndiscountedCoveragePremiumRoadside, 2)</t>
  </si>
  <si>
    <t>TotalCustomerPremiumAfterDiscount</t>
  </si>
  <si>
    <t>= round ( $CustomerPremiumAfterDiscount + $CustomerPremiumAfterDiscountRoadside, 2)</t>
  </si>
  <si>
    <t>= $PreviousAnnualisedCustomerPremium == 0 ? 0 : $TotalCustomerPremiumAfterDiscount - $PreviousAnnualisedCustomerPremium</t>
  </si>
  <si>
    <t>= round ( $TotalUndiscountedCustomerPremium - $PrevUndiscountedCustomerPremium, 2)</t>
  </si>
  <si>
    <t>GrossCustomerPremiumAfterCappingCupping</t>
  </si>
  <si>
    <t>NetPremiumAfterCapCup</t>
  </si>
  <si>
    <t>UWCoverageAdjustmentPercentage</t>
  </si>
  <si>
    <t>= UWLoadingPercent</t>
  </si>
  <si>
    <t>UnderwritingAdjustments</t>
  </si>
  <si>
    <t>= round ( $UWCoverageAdjustmentPercentage * $NetPremiumAfterCapCup, 2)</t>
  </si>
  <si>
    <t>PremiumLessLeviesGSTPlusUWloading</t>
  </si>
  <si>
    <t>= $NetPremiumAfterCapCup + $UnderwritingAdjustments</t>
  </si>
  <si>
    <t xml:space="preserve">= $GrossCustomerPremiumAfterCappingCupping - $FSL - ($GrossCustomerPremiumAfterCappingCupping - $GrossCustomerPremiumAfterCappingCupping / 1.15) </t>
  </si>
  <si>
    <t>= RoadWiseFactor ( vehicle.optionalCoverages, policyType )</t>
  </si>
  <si>
    <t>= $UndiscountedCoveragePremiumRoadside * $TotalPromotionalDiscounts</t>
  </si>
  <si>
    <t>PremiumAfterCapCupNetOfTaxesAndLevies</t>
  </si>
  <si>
    <t>= round ( $NetPremiumAfterCapCup, 4 )</t>
  </si>
  <si>
    <t>PremiumAfterCapCupNetOfTaxesAndLeviesNetOfRoadside</t>
  </si>
  <si>
    <t>FinalRoadsideExclGST</t>
  </si>
  <si>
    <t>PremiumAdjustment</t>
  </si>
  <si>
    <t>= round ( $UnderwritingAdjustments, 2 )</t>
  </si>
  <si>
    <t>ActualPremium</t>
  </si>
  <si>
    <t>= round ( $PremiumAfterCapCupNetOfTaxesAndLevies + $PremiumAdjustment, 2 )</t>
  </si>
  <si>
    <t>Levies</t>
  </si>
  <si>
    <t>= $FSL</t>
  </si>
  <si>
    <t>Tax</t>
  </si>
  <si>
    <t>CustomerPremium</t>
  </si>
  <si>
    <t>= $DiscountAbsolute * 1.15</t>
  </si>
  <si>
    <t>PromotialDiscountsImmutable</t>
  </si>
  <si>
    <t>CustomerPremiumPlusPromotialDiscountsImmutable</t>
  </si>
  <si>
    <t>= $CustomerPremium + $PromotialDiscountsImmutable</t>
  </si>
  <si>
    <t>PromotialDiscountsAfterUWadj</t>
  </si>
  <si>
    <t>PackageDiscountAfterUWAdj</t>
  </si>
  <si>
    <t>UndiscountedPremium</t>
  </si>
  <si>
    <t>= round ( sum ( $ActualPremium:$Tax ), 2 )</t>
  </si>
  <si>
    <t>= round ( sum ( $ActualPremium, $Levies) * 0.15, 2 )</t>
  </si>
  <si>
    <t xml:space="preserve">= round ( sum ( $CustomerPremiumPlusPromotialDiscountsImmutable:$PackageDiscountAfterUWAdj ), 2 ) </t>
  </si>
  <si>
    <t xml:space="preserve">= round ( $PremiumAfterCapCupNetOfTaxesAndLevies - min ( $Roadside, $CustomerPremiumAfterDiscountRoadside / 1.15), 2 ) </t>
  </si>
  <si>
    <t>= $PremiumAfterCapCupNetOfTaxesAndLevies - $PremiumAfterCapCupNetOfTaxesAndLeviesNetOfRoadside</t>
  </si>
  <si>
    <t>MainCoveragePrem</t>
  </si>
  <si>
    <t>MainCoverageAdj</t>
  </si>
  <si>
    <t>MainCoverageActPrem</t>
  </si>
  <si>
    <t>MainCoverageLevies</t>
  </si>
  <si>
    <t>MainCoverageTax</t>
  </si>
  <si>
    <t>MainCoverageCustPrem</t>
  </si>
  <si>
    <t>RoadsideCoveragePrem</t>
  </si>
  <si>
    <t>RoadsideCoverageActPrem</t>
  </si>
  <si>
    <t>RoadsideCoverageTax</t>
  </si>
  <si>
    <t>RoadsideCoverageCustPrem</t>
  </si>
  <si>
    <t>= round ( $FinalRoadsideExclGST, 2)</t>
  </si>
  <si>
    <t>= round ( round ( $PremiumAfterCapCupNetOfTaxesAndLevies, 2) - $RoadsideCoveragePrem, 2)</t>
  </si>
  <si>
    <t>= round ( $PremiumAdjustment, 2)</t>
  </si>
  <si>
    <t>= $MainCoveragePrem + $MainCoverageAdj</t>
  </si>
  <si>
    <t>= $Levies</t>
  </si>
  <si>
    <t>= $RoadsideCoveragePrem</t>
  </si>
  <si>
    <t>= $RoadsideCoverageActPrem + $RoadsideCoverageTax</t>
  </si>
  <si>
    <t>= round ( sum ( $MainCoverageActPrem, $MainCoverageLevies ) * 0.15, 2 )</t>
  </si>
  <si>
    <t>= sum ( $MainCoverageActPrem:$MainCoverageTax )</t>
  </si>
  <si>
    <t>= round ( $RoadsideCoverageActPrem * 0.15, 2)</t>
  </si>
  <si>
    <t>= applyCupCap ?  ($PreviousAnnualisedCustomerPremium == 0) ? $TotalCustomerPremiumAfterDiscount : $PreviousAnnualisedCustomerPremium  + $CapCup : $TotalCustomerPremiumAfterDiscount</t>
  </si>
  <si>
    <t>= round ( $TotalPromotionalDiscountsAmount + $PackageDiscountAmount + $DiscountAbsolute * 1.15, 2 )</t>
  </si>
  <si>
    <t>= round ( $CustomerPremiumPlusPromotialDiscountsImmutable / ( 1 - sum ( $TotalPromotionalDiscounts, $PackageDiscount)) * $TotalPromotionalDiscounts, 2 )</t>
  </si>
  <si>
    <t>= round ( $CustomerPremiumPlusPromotialDiscountsImmutable / ( 1 - sum ($TotalPromotionalDiscounts, $PackageDiscount)) * $PackageDiscount, 2 )</t>
  </si>
  <si>
    <r>
      <t>//</t>
    </r>
    <r>
      <rPr>
        <sz val="10"/>
        <color theme="0" tint="-0.34998626667073579"/>
        <rFont val="Franklin Gothic Book"/>
        <family val="2"/>
      </rPr>
      <t>Spreadsheet SpreadsheetResult</t>
    </r>
    <r>
      <rPr>
        <sz val="10"/>
        <rFont val="Franklin Gothic Book"/>
        <family val="2"/>
      </rPr>
      <t xml:space="preserve"> </t>
    </r>
    <r>
      <rPr>
        <b/>
        <sz val="11"/>
        <rFont val="Franklin Gothic Book"/>
        <family val="2"/>
      </rPr>
      <t>PolicyPremium</t>
    </r>
    <r>
      <rPr>
        <sz val="11"/>
        <color theme="0" tint="-0.34998626667073579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( Policy policy , String varId )</t>
    </r>
  </si>
  <si>
    <t>Tax/Fee Name</t>
  </si>
  <si>
    <t>= DetermineMainCoveragePremium ( policy, vehicle )</t>
  </si>
  <si>
    <r>
      <t xml:space="preserve">Spreadsheet SpreadsheetResult </t>
    </r>
    <r>
      <rPr>
        <b/>
        <sz val="11"/>
        <rFont val="Franklin Gothic Book"/>
        <family val="2"/>
      </rPr>
      <t>DetermineMainCoveragePremium</t>
    </r>
    <r>
      <rPr>
        <sz val="10"/>
        <color theme="0" tint="-0.499984740745262"/>
        <rFont val="Franklin Gothic Book"/>
        <family val="2"/>
      </rPr>
      <t xml:space="preserve"> ( Policy policy, Vehicle vehicle )</t>
    </r>
  </si>
  <si>
    <t>Main</t>
  </si>
  <si>
    <t>= round ( previousAnnualisedCustomerPremium /prevUndiscountedCustomerPremium * newUndiscountedPremium, 2)</t>
  </si>
  <si>
    <t>= round ( deltaAdjustment, 2 )</t>
  </si>
  <si>
    <t xml:space="preserve">= round ( newUndiscountedPremium, 2) </t>
  </si>
  <si>
    <t>= $Formula$GrossCustomerPremiumAfterCappingCupping ($CapCup)</t>
  </si>
  <si>
    <t>TPO</t>
  </si>
  <si>
    <t>Distance Code</t>
  </si>
  <si>
    <r>
      <t xml:space="preserve">*SimpleRules Double </t>
    </r>
    <r>
      <rPr>
        <b/>
        <sz val="11"/>
        <rFont val="Franklin Gothic Book"/>
        <family val="2"/>
      </rPr>
      <t>PackageDiscount</t>
    </r>
    <r>
      <rPr>
        <sz val="10"/>
        <color theme="0" tint="-0.499984740745262"/>
        <rFont val="Franklin Gothic Book"/>
        <family val="2"/>
      </rPr>
      <t xml:space="preserve"> ( Integer policyCount )</t>
    </r>
  </si>
  <si>
    <r>
      <t xml:space="preserve">*SimpleRules Boolean </t>
    </r>
    <r>
      <rPr>
        <b/>
        <sz val="11"/>
        <rFont val="Franklin Gothic Book"/>
        <family val="2"/>
      </rPr>
      <t>AgentFactor</t>
    </r>
    <r>
      <rPr>
        <sz val="10"/>
        <color theme="0" tint="-0.499984740745262"/>
        <rFont val="Franklin Gothic Book"/>
        <family val="2"/>
      </rPr>
      <t xml:space="preserve"> ( String agent )</t>
    </r>
  </si>
  <si>
    <r>
      <t xml:space="preserve">*SimpleRules Double </t>
    </r>
    <r>
      <rPr>
        <b/>
        <sz val="11"/>
        <rFont val="Franklin Gothic Book"/>
        <family val="2"/>
      </rPr>
      <t>AgentDiscount</t>
    </r>
    <r>
      <rPr>
        <sz val="10"/>
        <color theme="0" tint="-0.499984740745262"/>
        <rFont val="Franklin Gothic Book"/>
        <family val="2"/>
      </rPr>
      <t xml:space="preserve"> ( String agent )</t>
    </r>
  </si>
  <si>
    <t>26/09/2018</t>
  </si>
  <si>
    <t>initial</t>
  </si>
  <si>
    <r>
      <t xml:space="preserve">Spreadsheet Double </t>
    </r>
    <r>
      <rPr>
        <b/>
        <sz val="11"/>
        <rFont val="Franklin Gothic Book"/>
        <family val="2"/>
      </rPr>
      <t>AgeGenderFactor</t>
    </r>
    <r>
      <rPr>
        <sz val="10"/>
        <color theme="0" tint="-0.499984740745262"/>
        <rFont val="Franklin Gothic Book"/>
        <family val="2"/>
      </rPr>
      <t xml:space="preserve"> ( Driver driver, CoverageName coverageName, Double percentOfUse, Date policyEffectiveDate  )</t>
    </r>
  </si>
  <si>
    <t>= AgeGenderFactorCalc ( $currentAge, coverageName, gender )</t>
  </si>
  <si>
    <t>= AgeGenderFactorCalc ( $ceilingValue, coverageName, gender ).factor</t>
  </si>
  <si>
    <t>= SumInsuredFactorCalc ( $ceilingValue, coverageName ).factor</t>
  </si>
  <si>
    <r>
      <t xml:space="preserve">SimpleRules Double </t>
    </r>
    <r>
      <rPr>
        <b/>
        <sz val="11"/>
        <rFont val="Franklin Gothic Book"/>
        <family val="2"/>
      </rPr>
      <t>PackageDiscount</t>
    </r>
    <r>
      <rPr>
        <sz val="10"/>
        <color theme="0" tint="-0.499984740745262"/>
        <rFont val="Franklin Gothic Book"/>
        <family val="2"/>
      </rPr>
      <t xml:space="preserve"> ( Integer policyCount )</t>
    </r>
  </si>
  <si>
    <r>
      <rPr>
        <sz val="10"/>
        <color theme="0" tint="-0.34998626667073579"/>
        <rFont val="Franklin Gothic Book"/>
        <family val="2"/>
      </rPr>
      <t>Rules InterpolationFactor</t>
    </r>
    <r>
      <rPr>
        <b/>
        <sz val="10"/>
        <rFont val="Franklin Gothic Book"/>
        <family val="2"/>
      </rPr>
      <t xml:space="preserve"> </t>
    </r>
    <r>
      <rPr>
        <b/>
        <sz val="11"/>
        <rFont val="Franklin Gothic Book"/>
        <family val="2"/>
      </rPr>
      <t>AgeGenderFactorCalc</t>
    </r>
    <r>
      <rPr>
        <sz val="10"/>
        <color theme="0" tint="-0.34998626667073579"/>
        <rFont val="Franklin Gothic Book"/>
        <family val="2"/>
      </rPr>
      <t xml:space="preserve"> ( Integer currentAge, CoverageName coverageName, Gender gender )</t>
    </r>
  </si>
  <si>
    <r>
      <rPr>
        <sz val="10"/>
        <color theme="0" tint="-0.34998626667073579"/>
        <rFont val="Franklin Gothic Book"/>
        <family val="2"/>
      </rPr>
      <t>Rules InterpolationFactor</t>
    </r>
    <r>
      <rPr>
        <b/>
        <sz val="10"/>
        <rFont val="Franklin Gothic Book"/>
        <family val="2"/>
      </rPr>
      <t xml:space="preserve"> </t>
    </r>
    <r>
      <rPr>
        <b/>
        <sz val="11"/>
        <rFont val="Franklin Gothic Book"/>
        <family val="2"/>
      </rPr>
      <t>SumInsuredFactorCalc</t>
    </r>
    <r>
      <rPr>
        <sz val="10"/>
        <color theme="0" tint="-0.34998626667073579"/>
        <rFont val="Franklin Gothic Book"/>
        <family val="2"/>
      </rPr>
      <t xml:space="preserve"> ( Double sumInsured, CoverageName coverageName )</t>
    </r>
  </si>
  <si>
    <r>
      <t xml:space="preserve">Spreadsheet Double </t>
    </r>
    <r>
      <rPr>
        <b/>
        <sz val="11"/>
        <rFont val="Franklin Gothic Book"/>
        <family val="2"/>
      </rPr>
      <t>ExcessFactor</t>
    </r>
    <r>
      <rPr>
        <sz val="10"/>
        <color theme="0" tint="-0.499984740745262"/>
        <rFont val="Franklin Gothic Book"/>
        <family val="2"/>
      </rPr>
      <t xml:space="preserve"> ( Double sumInsured, Integer excess )</t>
    </r>
  </si>
  <si>
    <t>= SIExcessInteraction ( sumInsured, excess )</t>
  </si>
  <si>
    <t xml:space="preserve">= SIExcessInteraction ( $ceilingValueSumInsured, $floorValueExcess ).factor </t>
  </si>
  <si>
    <t xml:space="preserve">= SIExcessInteraction  ( $floorValueSumInsured, $ceilingValueExcess ).factor </t>
  </si>
  <si>
    <t xml:space="preserve">= SIExcessInteraction  ( $ceilingValueSumInsured, $ceilingValueExcess ).factor </t>
  </si>
  <si>
    <r>
      <t>Rules InterpolationFactor</t>
    </r>
    <r>
      <rPr>
        <b/>
        <sz val="10"/>
        <rFont val="Franklin Gothic Book"/>
        <family val="2"/>
      </rPr>
      <t xml:space="preserve"> SIExcessInteraction</t>
    </r>
    <r>
      <rPr>
        <sz val="10"/>
        <color theme="0" tint="-0.499984740745262"/>
        <rFont val="Franklin Gothic Book"/>
        <family val="2"/>
      </rPr>
      <t xml:space="preserve">  ( Double sumInsured, Integer excess ) </t>
    </r>
  </si>
  <si>
    <t>Has Contents?</t>
  </si>
  <si>
    <r>
      <rPr>
        <sz val="10"/>
        <color theme="0" tint="-0.34998626667073579"/>
        <rFont val="Franklin Gothic Book"/>
        <family val="2"/>
      </rPr>
      <t>SimpleRules Double</t>
    </r>
    <r>
      <rPr>
        <b/>
        <sz val="10"/>
        <rFont val="Franklin Gothic Book"/>
        <family val="2"/>
      </rPr>
      <t xml:space="preserve"> CoverTypeFactor</t>
    </r>
    <r>
      <rPr>
        <sz val="10"/>
        <color theme="0" tint="-0.34998626667073579"/>
        <rFont val="Franklin Gothic Book"/>
        <family val="2"/>
      </rPr>
      <t xml:space="preserve"> ( PlanName planName, CoverageName coverageName )</t>
    </r>
  </si>
  <si>
    <t>= CoverTypeFactor ( planName, coverageName )</t>
  </si>
  <si>
    <r>
      <t xml:space="preserve">Spreadsheet Double </t>
    </r>
    <r>
      <rPr>
        <b/>
        <sz val="11"/>
        <rFont val="Franklin Gothic Book"/>
        <family val="2"/>
      </rPr>
      <t>SumInsuredFactor</t>
    </r>
    <r>
      <rPr>
        <sz val="10"/>
        <color theme="0" tint="-0.499984740745262"/>
        <rFont val="Franklin Gothic Book"/>
        <family val="2"/>
      </rPr>
      <t xml:space="preserve"> ( Double sumInsured, CoverageName coverageName )</t>
    </r>
  </si>
  <si>
    <t>= SumInsuredFactorCalc ( sumInsured, coverageName )</t>
  </si>
  <si>
    <t>= coverageName == "Third Party Only" ? 1 : SumInsuredFactor ( sumInsured, coverageName )</t>
  </si>
  <si>
    <t>= round ( $Formula$UndiscountedCustomerPremium ( $Main ), 2 )</t>
  </si>
  <si>
    <t>= round ( $Formula$CustomerPremiumAfterDiscount ( $Main ), 2 )</t>
  </si>
  <si>
    <t>= ( sumInsured - $floorValue ) / ( $ceilingValue - $floorValue )</t>
  </si>
  <si>
    <t>= product ( $CoverTypeFactor:$DistanceFactor )</t>
  </si>
  <si>
    <t>= MultiplicativeRules ( coverageName, planName, parkingType, distanceDriven )</t>
  </si>
  <si>
    <r>
      <t xml:space="preserve">Spreadsheet Double </t>
    </r>
    <r>
      <rPr>
        <b/>
        <sz val="11"/>
        <rFont val="Franklin Gothic Book"/>
        <family val="2"/>
      </rPr>
      <t>MultiplicativeRules</t>
    </r>
    <r>
      <rPr>
        <sz val="10"/>
        <color theme="0" tint="-0.499984740745262"/>
        <rFont val="Franklin Gothic Book"/>
        <family val="2"/>
      </rPr>
      <t xml:space="preserve"> ( CoverageName coverageName, PlanName planName, ParkingType parkingType, DistanceDriven distanceDriven )</t>
    </r>
  </si>
  <si>
    <t>= ExcessFactor ( sumInsured, excess )</t>
  </si>
  <si>
    <t>27/09/2018</t>
  </si>
  <si>
    <t>motorhome only</t>
  </si>
  <si>
    <t>Date minDate</t>
  </si>
  <si>
    <t>Date effective from</t>
  </si>
  <si>
    <t>policyEffectiveDate &gt;= minDate</t>
  </si>
  <si>
    <t>= yearDiff ( policyEffectiveDate, driverDateOfBirth )</t>
  </si>
  <si>
    <t>added null claims logic in NCB Factor</t>
  </si>
  <si>
    <t>changed dependency due to renaming</t>
  </si>
  <si>
    <r>
      <t xml:space="preserve">SimpleLookup Double </t>
    </r>
    <r>
      <rPr>
        <b/>
        <sz val="11"/>
        <rFont val="Franklin Gothic Book"/>
        <family val="2"/>
      </rPr>
      <t>AgentDiscount</t>
    </r>
    <r>
      <rPr>
        <sz val="10"/>
        <color theme="0" tint="-0.499984740745262"/>
        <rFont val="Franklin Gothic Book"/>
        <family val="2"/>
      </rPr>
      <t xml:space="preserve"> ( String producerCd, String typeOfFactor )</t>
    </r>
  </si>
  <si>
    <t>Agent Adjustment</t>
  </si>
  <si>
    <t>Agent Discount</t>
  </si>
  <si>
    <t>twr_phone</t>
  </si>
  <si>
    <t>twr_online</t>
  </si>
  <si>
    <t>tsb_palmerstonnorth</t>
  </si>
  <si>
    <t>= 1 - AgentDiscount ( producerCd, "Agent Adjustment" )</t>
  </si>
  <si>
    <t xml:space="preserve">= AgentDiscount ( producerCd, "Agent Discount"  ) </t>
  </si>
  <si>
    <t>ANNUAL</t>
  </si>
  <si>
    <t>NONANN</t>
  </si>
  <si>
    <t>agent discounts changed as in motor,  PaymentFrequencyFactor</t>
  </si>
  <si>
    <t>11/10/2018</t>
  </si>
  <si>
    <t>changed: Contents from optional coverage</t>
  </si>
  <si>
    <t>15/10/2018</t>
  </si>
  <si>
    <t>drivers on Policy level</t>
  </si>
  <si>
    <r>
      <t xml:space="preserve">Spreadsheet SpreadsheetResult  </t>
    </r>
    <r>
      <rPr>
        <b/>
        <sz val="11"/>
        <rFont val="Franklin Gothic Book"/>
        <family val="2"/>
      </rPr>
      <t>ClaimsCount</t>
    </r>
    <r>
      <rPr>
        <sz val="10"/>
        <color theme="0" tint="-0.499984740745262"/>
        <rFont val="Franklin Gothic Book"/>
        <family val="2"/>
      </rPr>
      <t xml:space="preserve"> ( Driver driver, Date policyEffectiveDate)</t>
    </r>
  </si>
  <si>
    <t>ClaimsCurrentYear_1</t>
  </si>
  <si>
    <t>= length ( lossDamages [select all having ( lossDamageYear == year ( policyEffectiveDate ) ) and driverLossExcessPaid ] )</t>
  </si>
  <si>
    <t>ClaimsPreviousYear_2</t>
  </si>
  <si>
    <t>= length ( lossDamages [select all having ( lossDamageYear == year ( policyEffectiveDate ) - 1 ) and driverLossExcessPaid ] )</t>
  </si>
  <si>
    <t>ClaimsPreviousYear_3</t>
  </si>
  <si>
    <t>= length ( lossDamages [ select all having ( lossDamageYear == year ( policyEffectiveDate ) - 2 ) and driverLossExcessPaid ] )</t>
  </si>
  <si>
    <t>18/10/2018</t>
  </si>
  <si>
    <t>added claims count</t>
  </si>
  <si>
    <t>ClaimsCount</t>
  </si>
  <si>
    <t>= ClaimsCount ( drivers, policyEffectiveDate)</t>
  </si>
  <si>
    <t>= sum ( $Formula$ClaimsCurrentYear_1 ( $ClaimsCount ) )</t>
  </si>
  <si>
    <t>= sum ( $Formula$ClaimsPreviousYear_2 ( $ClaimsCount ) )</t>
  </si>
  <si>
    <t>= sum ( $Formula$ClaimsPreviousYear_3 ( $ClaimsCount ) )</t>
  </si>
  <si>
    <t>22/10/2018</t>
  </si>
  <si>
    <t>added claims count -&gt; algo</t>
  </si>
  <si>
    <t>= NCBFactor ( drivers, policyEffectiveDate )</t>
  </si>
  <si>
    <r>
      <t xml:space="preserve">Spreadsheet Double </t>
    </r>
    <r>
      <rPr>
        <b/>
        <sz val="11"/>
        <rFont val="Franklin Gothic Book"/>
        <family val="2"/>
      </rPr>
      <t>NCBFactor</t>
    </r>
    <r>
      <rPr>
        <sz val="10"/>
        <color theme="0" tint="-0.499984740745262"/>
        <rFont val="Franklin Gothic Book"/>
        <family val="2"/>
      </rPr>
      <t xml:space="preserve"> ( Driver[] drivers, Date policyEffectiveDate )</t>
    </r>
  </si>
  <si>
    <t>23/10/2018</t>
  </si>
  <si>
    <r>
      <t xml:space="preserve">contains (optionalCoverages.coverageName, </t>
    </r>
    <r>
      <rPr>
        <b/>
        <sz val="10"/>
        <color theme="0" tint="-0.499984740745262"/>
        <rFont val="Franklin Gothic Book"/>
        <family val="2"/>
      </rPr>
      <t>"VehicleContents")</t>
    </r>
  </si>
  <si>
    <t>deleted UWLoadingPercent, Contents -&gt; VehicleContents</t>
  </si>
  <si>
    <t>OV7</t>
  </si>
  <si>
    <t>25/10/2018</t>
  </si>
  <si>
    <t xml:space="preserve">added lookup IsOver3_5t </t>
  </si>
  <si>
    <r>
      <rPr>
        <sz val="10"/>
        <color theme="0" tint="-0.34998626667073579"/>
        <rFont val="Franklin Gothic Book"/>
        <family val="2"/>
      </rPr>
      <t>Spreadsheet SpreadsheetResult</t>
    </r>
    <r>
      <rPr>
        <sz val="10"/>
        <rFont val="Franklin Gothic Book"/>
        <family val="2"/>
      </rPr>
      <t xml:space="preserve"> </t>
    </r>
    <r>
      <rPr>
        <b/>
        <sz val="11"/>
        <rFont val="Franklin Gothic Book"/>
        <family val="2"/>
      </rPr>
      <t>PolicyPremium</t>
    </r>
    <r>
      <rPr>
        <sz val="11"/>
        <color theme="0" tint="-0.34998626667073579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( Policy policy )</t>
    </r>
  </si>
  <si>
    <t>Maria</t>
  </si>
  <si>
    <t xml:space="preserve">added RatingResponse </t>
  </si>
  <si>
    <t>rename file</t>
  </si>
  <si>
    <t>29/10/2018</t>
  </si>
  <si>
    <t>model</t>
  </si>
  <si>
    <t>DriversInitialization</t>
  </si>
  <si>
    <t>= DriversInitialization ( drivers )</t>
  </si>
  <si>
    <t>//used for AgeGender factor calculation in case when gender/DY are not filled</t>
  </si>
  <si>
    <r>
      <t xml:space="preserve">Spreadsheet SpreadsheetResult  </t>
    </r>
    <r>
      <rPr>
        <b/>
        <sz val="11"/>
        <rFont val="Franklin Gothic Book"/>
        <family val="2"/>
      </rPr>
      <t>DriversInitialization</t>
    </r>
    <r>
      <rPr>
        <sz val="10"/>
        <color theme="0" tint="-0.499984740745262"/>
        <rFont val="Franklin Gothic Book"/>
        <family val="2"/>
      </rPr>
      <t xml:space="preserve"> ( Driver driver )</t>
    </r>
  </si>
  <si>
    <t>LicenseYears</t>
  </si>
  <si>
    <t>30/10/2018</t>
  </si>
  <si>
    <t>MainNetOfTaxesAndLevies</t>
  </si>
  <si>
    <t>= round ( $NetPremiumAfterCapCup, 2 )</t>
  </si>
  <si>
    <t>GrossCustomerPremiumAfterCapCup</t>
  </si>
  <si>
    <t>CampaignDiscount</t>
  </si>
  <si>
    <t>CampaignDiscountAbsolute</t>
  </si>
  <si>
    <r>
      <t xml:space="preserve">Spreadsheet SpreadsheetResult </t>
    </r>
    <r>
      <rPr>
        <b/>
        <sz val="11"/>
        <rFont val="Franklin Gothic Book"/>
        <family val="2"/>
      </rPr>
      <t>DetermineCapCup</t>
    </r>
    <r>
      <rPr>
        <sz val="10"/>
        <color theme="0" tint="-0.499984740745262"/>
        <rFont val="Franklin Gothic Book"/>
        <family val="2"/>
      </rPr>
      <t xml:space="preserve"> ( Double previousAnnualisedCustomerPremium, Double totalUndiscountedCustomerPremium, Double previousUndiscountedCustomerPremium,  Double totalCustomerPremiumAfterDiscount, TransactionType transactionType )</t>
    </r>
  </si>
  <si>
    <t>= transactionType == "New Business" ? 0 : previousAnnualisedCustomerPremium</t>
  </si>
  <si>
    <t>= transactionType == "Renewal" ? 0 : previousUndiscountedCustomerPremium</t>
  </si>
  <si>
    <t>= $PreviousAnnualisedCustomerPremium  == 0 ? 0 : DeltaAdjustment (totalCustomerPremiumAfterDiscount, $PreviousAnnualisedCustomerPremium)</t>
  </si>
  <si>
    <t>= round ( totalUndiscountedCustomerPremium - $PrevUndiscountedCustomerPremium, 2 )</t>
  </si>
  <si>
    <t>= CapCup ( $PrevUndiscountedCustomerPremium, $PreviousAnnualisedCustomerPremium, $NewUndiscountedPremium, $DeltaAdjustment )</t>
  </si>
  <si>
    <t>= $PreviousAnnualisedCustomerPremium == 0 ? totalCustomerPremiumAfterDiscount : $PreviousAnnualisedCustomerPremium  + $CapCup</t>
  </si>
  <si>
    <r>
      <t xml:space="preserve">Spreadsheet Double </t>
    </r>
    <r>
      <rPr>
        <b/>
        <sz val="11"/>
        <rFont val="Franklin Gothic Book"/>
        <family val="2"/>
      </rPr>
      <t>DeltaAdjustment</t>
    </r>
    <r>
      <rPr>
        <sz val="10"/>
        <color theme="0" tint="-0.499984740745262"/>
        <rFont val="Franklin Gothic Book"/>
        <family val="2"/>
      </rPr>
      <t xml:space="preserve"> (  Double totalCustomerPremiumAfterDiscount, Double previousAnnualisedCustomerPremium )</t>
    </r>
  </si>
  <si>
    <t>= totalCustomerPremiumAfterDiscount - previousAnnualisedCustomerPremium</t>
  </si>
  <si>
    <t>= round ( abs ( $PreviousDeltaAmount / previousAnnualisedCustomerPremium) * 100 , 2 )</t>
  </si>
  <si>
    <t>= CupCapAdj ( $PreviousDeltaAmount, $PreviousDeltaPercent, "DiffMin" )</t>
  </si>
  <si>
    <t>= CupCapAdj ( $PreviousDeltaAmount, $PreviousDeltaPercent, "DiffMax" )</t>
  </si>
  <si>
    <t>= CupCapAdj ( $PreviousDeltaAmount, $PreviousDeltaPercent, "TargetMin" )</t>
  </si>
  <si>
    <t>= CupCapAdj ( $PreviousDeltaAmount, $PreviousDeltaPercent, "TargetMax" )</t>
  </si>
  <si>
    <t>= ( $PreviousDeltaAmount - $PremDeltaMinAmount ) / ( $PremDeltaMaxAmount - $PremDeltaMinAmount) * ( $DeltaAdjustmentMaxAmount - $DeltaAdjustmentMinAmount ) + $DeltaAdjustmentMinAmount</t>
  </si>
  <si>
    <t>nonConforming</t>
  </si>
  <si>
    <t>nonBinary</t>
  </si>
  <si>
    <t>female</t>
  </si>
  <si>
    <t>male</t>
  </si>
  <si>
    <t xml:space="preserve">In the algorithm used  
for case when age was not set up for driver in CM </t>
  </si>
  <si>
    <t>updated ageGender factor</t>
  </si>
  <si>
    <t>= $CampaignDiscount + $AgentCampaignDiscounts</t>
  </si>
  <si>
    <t>updated capcup</t>
  </si>
  <si>
    <t xml:space="preserve">added Accessory </t>
  </si>
  <si>
    <t>= Contents ( optionalCoverages )</t>
  </si>
  <si>
    <t>Contents</t>
  </si>
  <si>
    <t>Accessory</t>
  </si>
  <si>
    <t>= Accessory ( optionalCoverages [select first having coverageName == "AccessoriesAndModifications" ] )</t>
  </si>
  <si>
    <t>= round ( sum ( $ComponentsPremium ) + $Contents + $Accessory, 2)</t>
  </si>
  <si>
    <r>
      <rPr>
        <sz val="10"/>
        <color theme="0" tint="-0.34998626667073579"/>
        <rFont val="Franklin Gothic Book"/>
        <family val="2"/>
      </rPr>
      <t xml:space="preserve">Rules Double </t>
    </r>
    <r>
      <rPr>
        <b/>
        <sz val="11"/>
        <rFont val="Franklin Gothic Book"/>
        <family val="2"/>
      </rPr>
      <t>Contents</t>
    </r>
    <r>
      <rPr>
        <b/>
        <sz val="10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(  OptionalCoverage[] optionalCoverages )</t>
    </r>
  </si>
  <si>
    <r>
      <rPr>
        <sz val="10"/>
        <color theme="0" tint="-0.34998626667073579"/>
        <rFont val="Franklin Gothic Book"/>
        <family val="2"/>
      </rPr>
      <t>Rules Double</t>
    </r>
    <r>
      <rPr>
        <b/>
        <sz val="10"/>
        <rFont val="Franklin Gothic Book"/>
        <family val="2"/>
      </rPr>
      <t xml:space="preserve"> </t>
    </r>
    <r>
      <rPr>
        <b/>
        <sz val="11"/>
        <rFont val="Franklin Gothic Book"/>
        <family val="2"/>
      </rPr>
      <t>Accessory</t>
    </r>
    <r>
      <rPr>
        <sz val="10"/>
        <color theme="0" tint="-0.34998626667073579"/>
        <rFont val="Franklin Gothic Book"/>
        <family val="2"/>
      </rPr>
      <t xml:space="preserve"> ( OptionalCoverage accessoryCoverage )</t>
    </r>
  </si>
  <si>
    <t>accessoryCoverage != null</t>
  </si>
  <si>
    <t xml:space="preserve">limitDisplay </t>
  </si>
  <si>
    <t xml:space="preserve">LimitDisplay </t>
  </si>
  <si>
    <t>Is AccessoriesAndModifications added?</t>
  </si>
  <si>
    <t xml:space="preserve">Limit </t>
  </si>
  <si>
    <t>16/11/2018</t>
  </si>
  <si>
    <t>fixed FSLRate</t>
  </si>
  <si>
    <t>StaffApplied</t>
  </si>
  <si>
    <t>PackageApplied</t>
  </si>
  <si>
    <t>PromotionalApplied</t>
  </si>
  <si>
    <t>OnlineApplied</t>
  </si>
  <si>
    <t>NCBApplied</t>
  </si>
  <si>
    <t>Staff</t>
  </si>
  <si>
    <t>Package</t>
  </si>
  <si>
    <t>Promotional</t>
  </si>
  <si>
    <t>Online</t>
  </si>
  <si>
    <t>NCB</t>
  </si>
  <si>
    <t>AllDiscounts</t>
  </si>
  <si>
    <t>= $Formula$AllDiscounts ( $Main )</t>
  </si>
  <si>
    <t>return PolicyVariationsCalc(policy).$Formula$Result ;</t>
  </si>
  <si>
    <r>
      <rPr>
        <sz val="10"/>
        <color theme="0" tint="-0.34998626667073579"/>
        <rFont val="Franklin Gothic Book"/>
        <family val="2"/>
      </rPr>
      <t>Spreadsheet SpreadsheetResult</t>
    </r>
    <r>
      <rPr>
        <sz val="10"/>
        <rFont val="Franklin Gothic Book"/>
        <family val="2"/>
      </rPr>
      <t xml:space="preserve"> </t>
    </r>
    <r>
      <rPr>
        <b/>
        <sz val="11"/>
        <rFont val="Franklin Gothic Book"/>
        <family val="2"/>
      </rPr>
      <t>PolicyVariationsCalc</t>
    </r>
    <r>
      <rPr>
        <sz val="11"/>
        <color theme="0" tint="-0.34998626667073579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( Policy policy )</t>
    </r>
  </si>
  <si>
    <t>OriginCalc</t>
  </si>
  <si>
    <t>OriginResponse</t>
  </si>
  <si>
    <t>= $Formula$PolicyPremium ($OriginCalc)</t>
  </si>
  <si>
    <t>AnnualPolicy</t>
  </si>
  <si>
    <t>AnnualCalc</t>
  </si>
  <si>
    <t>AnnualResponse</t>
  </si>
  <si>
    <t>= $Formula$PolicyPremium ($AnnualCalc)</t>
  </si>
  <si>
    <t>NonAnnualPolicy</t>
  </si>
  <si>
    <t>NonAnnualCalc</t>
  </si>
  <si>
    <t>NonAnnualResponse</t>
  </si>
  <si>
    <t>= $Formula$PolicyPremium ($NonAnnualCalc)</t>
  </si>
  <si>
    <t>Result</t>
  </si>
  <si>
    <t>= new RatingResponsePolicy ( $OriginResponse, $AnnualResponse, $NonAnnualResponse, $Formula$AllDiscounts ($OriginCalc) )</t>
  </si>
  <si>
    <t>PolicyPremium</t>
  </si>
  <si>
    <t>= new PolicyPremium ( $MainNetOfTaxesAndLevies, null,  null, null, $TotalUndiscountedCustomerPremium , $GrossCustomerPremiumAfterCapCup )</t>
  </si>
  <si>
    <r>
      <rPr>
        <sz val="10"/>
        <color theme="0" tint="-0.34998626667073579"/>
        <rFont val="Franklin Gothic Book"/>
        <family val="2"/>
      </rPr>
      <t>Method RatingResponsePolicy</t>
    </r>
    <r>
      <rPr>
        <sz val="10"/>
        <rFont val="Franklin Gothic Book"/>
        <family val="2"/>
      </rPr>
      <t xml:space="preserve"> </t>
    </r>
    <r>
      <rPr>
        <b/>
        <sz val="11"/>
        <rFont val="Franklin Gothic Book"/>
        <family val="2"/>
      </rPr>
      <t>DeterminePolicyPremiums</t>
    </r>
    <r>
      <rPr>
        <sz val="11"/>
        <color theme="0" tint="-0.34998626667073579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( Policy policy )</t>
    </r>
  </si>
  <si>
    <t>= $Staff:$NCB</t>
  </si>
  <si>
    <t>Description</t>
  </si>
  <si>
    <t>Online discount applied</t>
  </si>
  <si>
    <t>twr_staff</t>
  </si>
  <si>
    <t>Staff discount</t>
  </si>
  <si>
    <t>twr_airnzonline</t>
  </si>
  <si>
    <t>twr_airnzphone</t>
  </si>
  <si>
    <t>twr_fintel</t>
  </si>
  <si>
    <t>twr_nzhl</t>
  </si>
  <si>
    <t>alliances_nocommission</t>
  </si>
  <si>
    <t>first_creditunion</t>
  </si>
  <si>
    <t>GRM_Unknown</t>
  </si>
  <si>
    <t>GRM_NZFSG</t>
  </si>
  <si>
    <t>GRM_Adelphi</t>
  </si>
  <si>
    <t>GRM_Apexadvice</t>
  </si>
  <si>
    <t>GRM_Mortgageexpress</t>
  </si>
  <si>
    <t>GRM_nzcreditunionem</t>
  </si>
  <si>
    <t>GRM_ICBC</t>
  </si>
  <si>
    <t>GRM_mysolutions</t>
  </si>
  <si>
    <t>GRM_advicefirst</t>
  </si>
  <si>
    <t>GRM_kepa</t>
  </si>
  <si>
    <t>GRM_movinghub</t>
  </si>
  <si>
    <t>GRM_newpark</t>
  </si>
  <si>
    <t>GRM_sharenz</t>
  </si>
  <si>
    <t>GRM_dnaadvice</t>
  </si>
  <si>
    <t>GRM_insureyoulimited</t>
  </si>
  <si>
    <t>GRM_nzbowls</t>
  </si>
  <si>
    <t>GRM_amway</t>
  </si>
  <si>
    <t>GRM_moovme</t>
  </si>
  <si>
    <t>GRM_ubt</t>
  </si>
  <si>
    <t>GRM_tap</t>
  </si>
  <si>
    <t>TMI</t>
  </si>
  <si>
    <t>Kiwibank</t>
  </si>
  <si>
    <t>Kiwibank_staff</t>
  </si>
  <si>
    <t>tsb_main</t>
  </si>
  <si>
    <t>tsb_staff</t>
  </si>
  <si>
    <t>tsb_contactcentre</t>
  </si>
  <si>
    <t>tsb_towersold</t>
  </si>
  <si>
    <t>TSB_online</t>
  </si>
  <si>
    <t>tsb_migrated</t>
  </si>
  <si>
    <t>tsb_newmarket</t>
  </si>
  <si>
    <t>tsb_takapuna</t>
  </si>
  <si>
    <t>tsb_northwest</t>
  </si>
  <si>
    <t>tsb_botany</t>
  </si>
  <si>
    <t>tsb_hamilton</t>
  </si>
  <si>
    <t>tsb_tauranga</t>
  </si>
  <si>
    <t>tsb_hastings</t>
  </si>
  <si>
    <t>tsb_napier</t>
  </si>
  <si>
    <t>tsb_wellington</t>
  </si>
  <si>
    <t>tsb_centrebranch</t>
  </si>
  <si>
    <t>tsb_moturoa</t>
  </si>
  <si>
    <t>tsb_westown</t>
  </si>
  <si>
    <t>tsb_vogeltown</t>
  </si>
  <si>
    <t>tsb_fitzroy</t>
  </si>
  <si>
    <t>tsb_bellblock</t>
  </si>
  <si>
    <t>tsb_waitara</t>
  </si>
  <si>
    <t>tsb_inglewood</t>
  </si>
  <si>
    <t>tsb_stratford</t>
  </si>
  <si>
    <t>tsb_eltham</t>
  </si>
  <si>
    <t>tsb_hawera</t>
  </si>
  <si>
    <t>tsb_opunake</t>
  </si>
  <si>
    <t>tsb_nelson</t>
  </si>
  <si>
    <t>tsb_chch</t>
  </si>
  <si>
    <t>In the algorithm used as 
… * (1 - Agent Adjustment) * …</t>
  </si>
  <si>
    <t>CRPRTN</t>
  </si>
  <si>
    <t>DRWWYN</t>
  </si>
  <si>
    <t>ONSTRT</t>
  </si>
  <si>
    <t>LCKWKPM</t>
  </si>
  <si>
    <t>SCRPRK</t>
  </si>
  <si>
    <r>
      <rPr>
        <sz val="10"/>
        <color theme="0" tint="-0.34998626667073579"/>
        <rFont val="Franklin Gothic Book"/>
        <family val="2"/>
      </rPr>
      <t>Method RatingResponseDXP[]</t>
    </r>
    <r>
      <rPr>
        <sz val="10"/>
        <rFont val="Franklin Gothic Book"/>
        <family val="2"/>
      </rPr>
      <t xml:space="preserve"> </t>
    </r>
    <r>
      <rPr>
        <b/>
        <sz val="11"/>
        <rFont val="Franklin Gothic Book"/>
        <family val="2"/>
      </rPr>
      <t>VariatePolicyPremiums</t>
    </r>
    <r>
      <rPr>
        <sz val="11"/>
        <color theme="0" tint="-0.34998626667073579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( Policy policy )</t>
    </r>
  </si>
  <si>
    <t>error(" Variations are not supported for MTH! ");return null;</t>
  </si>
  <si>
    <t>= new Discount ( "STAFF_POLICY", "Staff discount", $StaffApplied )</t>
  </si>
  <si>
    <t>= new Discount ( "MULTI_POLICY", "Multi-policy discount", $PackageApplied )</t>
  </si>
  <si>
    <t>= new Discount ( "ONLINE_POLICY", "Online discount", $OnlineApplied )</t>
  </si>
  <si>
    <t>= new Discount ( "NO_CLAIMS_BONUS_POLICY", "No claims bonus discount", $NCBApplied )</t>
  </si>
  <si>
    <t>default value that will not be displayed on UI</t>
  </si>
  <si>
    <t>updated NCBFactor</t>
  </si>
  <si>
    <t>26/11/2018</t>
  </si>
  <si>
    <t>= isEmpty ( drivers ) ? 0 : 1.00 * $TotalClaimsYear1 + 0.75 * $TotalClaimsYear2 + 0.25 * $TotalClaimsYear3</t>
  </si>
  <si>
    <t xml:space="preserve">= isEmpty ( drivers ) ? 0.85 :  NCDInterpolation ( $AgedClaims ) </t>
  </si>
  <si>
    <t>OriginPolicy</t>
  </si>
  <si>
    <t>= copy (policy)</t>
  </si>
  <si>
    <t>= PolicyPremium ( $OriginPolicy )</t>
  </si>
  <si>
    <t>= policy.paymentPlan = "ANNUAL"; copy (policy)</t>
  </si>
  <si>
    <t>= PolicyPremium ( $AnnualPolicy )</t>
  </si>
  <si>
    <t>= policy.paymentPlan = "NONANN"; copy (policy)</t>
  </si>
  <si>
    <t>= PolicyPremium ( $NonAnnualPolicy )</t>
  </si>
  <si>
    <t>= DiscountsApplied ( producerCd, $PackageDiscount, $CampaignDiscount, $CampaignDiscountAbsolute, $NCBFactor, campaignCode )</t>
  </si>
  <si>
    <r>
      <t xml:space="preserve">Spreadsheet Discount[] </t>
    </r>
    <r>
      <rPr>
        <b/>
        <sz val="11"/>
        <rFont val="Franklin Gothic Book"/>
        <family val="2"/>
      </rPr>
      <t>DiscountsApplied</t>
    </r>
    <r>
      <rPr>
        <sz val="10"/>
        <color theme="0" tint="-0.499984740745262"/>
        <rFont val="Franklin Gothic Book"/>
        <family val="2"/>
      </rPr>
      <t xml:space="preserve"> ( String producerCd, Double packageDiscount, Double campaignDiscount, Double campaignDiscountAbsolute, Double NCBFactor, String campaignCode )</t>
    </r>
  </si>
  <si>
    <t>= new Discount ( "PROMOTIONAL_POLICY", DiscountDescription (campaignCode), $PromotionalApplied )</t>
  </si>
  <si>
    <r>
      <t xml:space="preserve">SimpleRules String </t>
    </r>
    <r>
      <rPr>
        <b/>
        <sz val="11"/>
        <rFont val="Franklin Gothic Book"/>
        <family val="2"/>
      </rPr>
      <t>DiscountDescription</t>
    </r>
    <r>
      <rPr>
        <sz val="10"/>
        <color theme="0" tint="-0.499984740745262"/>
        <rFont val="Franklin Gothic Book"/>
        <family val="2"/>
      </rPr>
      <t xml:space="preserve"> ( String campaignCode )</t>
    </r>
  </si>
  <si>
    <t>campaignCode</t>
  </si>
  <si>
    <t>= DetermineCapCup ( prevAnnualisedCustomerPremium, $TotalUndiscountedCustomerPremium, prevUndiscountedCustomerPremium, $TotalCustomerPremiumAfterDiscount, transactionType )</t>
  </si>
  <si>
    <t>June Campaign 2017</t>
  </si>
  <si>
    <t>January Campaign 2017</t>
  </si>
  <si>
    <t>January Campaign 2018</t>
  </si>
  <si>
    <t>In the algorithm used as 
… Prem * (Campaign_Dscnt + Agent_Dscnt) …</t>
  </si>
  <si>
    <t>21/12/2019</t>
  </si>
  <si>
    <t>Marta</t>
  </si>
  <si>
    <t>prevUndiscountedCustomerPremium</t>
  </si>
  <si>
    <t>= 0</t>
  </si>
  <si>
    <t>newUndiscountedPremium</t>
  </si>
  <si>
    <t>previousAnnualisedCustomerPremium</t>
  </si>
  <si>
    <t>= producerCd == "twr_staff"</t>
  </si>
  <si>
    <t>= packageDiscount != 0</t>
  </si>
  <si>
    <t xml:space="preserve">= ( ( campaignDiscount != 0) || ( campaignDiscountAbsolute !=0 ) ) </t>
  </si>
  <si>
    <t xml:space="preserve">= producerCd == "twr_online" </t>
  </si>
  <si>
    <t xml:space="preserve">= NCBFactor&lt;1 </t>
  </si>
  <si>
    <t>1) updated CoverList and CapCup to smart rules
2) removed true/false from DiscountsApplied rule
3) updated if(isEmpty) syntax to isEmpty? in DriversInitialization spreadsheet</t>
  </si>
  <si>
    <t>&gt;=0</t>
  </si>
  <si>
    <r>
      <t xml:space="preserve">= </t>
    </r>
    <r>
      <rPr>
        <sz val="10"/>
        <color theme="1"/>
        <rFont val="Franklin Gothic Book"/>
        <family val="2"/>
      </rPr>
      <t>( 1 - $InterpolationFactor ) * $FloorFactor + $InterpolationFactor * $CeilingFactor</t>
    </r>
  </si>
  <si>
    <t>updated InterpolationFactor into AgeGender</t>
  </si>
  <si>
    <t>24/01/2019</t>
  </si>
  <si>
    <t>= isEmpty ( gender ) ? ( gender = "nonConforming" ) : gender</t>
  </si>
  <si>
    <t>= isEmpty ( licenseYears ) ? ( licenseYears = "001") : licenseYears</t>
  </si>
  <si>
    <r>
      <rPr>
        <sz val="10"/>
        <color theme="0" tint="-0.249977111117893"/>
        <rFont val="Franklin Gothic Book"/>
        <family val="2"/>
      </rPr>
      <t>SmartRules</t>
    </r>
    <r>
      <rPr>
        <sz val="10"/>
        <color theme="0" tint="-0.34998626667073579"/>
        <rFont val="Franklin Gothic Book"/>
        <family val="2"/>
      </rPr>
      <t xml:space="preserve"> String[] </t>
    </r>
    <r>
      <rPr>
        <b/>
        <sz val="11"/>
        <rFont val="Franklin Gothic Book"/>
        <family val="2"/>
      </rPr>
      <t>CoverList</t>
    </r>
    <r>
      <rPr>
        <b/>
        <sz val="10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( PlanName planName )</t>
    </r>
  </si>
  <si>
    <r>
      <rPr>
        <sz val="10"/>
        <color theme="0" tint="-0.34998626667073579"/>
        <rFont val="Franklin Gothic Book"/>
        <family val="2"/>
      </rPr>
      <t>SimpleLookup Double</t>
    </r>
    <r>
      <rPr>
        <b/>
        <sz val="10"/>
        <rFont val="Franklin Gothic Book"/>
        <family val="2"/>
      </rPr>
      <t xml:space="preserve"> DistanceFactor</t>
    </r>
    <r>
      <rPr>
        <sz val="10"/>
        <color theme="0" tint="-0.34998626667073579"/>
        <rFont val="Franklin Gothic Book"/>
        <family val="2"/>
      </rPr>
      <t xml:space="preserve"> ( DistanceDriven distanceDriven, CoverageName coverageName )</t>
    </r>
  </si>
  <si>
    <t>percentOfUse == 0</t>
  </si>
  <si>
    <t>PercentOfUse equals 0?</t>
  </si>
  <si>
    <t>= DefaultFactorNoDrivers ( coverageName )</t>
  </si>
  <si>
    <t>= $currentAge == null ? 1 :  ( $currentAge - $floorValue ) / ( $ceilingValue - $floorValue )</t>
  </si>
  <si>
    <t>= DetermineComponentPremium ( $ListOfPremiumComponents, planName, vehicle, policyEffectiveDate, sumInsured, drivers )</t>
  </si>
  <si>
    <r>
      <t xml:space="preserve">Spreadsheet Double </t>
    </r>
    <r>
      <rPr>
        <b/>
        <sz val="11"/>
        <rFont val="Franklin Gothic Book"/>
        <family val="2"/>
      </rPr>
      <t>DetermineComponentPremium</t>
    </r>
    <r>
      <rPr>
        <sz val="10"/>
        <color theme="0" tint="-0.499984740745262"/>
        <rFont val="Franklin Gothic Book"/>
        <family val="2"/>
      </rPr>
      <t xml:space="preserve"> ( CoverageName coverageName, PlanName planName, Vehicle vehicle, Date policyEffectiveDate, Double sumInsured, Driver[] drivers )</t>
    </r>
  </si>
  <si>
    <t>NumberOfDrivers</t>
  </si>
  <si>
    <t>= length ( removeNulls ( drivers ) )</t>
  </si>
  <si>
    <t>= $NumberOfDrivers == 0 ? 0 : 1/$NumberOfDrivers</t>
  </si>
  <si>
    <t xml:space="preserve"> </t>
  </si>
  <si>
    <t>= $ComponentFacror * percentOfUse</t>
  </si>
  <si>
    <t>updated DistanceFactor, AgeGenderFactor, DefaultFactorNoDrivers</t>
  </si>
  <si>
    <t>//need to save this rule for future</t>
  </si>
  <si>
    <r>
      <rPr>
        <sz val="10"/>
        <color theme="0" tint="-0.34998626667073579"/>
        <rFont val="Franklin Gothic Book"/>
        <family val="2"/>
      </rPr>
      <t xml:space="preserve">SimpleRules Double </t>
    </r>
    <r>
      <rPr>
        <b/>
        <sz val="10"/>
        <rFont val="Franklin Gothic Book"/>
        <family val="2"/>
      </rPr>
      <t xml:space="preserve">ParkingTypeFactor </t>
    </r>
    <r>
      <rPr>
        <sz val="10"/>
        <color theme="0" tint="-0.34998626667073579"/>
        <rFont val="Franklin Gothic Book"/>
        <family val="2"/>
      </rPr>
      <t>( ParkingType parkingType, PlanName planName )</t>
    </r>
  </si>
  <si>
    <t>= ParkingTypeFactor ( parkingType, planName )</t>
  </si>
  <si>
    <t>C4</t>
  </si>
  <si>
    <t>C5</t>
  </si>
  <si>
    <t>registryCode</t>
  </si>
  <si>
    <t>policyType</t>
  </si>
  <si>
    <t>motorLength</t>
  </si>
  <si>
    <t>isVehicleTrailers</t>
  </si>
  <si>
    <t>policyEffectiveDate &lt; conditionDate</t>
  </si>
  <si>
    <t>String</t>
  </si>
  <si>
    <t>PolicyType</t>
  </si>
  <si>
    <t>Date conditionDate</t>
  </si>
  <si>
    <t>Policy Type</t>
  </si>
  <si>
    <t>Motor Length</t>
  </si>
  <si>
    <t>FEL</t>
  </si>
  <si>
    <t>MTH</t>
  </si>
  <si>
    <r>
      <t xml:space="preserve">Rules Double </t>
    </r>
    <r>
      <rPr>
        <b/>
        <sz val="10"/>
        <rFont val="Franklin Gothic Book"/>
        <family val="2"/>
        <charset val="204"/>
      </rPr>
      <t xml:space="preserve">FELRate </t>
    </r>
    <r>
      <rPr>
        <sz val="10"/>
        <color theme="0" tint="-0.499984740745262"/>
        <rFont val="Franklin Gothic Book"/>
        <family val="2"/>
      </rPr>
      <t>( Date policyEffectiveDate )</t>
    </r>
  </si>
  <si>
    <t>FEL rate</t>
  </si>
  <si>
    <r>
      <t xml:space="preserve">Rules Double </t>
    </r>
    <r>
      <rPr>
        <b/>
        <sz val="10"/>
        <rFont val="Franklin Gothic Book"/>
        <family val="2"/>
      </rPr>
      <t>TaxFeeValue</t>
    </r>
    <r>
      <rPr>
        <sz val="10"/>
        <color theme="0" tint="-0.499984740745262"/>
        <rFont val="Franklin Gothic Book"/>
        <family val="2"/>
      </rPr>
      <t xml:space="preserve"> ( String registryCode, PolicyType policyType, String motorLength, PlanName planName,</t>
    </r>
    <r>
      <rPr>
        <sz val="10"/>
        <color theme="9"/>
        <rFont val="Franklin Gothic Book"/>
        <family val="2"/>
      </rPr>
      <t xml:space="preserve"> </t>
    </r>
    <r>
      <rPr>
        <sz val="10"/>
        <color theme="0" tint="-0.499984740745262"/>
        <rFont val="Franklin Gothic Book"/>
        <family val="2"/>
      </rPr>
      <t>Boolean isVehicleTrailers, Double sumInsured, Date policyEffectiveDate  )</t>
    </r>
  </si>
  <si>
    <t>= TaxFeeValue ( "FEL", policyType, vehicle.length, planName, $IsVehicleTrailers, $SIInitialization, policyEffectiveDate )</t>
  </si>
  <si>
    <t>SIInitialization</t>
  </si>
  <si>
    <t>= sumInsured == null ? 0 : sumInsured</t>
  </si>
  <si>
    <t>IsVehicleTrailers</t>
  </si>
  <si>
    <t>= contains (vehicle.optionalCoverages.coverageName, "VehicleTrailers" )</t>
  </si>
  <si>
    <t>in MTH Trailers does not exist</t>
  </si>
  <si>
    <r>
      <t xml:space="preserve">= round ( $TotalPromotionalDiscountsAmount + $PackageDiscountAmount + $CampaignDiscountAbsolute * ( 1 + </t>
    </r>
    <r>
      <rPr>
        <sz val="10"/>
        <color rgb="FFFF0000"/>
        <rFont val="Franklin Gothic Book"/>
        <family val="2"/>
      </rPr>
      <t>TaxFeeValue ( "GST", policyType, vehicle.length, planName, $IsVehicleTrailers, $SIInitialization, policyEffectiveDate )</t>
    </r>
    <r>
      <rPr>
        <sz val="10"/>
        <color theme="1"/>
        <rFont val="Franklin Gothic Book"/>
        <family val="2"/>
      </rPr>
      <t>), 2 )</t>
    </r>
  </si>
  <si>
    <r>
      <t xml:space="preserve">= round ( TaxFeeValue ( "GST", policyType, vehicle.length, planName, $IsVehicleTrailers, $SIInitialization, policyEffectiveDate ) </t>
    </r>
    <r>
      <rPr>
        <sz val="10"/>
        <rFont val="Franklin Gothic Book"/>
        <family val="2"/>
      </rPr>
      <t>* ( $UndiscountedCompanyPremium + $FSL ), 2 )</t>
    </r>
  </si>
  <si>
    <r>
      <t xml:space="preserve">= $GrossCustomerPremiumAfterCapCup - $Formula$FSL ( $Main ) - ( $GrossCustomerPremiumAfterCapCup - $GrossCustomerPremiumAfterCapCup / (1 + </t>
    </r>
    <r>
      <rPr>
        <sz val="10"/>
        <color rgb="FFFF0000"/>
        <rFont val="Franklin Gothic Book"/>
        <family val="2"/>
      </rPr>
      <t xml:space="preserve">TaxFeeValue ( "GST", policyType, vehicle.length, planName, $Formula$IsVehicleTrailers ( $Main ), $Formula$SIInitialization ( $Main ), policyEffectiveDate )) </t>
    </r>
    <r>
      <rPr>
        <sz val="10"/>
        <rFont val="Franklin Gothic Book"/>
        <family val="2"/>
        <charset val="204"/>
      </rPr>
      <t xml:space="preserve">) </t>
    </r>
  </si>
  <si>
    <t>//for MTH Plan Factor will be always 1 because TPO is not in MTH according to Plan config, so can be removed</t>
  </si>
  <si>
    <t>= sumInsured * FELRate ( policyEffectiveDate ) / 10000</t>
  </si>
  <si>
    <t>= sumInsured * FELRate ( policyEffectiveDate )  / 10000</t>
  </si>
  <si>
    <r>
      <rPr>
        <sz val="10"/>
        <color theme="0" tint="-0.34998626667073579"/>
        <rFont val="Franklin Gothic Book"/>
        <family val="2"/>
      </rPr>
      <t xml:space="preserve">SmartRules Double </t>
    </r>
    <r>
      <rPr>
        <b/>
        <sz val="11"/>
        <rFont val="Franklin Gothic Book"/>
        <family val="2"/>
      </rPr>
      <t xml:space="preserve">CapCup </t>
    </r>
    <r>
      <rPr>
        <sz val="10"/>
        <color theme="0" tint="-0.34998626667073579"/>
        <rFont val="Franklin Gothic Book"/>
        <family val="2"/>
      </rPr>
      <t>( Double prevUndiscountedCustomerPremium, Double previousAnnualisedCustomerPremium, Double newUndiscountedPremium, Double deltaAdjustment  )</t>
    </r>
  </si>
  <si>
    <t>//general lever</t>
  </si>
  <si>
    <r>
      <rPr>
        <sz val="10"/>
        <color theme="0" tint="-0.34998626667073579"/>
        <rFont val="Franklin Gothic Book"/>
        <family val="2"/>
      </rPr>
      <t xml:space="preserve">Rules Double </t>
    </r>
    <r>
      <rPr>
        <b/>
        <sz val="11"/>
        <rFont val="Franklin Gothic Book"/>
        <family val="2"/>
      </rPr>
      <t>DriverFactors</t>
    </r>
    <r>
      <rPr>
        <b/>
        <sz val="10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( CoverageName coverageName, Double percentOfUse, Driver[] drivers, Date policyEffectiveDate )</t>
    </r>
  </si>
  <si>
    <t>= sum ( DriverFactors  ( drivers, coverageName, percentOfUse, policyEffectiveDate ))</t>
  </si>
  <si>
    <t>//driver level</t>
  </si>
  <si>
    <r>
      <t xml:space="preserve">Spreadsheet Double </t>
    </r>
    <r>
      <rPr>
        <b/>
        <sz val="11"/>
        <rFont val="Franklin Gothic Book"/>
        <family val="2"/>
      </rPr>
      <t xml:space="preserve">DriverFactors </t>
    </r>
    <r>
      <rPr>
        <sz val="10"/>
        <color theme="0" tint="-0.499984740745262"/>
        <rFont val="Franklin Gothic Book"/>
        <family val="2"/>
      </rPr>
      <t>( Driver driver, CoverageName coverageName, Double percentOfUse, Date policyEffectiveDate )</t>
    </r>
  </si>
  <si>
    <t>= AgeGenderFactor ( driver, coverageName, percentOfUse, policyEffectiveDate )</t>
  </si>
  <si>
    <t>LicenseYearsFactor</t>
  </si>
  <si>
    <t>= LicenseYearsFactor ( licenseYears, coverageName )</t>
  </si>
  <si>
    <t>= $AgeGenderFactor * $LicenseYearsFactor</t>
  </si>
  <si>
    <t>DriverFactors</t>
  </si>
  <si>
    <t xml:space="preserve">= DriverFactors ( coverageName, $PercentOfUse, drivers, policyEffectiveDate ) </t>
  </si>
  <si>
    <t>% of usage * ageGender * licenseYearFactor</t>
  </si>
  <si>
    <r>
      <rPr>
        <sz val="10"/>
        <color theme="0" tint="-0.34998626667073579"/>
        <rFont val="Franklin Gothic Book"/>
        <family val="2"/>
      </rPr>
      <t xml:space="preserve">SimpleRules Double </t>
    </r>
    <r>
      <rPr>
        <b/>
        <sz val="10"/>
        <rFont val="Franklin Gothic Book"/>
        <family val="2"/>
      </rPr>
      <t xml:space="preserve">LicenseYearsFactor </t>
    </r>
    <r>
      <rPr>
        <sz val="10"/>
        <color theme="0" tint="-0.34998626667073579"/>
        <rFont val="Franklin Gothic Book"/>
        <family val="2"/>
      </rPr>
      <t>( LicenseYears licenseYears, CoverageName coverageName )</t>
    </r>
  </si>
  <si>
    <t>001</t>
  </si>
  <si>
    <t>Third Party Only, Fire and Theft, Comprehensive</t>
  </si>
  <si>
    <t>002</t>
  </si>
  <si>
    <t>003</t>
  </si>
  <si>
    <t>004</t>
  </si>
  <si>
    <t>005</t>
  </si>
  <si>
    <t xml:space="preserve">added Fire and Theft into AgeGenderFactorCalc; updated multiplicative rules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</si>
</sst>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0.0000"/>
    <numFmt numFmtId="166" formatCode="[$-409]dd\-mmm\-yy"/>
    <numFmt numFmtId="167" formatCode="0.000000"/>
    <numFmt numFmtId="168" formatCode="d/mm/yyyy;@"/>
    <numFmt numFmtId="169" formatCode="0.0"/>
    <numFmt numFmtId="170" formatCode="_-* #,##0.00\ _₽_-;\-* #,##0.00\ _₽_-;_-* &quot;-&quot;??\ _₽_-;_-@_-"/>
    <numFmt numFmtId="171" formatCode="mmm&quot;-[$-409]&quot;d\-yyyy;@"/>
    <numFmt numFmtId="172" formatCode="mmm\-[$-409]d\-yyyy;@"/>
  </numFmts>
  <fonts count="7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Franklin Gothic Book"/>
      <family val="2"/>
      <charset val="204"/>
    </font>
    <font>
      <b/>
      <sz val="10"/>
      <name val="Franklin Gothic Book"/>
      <family val="2"/>
    </font>
    <font>
      <sz val="10"/>
      <name val="Franklin Gothic Book"/>
      <family val="2"/>
    </font>
    <font>
      <sz val="11"/>
      <color rgb="FF006100"/>
      <name val="Calibri"/>
      <family val="2"/>
      <scheme val="minor"/>
    </font>
    <font>
      <b/>
      <sz val="11"/>
      <name val="Franklin Gothic Book"/>
      <family val="2"/>
    </font>
    <font>
      <b/>
      <sz val="10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sz val="10"/>
      <color theme="0" tint="-0.34998626667073579"/>
      <name val="Franklin Gothic Book"/>
      <family val="2"/>
    </font>
    <font>
      <b/>
      <sz val="11"/>
      <color theme="1"/>
      <name val="Calibri"/>
      <family val="2"/>
      <scheme val="minor"/>
    </font>
    <font>
      <sz val="10"/>
      <color theme="1"/>
      <name val="Franklin Gothic Book"/>
      <family val="2"/>
    </font>
    <font>
      <sz val="10"/>
      <color theme="0" tint="-0.499984740745262"/>
      <name val="Franklin Gothic Book"/>
      <family val="2"/>
    </font>
    <font>
      <b/>
      <sz val="10"/>
      <color theme="1"/>
      <name val="Franklin Gothic Book"/>
      <family val="2"/>
    </font>
    <font>
      <sz val="9"/>
      <color theme="1"/>
      <name val="Franklin Gothic Book"/>
      <family val="2"/>
    </font>
    <font>
      <sz val="11"/>
      <color theme="0" tint="-0.34998626667073579"/>
      <name val="Franklin Gothic Book"/>
      <family val="2"/>
    </font>
    <font>
      <i/>
      <sz val="11"/>
      <color theme="0" tint="-0.34998626667073579"/>
      <name val="Calibri"/>
      <family val="2"/>
      <scheme val="minor"/>
    </font>
    <font>
      <b/>
      <sz val="11"/>
      <color indexed="56"/>
      <name val="Calibri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i/>
      <sz val="10"/>
      <color theme="0" tint="-0.499984740745262"/>
      <name val="Franklin Gothic Book"/>
      <family val="2"/>
    </font>
    <font>
      <i/>
      <sz val="11"/>
      <color theme="0" tint="-0.499984740745262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Palatino Linotype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theme="1"/>
      <name val="Franklin Gothic Book"/>
      <family val="2"/>
    </font>
    <font>
      <b/>
      <sz val="10"/>
      <color theme="0" tint="-0.499984740745262"/>
      <name val="Franklin Gothic Book"/>
      <family val="2"/>
    </font>
    <font>
      <sz val="10"/>
      <color rgb="FFFF0000"/>
      <name val="Franklin Gothic Book"/>
      <family val="2"/>
      <charset val="204"/>
    </font>
    <font>
      <sz val="10"/>
      <name val="Arial"/>
      <family val="2"/>
      <charset val="204"/>
    </font>
    <font>
      <sz val="11"/>
      <color rgb="FF006100"/>
      <name val="Calibri"/>
      <family val="2"/>
      <charset val="134"/>
      <scheme val="minor"/>
    </font>
    <font>
      <sz val="10"/>
      <color rgb="FF000000"/>
      <name val="Arial"/>
      <family val="2"/>
    </font>
    <font>
      <sz val="11"/>
      <color rgb="FF7F9DB9"/>
      <name val="Calibri"/>
      <family val="2"/>
      <charset val="1"/>
    </font>
    <font>
      <sz val="11"/>
      <color theme="1"/>
      <name val="Calibri"/>
      <family val="2"/>
      <charset val="186"/>
      <scheme val="minor"/>
    </font>
    <font>
      <sz val="11"/>
      <color rgb="FF9C5700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86"/>
      <scheme val="minor"/>
    </font>
    <font>
      <sz val="11"/>
      <color indexed="8"/>
      <name val="Calibri"/>
      <family val="2"/>
    </font>
    <font>
      <b/>
      <sz val="13"/>
      <color indexed="56"/>
      <name val="Calibri"/>
      <family val="2"/>
      <charset val="186"/>
    </font>
    <font>
      <b/>
      <sz val="11"/>
      <color indexed="56"/>
      <name val="Calibri"/>
      <family val="2"/>
      <charset val="186"/>
    </font>
    <font>
      <sz val="8"/>
      <name val="Arial"/>
      <family val="2"/>
    </font>
    <font>
      <sz val="10"/>
      <name val="Arial"/>
      <family val="2"/>
      <charset val="186"/>
    </font>
    <font>
      <u/>
      <sz val="11"/>
      <color theme="10"/>
      <name val="Calibri"/>
      <family val="2"/>
    </font>
    <font>
      <sz val="8"/>
      <color theme="0" tint="-0.34998626667073579"/>
      <name val="Arial"/>
      <family val="2"/>
    </font>
    <font>
      <sz val="10"/>
      <name val="MS Sans Serif"/>
      <family val="2"/>
    </font>
    <font>
      <sz val="10"/>
      <color rgb="FFFF0000"/>
      <name val="Franklin Gothic Book"/>
      <family val="2"/>
    </font>
    <font>
      <sz val="8"/>
      <color theme="1"/>
      <name val="Calibri"/>
      <family val="2"/>
      <scheme val="minor"/>
    </font>
    <font>
      <sz val="10"/>
      <color theme="0" tint="-0.249977111117893"/>
      <name val="Franklin Gothic Book"/>
      <family val="2"/>
    </font>
    <font>
      <sz val="10"/>
      <color theme="9"/>
      <name val="Franklin Gothic Book"/>
      <family val="2"/>
    </font>
    <font>
      <b/>
      <sz val="10"/>
      <name val="Arial"/>
      <family val="2"/>
    </font>
    <font>
      <b/>
      <sz val="14"/>
      <color theme="1"/>
      <name val="Franklin Gothic Book"/>
      <family val="2"/>
    </font>
  </fonts>
  <fills count="4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7E6A4"/>
        <bgColor indexed="64"/>
      </patternFill>
    </fill>
    <fill>
      <patternFill patternType="solid">
        <fgColor rgb="FF00B05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30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indexed="64"/>
      </right>
      <top style="thin">
        <color auto="1"/>
      </top>
      <bottom/>
      <diagonal/>
    </border>
    <border>
      <left style="hair">
        <color auto="1"/>
      </left>
      <right style="hair">
        <color indexed="64"/>
      </right>
      <top/>
      <bottom/>
      <diagonal/>
    </border>
    <border>
      <left style="hair">
        <color auto="1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22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auto="1"/>
      </top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 style="thin">
        <color indexed="64"/>
      </bottom>
      <diagonal/>
    </border>
    <border>
      <left/>
      <right/>
      <top/>
      <bottom style="thick">
        <color theme="3" tint="0.39994506668294322"/>
      </bottom>
      <diagonal/>
    </border>
  </borders>
  <cellStyleXfs count="149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6" fillId="4" borderId="0" applyNumberFormat="0" applyBorder="0" applyAlignment="0" applyProtection="0"/>
    <xf numFmtId="44" fontId="1" fillId="0" borderId="0" applyFont="0" applyFill="0" applyBorder="0" applyAlignment="0" applyProtection="0"/>
    <xf numFmtId="0" fontId="12" fillId="8" borderId="0" applyNumberFormat="0" applyBorder="0" applyAlignment="0" applyProtection="0"/>
    <xf numFmtId="0" fontId="1" fillId="0" borderId="0"/>
    <xf numFmtId="0" fontId="15" fillId="2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7" applyNumberFormat="0" applyFill="0" applyAlignment="0" applyProtection="0"/>
    <xf numFmtId="0" fontId="19" fillId="0" borderId="0"/>
    <xf numFmtId="43" fontId="1" fillId="0" borderId="0" applyFont="0" applyFill="0" applyBorder="0" applyAlignment="0" applyProtection="0"/>
    <xf numFmtId="0" fontId="20" fillId="0" borderId="0"/>
    <xf numFmtId="0" fontId="1" fillId="0" borderId="0"/>
    <xf numFmtId="0" fontId="19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21" fillId="11" borderId="0" applyNumberFormat="0" applyBorder="0" applyAlignment="0" applyProtection="0"/>
    <xf numFmtId="0" fontId="22" fillId="12" borderId="9" applyNumberFormat="0" applyAlignment="0" applyProtection="0"/>
    <xf numFmtId="0" fontId="23" fillId="13" borderId="10" applyNumberFormat="0" applyAlignment="0" applyProtection="0"/>
    <xf numFmtId="0" fontId="24" fillId="13" borderId="9" applyNumberFormat="0" applyAlignment="0" applyProtection="0"/>
    <xf numFmtId="166" fontId="1" fillId="0" borderId="0"/>
    <xf numFmtId="0" fontId="25" fillId="0" borderId="0"/>
    <xf numFmtId="0" fontId="2" fillId="0" borderId="0"/>
    <xf numFmtId="0" fontId="1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32" fillId="0" borderId="0" applyNumberFormat="0" applyFill="0" applyBorder="0" applyAlignment="0" applyProtection="0"/>
    <xf numFmtId="0" fontId="33" fillId="0" borderId="23" applyNumberFormat="0" applyFill="0" applyAlignment="0" applyProtection="0"/>
    <xf numFmtId="0" fontId="34" fillId="0" borderId="24" applyNumberFormat="0" applyFill="0" applyAlignment="0" applyProtection="0"/>
    <xf numFmtId="0" fontId="35" fillId="0" borderId="25" applyNumberFormat="0" applyFill="0" applyAlignment="0" applyProtection="0"/>
    <xf numFmtId="0" fontId="3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36" fillId="17" borderId="0" applyNumberFormat="0" applyBorder="0" applyAlignment="0" applyProtection="0"/>
    <xf numFmtId="0" fontId="37" fillId="11" borderId="0" applyNumberFormat="0" applyBorder="0" applyAlignment="0" applyProtection="0"/>
    <xf numFmtId="0" fontId="38" fillId="12" borderId="9" applyNumberFormat="0" applyAlignment="0" applyProtection="0"/>
    <xf numFmtId="0" fontId="39" fillId="13" borderId="10" applyNumberFormat="0" applyAlignment="0" applyProtection="0"/>
    <xf numFmtId="0" fontId="40" fillId="13" borderId="9" applyNumberFormat="0" applyAlignment="0" applyProtection="0"/>
    <xf numFmtId="0" fontId="41" fillId="0" borderId="26" applyNumberFormat="0" applyFill="0" applyAlignment="0" applyProtection="0"/>
    <xf numFmtId="0" fontId="42" fillId="18" borderId="27" applyNumberFormat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11" fillId="0" borderId="29" applyNumberFormat="0" applyFill="0" applyAlignment="0" applyProtection="0"/>
    <xf numFmtId="0" fontId="45" fillId="20" borderId="0" applyNumberFormat="0" applyBorder="0" applyAlignment="0" applyProtection="0"/>
    <xf numFmtId="0" fontId="1" fillId="8" borderId="0" applyNumberFormat="0" applyBorder="0" applyAlignment="0" applyProtection="0"/>
    <xf numFmtId="0" fontId="1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45" fillId="29" borderId="0" applyNumberFormat="0" applyBorder="0" applyAlignment="0" applyProtection="0"/>
    <xf numFmtId="0" fontId="45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45" fillId="33" borderId="0" applyNumberFormat="0" applyBorder="0" applyAlignment="0" applyProtection="0"/>
    <xf numFmtId="0" fontId="45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45" fillId="37" borderId="0" applyNumberFormat="0" applyBorder="0" applyAlignment="0" applyProtection="0"/>
    <xf numFmtId="0" fontId="45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45" fillId="41" borderId="0" applyNumberFormat="0" applyBorder="0" applyAlignment="0" applyProtection="0"/>
    <xf numFmtId="0" fontId="47" fillId="0" borderId="0"/>
    <xf numFmtId="0" fontId="46" fillId="0" borderId="0"/>
    <xf numFmtId="0" fontId="1" fillId="19" borderId="28" applyNumberFormat="0" applyFont="0" applyAlignment="0" applyProtection="0"/>
    <xf numFmtId="0" fontId="1" fillId="0" borderId="0"/>
    <xf numFmtId="0" fontId="15" fillId="2" borderId="0">
      <alignment horizontal="left"/>
    </xf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2" fontId="64" fillId="47" borderId="44" applyBorder="0" applyAlignment="0"/>
    <xf numFmtId="0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54" fillId="4" borderId="0" applyNumberFormat="0" applyBorder="0" applyAlignment="0" applyProtection="0">
      <alignment vertical="center"/>
    </xf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171" fontId="56" fillId="0" borderId="0"/>
    <xf numFmtId="0" fontId="55" fillId="0" borderId="0"/>
    <xf numFmtId="0" fontId="44" fillId="0" borderId="0" applyNumberFormat="0" applyFill="0" applyBorder="0" applyAlignment="0" applyProtection="0"/>
    <xf numFmtId="0" fontId="58" fillId="11" borderId="0" applyNumberFormat="0" applyBorder="0" applyAlignment="0" applyProtection="0"/>
    <xf numFmtId="0" fontId="53" fillId="0" borderId="0" applyNumberFormat="0" applyFont="0" applyFill="0" applyBorder="0" applyAlignment="0" applyProtection="0"/>
    <xf numFmtId="0" fontId="6" fillId="4" borderId="0" applyNumberFormat="0" applyBorder="0" applyAlignment="0" applyProtection="0"/>
    <xf numFmtId="0" fontId="55" fillId="0" borderId="0"/>
    <xf numFmtId="0" fontId="59" fillId="0" borderId="0" applyNumberFormat="0" applyFill="0" applyBorder="0" applyAlignment="0" applyProtection="0"/>
    <xf numFmtId="0" fontId="35" fillId="0" borderId="25" applyNumberFormat="0" applyFill="0" applyAlignment="0" applyProtection="0"/>
    <xf numFmtId="0" fontId="57" fillId="0" borderId="0"/>
    <xf numFmtId="0" fontId="55" fillId="0" borderId="0"/>
    <xf numFmtId="0" fontId="57" fillId="0" borderId="0"/>
    <xf numFmtId="0" fontId="57" fillId="0" borderId="0"/>
    <xf numFmtId="0" fontId="60" fillId="0" borderId="0" applyNumberFormat="0" applyFill="0" applyBorder="0" applyAlignment="0" applyProtection="0"/>
    <xf numFmtId="172" fontId="61" fillId="0" borderId="0"/>
    <xf numFmtId="172" fontId="65" fillId="0" borderId="0" applyFill="0" applyBorder="0" applyProtection="0">
      <protection locked="0"/>
    </xf>
    <xf numFmtId="172" fontId="62" fillId="0" borderId="43" applyNumberFormat="0" applyFill="0" applyAlignment="0" applyProtection="0"/>
    <xf numFmtId="172" fontId="62" fillId="0" borderId="43" applyNumberFormat="0" applyFill="0" applyAlignment="0" applyProtection="0"/>
    <xf numFmtId="172" fontId="63" fillId="0" borderId="7" applyNumberFormat="0" applyFill="0" applyAlignment="0" applyProtection="0"/>
    <xf numFmtId="172" fontId="63" fillId="0" borderId="7" applyNumberFormat="0" applyFill="0" applyAlignment="0" applyProtection="0"/>
    <xf numFmtId="172" fontId="66" fillId="0" borderId="0" applyNumberFormat="0" applyFill="0" applyBorder="0" applyAlignment="0" applyProtection="0">
      <alignment vertical="top"/>
      <protection locked="0"/>
    </xf>
    <xf numFmtId="172" fontId="67" fillId="46" borderId="45"/>
    <xf numFmtId="172" fontId="64" fillId="47" borderId="44" applyBorder="0" applyAlignment="0"/>
    <xf numFmtId="172" fontId="63" fillId="0" borderId="7" applyNumberFormat="0" applyFill="0" applyAlignment="0" applyProtection="0"/>
    <xf numFmtId="0" fontId="55" fillId="0" borderId="0"/>
    <xf numFmtId="0" fontId="59" fillId="0" borderId="0" applyNumberFormat="0" applyFill="0" applyBorder="0" applyAlignment="0" applyProtection="0"/>
    <xf numFmtId="0" fontId="68" fillId="0" borderId="0"/>
    <xf numFmtId="0" fontId="2" fillId="0" borderId="0"/>
    <xf numFmtId="0" fontId="2" fillId="0" borderId="0" applyNumberFormat="0" applyFont="0" applyFill="0" applyBorder="0" applyAlignment="0" applyProtection="0"/>
    <xf numFmtId="172" fontId="64" fillId="47" borderId="44" applyBorder="0" applyAlignment="0"/>
    <xf numFmtId="172" fontId="64" fillId="47" borderId="44" applyBorder="0" applyAlignment="0"/>
    <xf numFmtId="172" fontId="64" fillId="47" borderId="44" applyBorder="0" applyAlignment="0"/>
    <xf numFmtId="172" fontId="64" fillId="47" borderId="44" applyBorder="0" applyAlignment="0"/>
    <xf numFmtId="172" fontId="64" fillId="47" borderId="44" applyBorder="0" applyAlignment="0"/>
    <xf numFmtId="172" fontId="64" fillId="47" borderId="44" applyBorder="0" applyAlignment="0"/>
    <xf numFmtId="172" fontId="64" fillId="47" borderId="44" applyBorder="0" applyAlignment="0"/>
    <xf numFmtId="172" fontId="64" fillId="47" borderId="44" applyBorder="0" applyAlignment="0"/>
    <xf numFmtId="172" fontId="64" fillId="47" borderId="44" applyBorder="0" applyAlignment="0"/>
    <xf numFmtId="172" fontId="64" fillId="47" borderId="44" applyBorder="0" applyAlignment="0"/>
    <xf numFmtId="172" fontId="64" fillId="47" borderId="44" applyBorder="0" applyAlignment="0"/>
    <xf numFmtId="172" fontId="64" fillId="47" borderId="44" applyBorder="0" applyAlignment="0"/>
    <xf numFmtId="172" fontId="64" fillId="47" borderId="44" applyBorder="0" applyAlignment="0"/>
    <xf numFmtId="172" fontId="64" fillId="47" borderId="44" applyBorder="0" applyAlignment="0"/>
    <xf numFmtId="172" fontId="64" fillId="47" borderId="48" applyBorder="0" applyAlignment="0"/>
    <xf numFmtId="172" fontId="64" fillId="47" borderId="47" applyBorder="0" applyAlignment="0"/>
    <xf numFmtId="172" fontId="64" fillId="47" borderId="47" applyBorder="0" applyAlignment="0"/>
    <xf numFmtId="172" fontId="64" fillId="47" borderId="48" applyBorder="0" applyAlignment="0"/>
    <xf numFmtId="172" fontId="64" fillId="47" borderId="51" applyBorder="0" applyAlignment="0"/>
    <xf numFmtId="172" fontId="64" fillId="47" borderId="51" applyBorder="0" applyAlignment="0"/>
    <xf numFmtId="172" fontId="64" fillId="47" borderId="51" applyBorder="0" applyAlignment="0"/>
    <xf numFmtId="172" fontId="64" fillId="47" borderId="51" applyBorder="0" applyAlignment="0"/>
    <xf numFmtId="0" fontId="2" fillId="0" borderId="0"/>
    <xf numFmtId="0" fontId="1" fillId="0" borderId="0"/>
    <xf numFmtId="0" fontId="1" fillId="0" borderId="0"/>
    <xf numFmtId="0" fontId="74" fillId="0" borderId="66"/>
  </cellStyleXfs>
  <cellXfs count="398">
    <xf numFmtId="0" fontId="0" fillId="0" borderId="0" xfId="0"/>
    <xf numFmtId="0" fontId="0" fillId="0" borderId="0" xfId="0" applyFont="1" applyFill="1"/>
    <xf numFmtId="0" fontId="3" fillId="0" borderId="0" xfId="0" applyFont="1" applyFill="1" applyBorder="1" applyAlignment="1">
      <alignment vertical="center"/>
    </xf>
    <xf numFmtId="0" fontId="0" fillId="0" borderId="0" xfId="0" applyFont="1" applyAlignment="1">
      <alignment wrapText="1"/>
    </xf>
    <xf numFmtId="0" fontId="0" fillId="0" borderId="0" xfId="0" applyFont="1"/>
    <xf numFmtId="0" fontId="8" fillId="5" borderId="0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12" fillId="2" borderId="0" xfId="7" applyFont="1" applyFill="1" applyBorder="1">
      <alignment horizontal="left"/>
    </xf>
    <xf numFmtId="0" fontId="9" fillId="7" borderId="0" xfId="0" quotePrefix="1" applyFont="1" applyFill="1"/>
    <xf numFmtId="0" fontId="12" fillId="0" borderId="2" xfId="0" applyFont="1" applyBorder="1"/>
    <xf numFmtId="0" fontId="12" fillId="0" borderId="0" xfId="0" applyFont="1"/>
    <xf numFmtId="164" fontId="12" fillId="2" borderId="0" xfId="0" applyNumberFormat="1" applyFont="1" applyFill="1" applyBorder="1" applyAlignment="1">
      <alignment horizontal="left"/>
    </xf>
    <xf numFmtId="0" fontId="17" fillId="0" borderId="0" xfId="0" applyFont="1" applyFill="1"/>
    <xf numFmtId="0" fontId="12" fillId="0" borderId="2" xfId="0" applyFont="1" applyBorder="1" applyAlignment="1">
      <alignment vertical="center"/>
    </xf>
    <xf numFmtId="0" fontId="4" fillId="5" borderId="5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/>
    </xf>
    <xf numFmtId="1" fontId="12" fillId="7" borderId="0" xfId="0" applyNumberFormat="1" applyFont="1" applyFill="1" applyBorder="1" applyAlignment="1">
      <alignment horizontal="center"/>
    </xf>
    <xf numFmtId="0" fontId="12" fillId="7" borderId="0" xfId="0" quotePrefix="1" applyFont="1" applyFill="1" applyBorder="1" applyAlignment="1">
      <alignment wrapText="1"/>
    </xf>
    <xf numFmtId="0" fontId="4" fillId="5" borderId="0" xfId="5" applyFont="1" applyFill="1" applyBorder="1" applyAlignment="1">
      <alignment horizontal="center" vertical="top" wrapText="1"/>
    </xf>
    <xf numFmtId="0" fontId="14" fillId="9" borderId="0" xfId="5" applyFont="1" applyFill="1" applyBorder="1" applyAlignment="1">
      <alignment horizontal="center" vertical="top" wrapText="1"/>
    </xf>
    <xf numFmtId="0" fontId="13" fillId="2" borderId="0" xfId="0" quotePrefix="1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vertical="center"/>
    </xf>
    <xf numFmtId="0" fontId="13" fillId="2" borderId="0" xfId="0" quotePrefix="1" applyFont="1" applyFill="1" applyBorder="1" applyAlignment="1">
      <alignment vertical="center"/>
    </xf>
    <xf numFmtId="0" fontId="13" fillId="2" borderId="0" xfId="0" applyFont="1" applyFill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4" fillId="6" borderId="0" xfId="18" applyFont="1" applyFill="1" applyBorder="1" applyAlignment="1">
      <alignment horizontal="center"/>
    </xf>
    <xf numFmtId="165" fontId="12" fillId="7" borderId="0" xfId="18" applyNumberFormat="1" applyFont="1" applyFill="1" applyBorder="1" applyAlignment="1">
      <alignment horizontal="center"/>
    </xf>
    <xf numFmtId="0" fontId="12" fillId="2" borderId="0" xfId="18" applyFont="1" applyFill="1" applyBorder="1" applyAlignment="1">
      <alignment horizontal="center"/>
    </xf>
    <xf numFmtId="0" fontId="12" fillId="2" borderId="4" xfId="18" applyFont="1" applyFill="1" applyBorder="1" applyAlignment="1">
      <alignment horizontal="center"/>
    </xf>
    <xf numFmtId="165" fontId="12" fillId="7" borderId="12" xfId="18" applyNumberFormat="1" applyFont="1" applyFill="1" applyBorder="1" applyAlignment="1">
      <alignment horizontal="center"/>
    </xf>
    <xf numFmtId="0" fontId="12" fillId="2" borderId="13" xfId="18" applyFont="1" applyFill="1" applyBorder="1" applyAlignment="1">
      <alignment horizontal="center"/>
    </xf>
    <xf numFmtId="0" fontId="4" fillId="3" borderId="0" xfId="0" applyFont="1" applyFill="1" applyBorder="1" applyAlignment="1" applyProtection="1">
      <alignment vertical="center" wrapText="1"/>
    </xf>
    <xf numFmtId="164" fontId="12" fillId="2" borderId="4" xfId="0" applyNumberFormat="1" applyFont="1" applyFill="1" applyBorder="1" applyAlignment="1">
      <alignment horizontal="left"/>
    </xf>
    <xf numFmtId="0" fontId="12" fillId="7" borderId="4" xfId="0" quotePrefix="1" applyFont="1" applyFill="1" applyBorder="1" applyAlignment="1">
      <alignment wrapText="1"/>
    </xf>
    <xf numFmtId="0" fontId="0" fillId="0" borderId="0" xfId="0"/>
    <xf numFmtId="167" fontId="12" fillId="7" borderId="0" xfId="0" applyNumberFormat="1" applyFont="1" applyFill="1" applyBorder="1" applyAlignment="1">
      <alignment horizontal="center"/>
    </xf>
    <xf numFmtId="167" fontId="12" fillId="7" borderId="4" xfId="0" applyNumberFormat="1" applyFont="1" applyFill="1" applyBorder="1" applyAlignment="1">
      <alignment horizontal="center"/>
    </xf>
    <xf numFmtId="0" fontId="0" fillId="0" borderId="6" xfId="0" applyBorder="1"/>
    <xf numFmtId="167" fontId="12" fillId="7" borderId="6" xfId="0" applyNumberFormat="1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2" fillId="7" borderId="0" xfId="0" quotePrefix="1" applyFont="1" applyFill="1" applyBorder="1" applyAlignment="1">
      <alignment horizontal="left" wrapText="1"/>
    </xf>
    <xf numFmtId="0" fontId="0" fillId="14" borderId="2" xfId="0" applyFill="1" applyBorder="1" applyAlignment="1">
      <alignment horizontal="center"/>
    </xf>
    <xf numFmtId="0" fontId="26" fillId="14" borderId="2" xfId="0" applyFont="1" applyFill="1" applyBorder="1" applyAlignment="1">
      <alignment horizontal="center"/>
    </xf>
    <xf numFmtId="0" fontId="27" fillId="0" borderId="0" xfId="0" applyFont="1"/>
    <xf numFmtId="0" fontId="10" fillId="2" borderId="5" xfId="0" applyFont="1" applyFill="1" applyBorder="1" applyAlignment="1">
      <alignment horizontal="center" vertical="center"/>
    </xf>
    <xf numFmtId="0" fontId="28" fillId="15" borderId="2" xfId="0" applyFont="1" applyFill="1" applyBorder="1" applyAlignment="1">
      <alignment horizontal="center"/>
    </xf>
    <xf numFmtId="165" fontId="12" fillId="7" borderId="13" xfId="18" applyNumberFormat="1" applyFont="1" applyFill="1" applyBorder="1" applyAlignment="1">
      <alignment horizontal="center"/>
    </xf>
    <xf numFmtId="165" fontId="12" fillId="7" borderId="14" xfId="18" applyNumberFormat="1" applyFont="1" applyFill="1" applyBorder="1" applyAlignment="1">
      <alignment horizontal="center"/>
    </xf>
    <xf numFmtId="0" fontId="14" fillId="6" borderId="8" xfId="18" applyFont="1" applyFill="1" applyBorder="1" applyAlignment="1">
      <alignment horizontal="center"/>
    </xf>
    <xf numFmtId="0" fontId="12" fillId="2" borderId="17" xfId="18" applyFont="1" applyFill="1" applyBorder="1" applyAlignment="1">
      <alignment horizontal="center"/>
    </xf>
    <xf numFmtId="0" fontId="4" fillId="5" borderId="16" xfId="0" applyFont="1" applyFill="1" applyBorder="1" applyAlignment="1">
      <alignment horizontal="center" vertical="center" wrapText="1"/>
    </xf>
    <xf numFmtId="0" fontId="12" fillId="2" borderId="18" xfId="18" applyFont="1" applyFill="1" applyBorder="1" applyAlignment="1">
      <alignment horizontal="center"/>
    </xf>
    <xf numFmtId="165" fontId="12" fillId="7" borderId="0" xfId="0" applyNumberFormat="1" applyFont="1" applyFill="1" applyBorder="1" applyAlignment="1">
      <alignment horizontal="center"/>
    </xf>
    <xf numFmtId="165" fontId="12" fillId="7" borderId="6" xfId="0" applyNumberFormat="1" applyFont="1" applyFill="1" applyBorder="1" applyAlignment="1">
      <alignment horizontal="center"/>
    </xf>
    <xf numFmtId="165" fontId="12" fillId="7" borderId="4" xfId="0" applyNumberFormat="1" applyFont="1" applyFill="1" applyBorder="1" applyAlignment="1">
      <alignment horizontal="center"/>
    </xf>
    <xf numFmtId="0" fontId="12" fillId="2" borderId="6" xfId="34" applyFont="1" applyFill="1" applyBorder="1" applyAlignment="1">
      <alignment horizontal="center"/>
    </xf>
    <xf numFmtId="0" fontId="0" fillId="0" borderId="0" xfId="0"/>
    <xf numFmtId="0" fontId="4" fillId="5" borderId="5" xfId="34" applyFont="1" applyFill="1" applyBorder="1" applyAlignment="1">
      <alignment horizontal="center" vertical="center" wrapText="1"/>
    </xf>
    <xf numFmtId="0" fontId="4" fillId="6" borderId="15" xfId="34" applyFont="1" applyFill="1" applyBorder="1" applyAlignment="1">
      <alignment horizontal="center" vertical="center"/>
    </xf>
    <xf numFmtId="0" fontId="12" fillId="2" borderId="0" xfId="34" applyFont="1" applyFill="1" applyBorder="1" applyAlignment="1">
      <alignment horizontal="center"/>
    </xf>
    <xf numFmtId="0" fontId="12" fillId="2" borderId="4" xfId="34" applyFont="1" applyFill="1" applyBorder="1" applyAlignment="1">
      <alignment horizontal="center"/>
    </xf>
    <xf numFmtId="0" fontId="12" fillId="7" borderId="4" xfId="0" quotePrefix="1" applyFont="1" applyFill="1" applyBorder="1" applyAlignment="1">
      <alignment horizontal="left" wrapText="1"/>
    </xf>
    <xf numFmtId="167" fontId="12" fillId="7" borderId="0" xfId="0" quotePrefix="1" applyNumberFormat="1" applyFont="1" applyFill="1" applyBorder="1" applyAlignment="1">
      <alignment horizontal="center"/>
    </xf>
    <xf numFmtId="167" fontId="12" fillId="7" borderId="4" xfId="0" quotePrefix="1" applyNumberFormat="1" applyFont="1" applyFill="1" applyBorder="1" applyAlignment="1">
      <alignment horizontal="center"/>
    </xf>
    <xf numFmtId="0" fontId="0" fillId="14" borderId="2" xfId="0" quotePrefix="1" applyFill="1" applyBorder="1" applyAlignment="1">
      <alignment horizontal="center"/>
    </xf>
    <xf numFmtId="0" fontId="28" fillId="15" borderId="2" xfId="0" applyFont="1" applyFill="1" applyBorder="1" applyAlignment="1">
      <alignment horizontal="center" wrapText="1"/>
    </xf>
    <xf numFmtId="0" fontId="11" fillId="2" borderId="5" xfId="0" applyFont="1" applyFill="1" applyBorder="1"/>
    <xf numFmtId="0" fontId="11" fillId="2" borderId="0" xfId="0" applyFont="1" applyFill="1" applyBorder="1"/>
    <xf numFmtId="0" fontId="11" fillId="2" borderId="4" xfId="0" applyFont="1" applyFill="1" applyBorder="1"/>
    <xf numFmtId="0" fontId="11" fillId="2" borderId="0" xfId="0" applyFont="1" applyFill="1"/>
    <xf numFmtId="0" fontId="11" fillId="2" borderId="3" xfId="0" applyFont="1" applyFill="1" applyBorder="1" applyAlignment="1">
      <alignment horizontal="center"/>
    </xf>
    <xf numFmtId="0" fontId="11" fillId="2" borderId="6" xfId="18" applyFont="1" applyFill="1" applyBorder="1"/>
    <xf numFmtId="0" fontId="11" fillId="2" borderId="0" xfId="0" applyFont="1" applyFill="1" applyAlignment="1">
      <alignment horizontal="center"/>
    </xf>
    <xf numFmtId="0" fontId="11" fillId="2" borderId="0" xfId="18" applyFont="1" applyFill="1"/>
    <xf numFmtId="0" fontId="11" fillId="2" borderId="5" xfId="18" applyFont="1" applyFill="1" applyBorder="1"/>
    <xf numFmtId="0" fontId="11" fillId="2" borderId="0" xfId="18" applyFont="1" applyFill="1" applyBorder="1"/>
    <xf numFmtId="0" fontId="11" fillId="2" borderId="4" xfId="18" applyFont="1" applyFill="1" applyBorder="1"/>
    <xf numFmtId="0" fontId="11" fillId="2" borderId="3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165" fontId="12" fillId="16" borderId="13" xfId="34" applyNumberFormat="1" applyFont="1" applyFill="1" applyBorder="1" applyAlignment="1">
      <alignment horizontal="center" vertical="center"/>
    </xf>
    <xf numFmtId="165" fontId="12" fillId="16" borderId="14" xfId="34" applyNumberFormat="1" applyFont="1" applyFill="1" applyBorder="1" applyAlignment="1">
      <alignment horizontal="center" vertical="center"/>
    </xf>
    <xf numFmtId="1" fontId="12" fillId="7" borderId="4" xfId="0" applyNumberFormat="1" applyFont="1" applyFill="1" applyBorder="1" applyAlignment="1">
      <alignment horizontal="center"/>
    </xf>
    <xf numFmtId="0" fontId="4" fillId="6" borderId="0" xfId="34" applyFont="1" applyFill="1" applyBorder="1" applyAlignment="1">
      <alignment horizontal="center" vertical="center"/>
    </xf>
    <xf numFmtId="0" fontId="30" fillId="0" borderId="0" xfId="0" applyFont="1"/>
    <xf numFmtId="0" fontId="31" fillId="0" borderId="0" xfId="0" applyFont="1"/>
    <xf numFmtId="0" fontId="13" fillId="2" borderId="0" xfId="34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 wrapText="1"/>
    </xf>
    <xf numFmtId="0" fontId="12" fillId="2" borderId="5" xfId="9" applyFont="1" applyFill="1" applyBorder="1" applyAlignment="1">
      <alignment horizontal="center"/>
    </xf>
    <xf numFmtId="0" fontId="12" fillId="2" borderId="0" xfId="9" applyFont="1" applyFill="1" applyBorder="1" applyAlignment="1">
      <alignment horizontal="center"/>
    </xf>
    <xf numFmtId="0" fontId="12" fillId="2" borderId="4" xfId="9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 vertical="center"/>
    </xf>
    <xf numFmtId="0" fontId="17" fillId="0" borderId="0" xfId="0" applyFont="1" applyAlignment="1"/>
    <xf numFmtId="0" fontId="14" fillId="6" borderId="22" xfId="18" applyFont="1" applyFill="1" applyBorder="1" applyAlignment="1">
      <alignment horizontal="center"/>
    </xf>
    <xf numFmtId="167" fontId="12" fillId="0" borderId="0" xfId="0" applyNumberFormat="1" applyFont="1" applyFill="1" applyBorder="1" applyAlignment="1">
      <alignment horizontal="center"/>
    </xf>
    <xf numFmtId="0" fontId="12" fillId="2" borderId="11" xfId="18" applyFont="1" applyFill="1" applyBorder="1" applyAlignment="1">
      <alignment horizontal="center"/>
    </xf>
    <xf numFmtId="0" fontId="0" fillId="0" borderId="0" xfId="0"/>
    <xf numFmtId="0" fontId="4" fillId="5" borderId="5" xfId="0" applyFont="1" applyFill="1" applyBorder="1" applyAlignment="1">
      <alignment horizontal="center" vertical="center" wrapText="1"/>
    </xf>
    <xf numFmtId="0" fontId="12" fillId="2" borderId="33" xfId="18" applyFont="1" applyFill="1" applyBorder="1" applyAlignment="1">
      <alignment horizontal="center"/>
    </xf>
    <xf numFmtId="0" fontId="12" fillId="2" borderId="35" xfId="18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/>
    </xf>
    <xf numFmtId="0" fontId="12" fillId="16" borderId="5" xfId="0" applyFont="1" applyFill="1" applyBorder="1" applyAlignment="1">
      <alignment horizontal="center"/>
    </xf>
    <xf numFmtId="0" fontId="12" fillId="16" borderId="0" xfId="0" applyFont="1" applyFill="1" applyBorder="1" applyAlignment="1">
      <alignment horizontal="center"/>
    </xf>
    <xf numFmtId="0" fontId="12" fillId="16" borderId="30" xfId="0" applyFont="1" applyFill="1" applyBorder="1" applyAlignment="1">
      <alignment horizontal="center"/>
    </xf>
    <xf numFmtId="0" fontId="0" fillId="0" borderId="31" xfId="0" applyBorder="1"/>
    <xf numFmtId="0" fontId="12" fillId="2" borderId="36" xfId="9" applyFont="1" applyFill="1" applyBorder="1" applyAlignment="1">
      <alignment horizontal="center" vertical="center"/>
    </xf>
    <xf numFmtId="167" fontId="12" fillId="7" borderId="37" xfId="0" applyNumberFormat="1" applyFont="1" applyFill="1" applyBorder="1" applyAlignment="1">
      <alignment horizontal="center"/>
    </xf>
    <xf numFmtId="0" fontId="12" fillId="2" borderId="31" xfId="18" applyFont="1" applyFill="1" applyBorder="1" applyAlignment="1">
      <alignment vertical="center"/>
    </xf>
    <xf numFmtId="0" fontId="12" fillId="2" borderId="31" xfId="9" applyFont="1" applyFill="1" applyBorder="1" applyAlignment="1">
      <alignment vertical="center"/>
    </xf>
    <xf numFmtId="167" fontId="12" fillId="7" borderId="31" xfId="0" applyNumberFormat="1" applyFont="1" applyFill="1" applyBorder="1" applyAlignment="1">
      <alignment horizontal="center"/>
    </xf>
    <xf numFmtId="0" fontId="12" fillId="7" borderId="30" xfId="0" quotePrefix="1" applyFont="1" applyFill="1" applyBorder="1" applyAlignment="1">
      <alignment wrapText="1"/>
    </xf>
    <xf numFmtId="0" fontId="12" fillId="2" borderId="30" xfId="7" applyFont="1" applyFill="1" applyBorder="1">
      <alignment horizontal="left"/>
    </xf>
    <xf numFmtId="0" fontId="9" fillId="7" borderId="30" xfId="0" quotePrefix="1" applyFont="1" applyFill="1" applyBorder="1"/>
    <xf numFmtId="0" fontId="12" fillId="2" borderId="30" xfId="34" applyFont="1" applyFill="1" applyBorder="1" applyAlignment="1">
      <alignment horizontal="center"/>
    </xf>
    <xf numFmtId="165" fontId="12" fillId="7" borderId="30" xfId="0" applyNumberFormat="1" applyFont="1" applyFill="1" applyBorder="1" applyAlignment="1">
      <alignment horizontal="center"/>
    </xf>
    <xf numFmtId="165" fontId="12" fillId="7" borderId="31" xfId="0" applyNumberFormat="1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0" xfId="7" applyFont="1" applyFill="1" applyBorder="1">
      <alignment horizontal="left"/>
    </xf>
    <xf numFmtId="0" fontId="12" fillId="2" borderId="12" xfId="0" quotePrefix="1" applyFont="1" applyFill="1" applyBorder="1" applyAlignment="1">
      <alignment horizontal="right" vertical="center"/>
    </xf>
    <xf numFmtId="0" fontId="12" fillId="2" borderId="12" xfId="0" applyFont="1" applyFill="1" applyBorder="1" applyAlignment="1">
      <alignment horizontal="right" vertical="center"/>
    </xf>
    <xf numFmtId="0" fontId="12" fillId="2" borderId="11" xfId="0" applyFont="1" applyFill="1" applyBorder="1" applyAlignment="1">
      <alignment horizontal="right" vertical="center"/>
    </xf>
    <xf numFmtId="165" fontId="12" fillId="0" borderId="0" xfId="0" applyNumberFormat="1" applyFont="1" applyFill="1" applyBorder="1" applyAlignment="1">
      <alignment horizontal="center"/>
    </xf>
    <xf numFmtId="0" fontId="0" fillId="0" borderId="39" xfId="0" applyBorder="1"/>
    <xf numFmtId="1" fontId="12" fillId="0" borderId="0" xfId="0" applyNumberFormat="1" applyFont="1" applyFill="1" applyBorder="1" applyAlignment="1">
      <alignment horizontal="center"/>
    </xf>
    <xf numFmtId="16" fontId="12" fillId="2" borderId="0" xfId="34" quotePrefix="1" applyNumberFormat="1" applyFont="1" applyFill="1" applyBorder="1" applyAlignment="1">
      <alignment horizontal="center"/>
    </xf>
    <xf numFmtId="0" fontId="12" fillId="2" borderId="0" xfId="7" applyFont="1" applyFill="1" applyBorder="1" applyAlignment="1">
      <alignment horizontal="left" vertical="center"/>
    </xf>
    <xf numFmtId="0" fontId="9" fillId="7" borderId="0" xfId="0" quotePrefix="1" applyFont="1" applyFill="1" applyAlignment="1">
      <alignment vertical="center" wrapText="1"/>
    </xf>
    <xf numFmtId="0" fontId="9" fillId="7" borderId="0" xfId="0" quotePrefix="1" applyFont="1" applyFill="1" applyAlignment="1">
      <alignment horizontal="left" vertical="center" wrapText="1"/>
    </xf>
    <xf numFmtId="0" fontId="12" fillId="2" borderId="30" xfId="9" applyFont="1" applyFill="1" applyBorder="1" applyAlignment="1">
      <alignment horizontal="center"/>
    </xf>
    <xf numFmtId="0" fontId="4" fillId="6" borderId="5" xfId="34" applyFont="1" applyFill="1" applyBorder="1" applyAlignment="1">
      <alignment horizontal="center" vertical="center"/>
    </xf>
    <xf numFmtId="1" fontId="12" fillId="2" borderId="0" xfId="0" applyNumberFormat="1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0" fontId="12" fillId="2" borderId="30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 vertical="center" wrapText="1"/>
    </xf>
    <xf numFmtId="10" fontId="12" fillId="7" borderId="0" xfId="86" applyNumberFormat="1" applyFont="1" applyFill="1" applyBorder="1" applyAlignment="1">
      <alignment horizontal="center"/>
    </xf>
    <xf numFmtId="10" fontId="12" fillId="7" borderId="39" xfId="86" applyNumberFormat="1" applyFont="1" applyFill="1" applyBorder="1" applyAlignment="1">
      <alignment horizontal="center"/>
    </xf>
    <xf numFmtId="0" fontId="12" fillId="43" borderId="0" xfId="7" applyFont="1" applyFill="1" applyBorder="1">
      <alignment horizontal="left"/>
    </xf>
    <xf numFmtId="0" fontId="9" fillId="43" borderId="0" xfId="0" quotePrefix="1" applyFont="1" applyFill="1"/>
    <xf numFmtId="5" fontId="12" fillId="7" borderId="0" xfId="85" applyNumberFormat="1" applyFont="1" applyFill="1" applyBorder="1" applyAlignment="1">
      <alignment horizontal="center"/>
    </xf>
    <xf numFmtId="5" fontId="12" fillId="7" borderId="39" xfId="85" applyNumberFormat="1" applyFont="1" applyFill="1" applyBorder="1" applyAlignment="1">
      <alignment horizontal="center"/>
    </xf>
    <xf numFmtId="165" fontId="12" fillId="43" borderId="39" xfId="0" applyNumberFormat="1" applyFont="1" applyFill="1" applyBorder="1" applyAlignment="1">
      <alignment horizontal="center"/>
    </xf>
    <xf numFmtId="1" fontId="12" fillId="42" borderId="0" xfId="0" applyNumberFormat="1" applyFont="1" applyFill="1" applyBorder="1" applyAlignment="1">
      <alignment horizontal="center"/>
    </xf>
    <xf numFmtId="164" fontId="12" fillId="2" borderId="4" xfId="0" applyNumberFormat="1" applyFont="1" applyFill="1" applyBorder="1" applyAlignment="1">
      <alignment horizontal="left" vertical="center"/>
    </xf>
    <xf numFmtId="0" fontId="12" fillId="7" borderId="4" xfId="0" quotePrefix="1" applyFont="1" applyFill="1" applyBorder="1" applyAlignment="1">
      <alignment horizontal="left" vertical="center" wrapText="1"/>
    </xf>
    <xf numFmtId="0" fontId="12" fillId="0" borderId="0" xfId="0" quotePrefix="1" applyFont="1"/>
    <xf numFmtId="0" fontId="48" fillId="0" borderId="0" xfId="0" applyFont="1"/>
    <xf numFmtId="2" fontId="0" fillId="0" borderId="0" xfId="0" applyNumberFormat="1"/>
    <xf numFmtId="0" fontId="12" fillId="2" borderId="0" xfId="18" applyNumberFormat="1" applyFont="1" applyFill="1" applyBorder="1" applyAlignment="1">
      <alignment horizontal="center" vertical="center"/>
    </xf>
    <xf numFmtId="0" fontId="12" fillId="2" borderId="17" xfId="18" applyNumberFormat="1" applyFont="1" applyFill="1" applyBorder="1" applyAlignment="1">
      <alignment horizontal="center" vertical="center"/>
    </xf>
    <xf numFmtId="0" fontId="12" fillId="2" borderId="18" xfId="18" applyNumberFormat="1" applyFont="1" applyFill="1" applyBorder="1" applyAlignment="1">
      <alignment horizontal="center" vertical="center"/>
    </xf>
    <xf numFmtId="0" fontId="14" fillId="6" borderId="8" xfId="18" applyFont="1" applyFill="1" applyBorder="1" applyAlignment="1">
      <alignment horizontal="center" vertical="center"/>
    </xf>
    <xf numFmtId="0" fontId="12" fillId="43" borderId="30" xfId="7" applyFont="1" applyFill="1" applyBorder="1">
      <alignment horizontal="left"/>
    </xf>
    <xf numFmtId="0" fontId="9" fillId="43" borderId="30" xfId="0" quotePrefix="1" applyFont="1" applyFill="1" applyBorder="1"/>
    <xf numFmtId="0" fontId="4" fillId="5" borderId="5" xfId="0" applyFont="1" applyFill="1" applyBorder="1" applyAlignment="1">
      <alignment horizontal="center" vertical="center" wrapText="1"/>
    </xf>
    <xf numFmtId="0" fontId="14" fillId="2" borderId="0" xfId="7" applyFont="1" applyFill="1" applyBorder="1">
      <alignment horizontal="left"/>
    </xf>
    <xf numFmtId="0" fontId="14" fillId="7" borderId="0" xfId="0" quotePrefix="1" applyFont="1" applyFill="1"/>
    <xf numFmtId="0" fontId="9" fillId="7" borderId="0" xfId="0" quotePrefix="1" applyFont="1" applyFill="1" applyBorder="1"/>
    <xf numFmtId="0" fontId="49" fillId="0" borderId="0" xfId="0" applyFont="1"/>
    <xf numFmtId="0" fontId="12" fillId="0" borderId="0" xfId="0" applyFont="1" applyAlignment="1">
      <alignment wrapText="1"/>
    </xf>
    <xf numFmtId="0" fontId="4" fillId="5" borderId="5" xfId="0" applyFont="1" applyFill="1" applyBorder="1" applyAlignment="1">
      <alignment horizontal="center" vertical="center" wrapText="1"/>
    </xf>
    <xf numFmtId="0" fontId="9" fillId="7" borderId="0" xfId="0" quotePrefix="1" applyFont="1" applyFill="1" applyAlignment="1">
      <alignment horizontal="center"/>
    </xf>
    <xf numFmtId="0" fontId="9" fillId="7" borderId="30" xfId="0" quotePrefix="1" applyFont="1" applyFill="1" applyBorder="1" applyAlignment="1">
      <alignment horizontal="center"/>
    </xf>
    <xf numFmtId="0" fontId="0" fillId="0" borderId="0" xfId="0"/>
    <xf numFmtId="0" fontId="12" fillId="0" borderId="0" xfId="0" applyFont="1"/>
    <xf numFmtId="0" fontId="4" fillId="6" borderId="5" xfId="0" applyFont="1" applyFill="1" applyBorder="1" applyAlignment="1">
      <alignment horizontal="center" vertical="center"/>
    </xf>
    <xf numFmtId="0" fontId="12" fillId="16" borderId="5" xfId="0" applyFont="1" applyFill="1" applyBorder="1" applyAlignment="1">
      <alignment horizontal="center"/>
    </xf>
    <xf numFmtId="0" fontId="12" fillId="16" borderId="0" xfId="0" applyFont="1" applyFill="1" applyBorder="1" applyAlignment="1">
      <alignment horizontal="center"/>
    </xf>
    <xf numFmtId="0" fontId="12" fillId="16" borderId="30" xfId="0" applyFont="1" applyFill="1" applyBorder="1" applyAlignment="1">
      <alignment horizontal="center"/>
    </xf>
    <xf numFmtId="0" fontId="12" fillId="16" borderId="31" xfId="0" applyFont="1" applyFill="1" applyBorder="1" applyAlignment="1">
      <alignment horizontal="center"/>
    </xf>
    <xf numFmtId="0" fontId="0" fillId="2" borderId="31" xfId="0" applyFill="1" applyBorder="1"/>
    <xf numFmtId="0" fontId="12" fillId="2" borderId="0" xfId="9" applyFont="1" applyFill="1" applyBorder="1" applyAlignment="1">
      <alignment horizontal="center" vertical="center"/>
    </xf>
    <xf numFmtId="0" fontId="12" fillId="2" borderId="30" xfId="9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 wrapText="1"/>
    </xf>
    <xf numFmtId="0" fontId="50" fillId="0" borderId="0" xfId="0" applyFont="1"/>
    <xf numFmtId="0" fontId="4" fillId="5" borderId="5" xfId="0" applyFont="1" applyFill="1" applyBorder="1" applyAlignment="1">
      <alignment horizontal="center" vertical="center" wrapText="1"/>
    </xf>
    <xf numFmtId="0" fontId="12" fillId="2" borderId="30" xfId="18" applyFont="1" applyFill="1" applyBorder="1" applyAlignment="1">
      <alignment horizontal="center"/>
    </xf>
    <xf numFmtId="164" fontId="12" fillId="2" borderId="30" xfId="0" applyNumberFormat="1" applyFont="1" applyFill="1" applyBorder="1" applyAlignment="1">
      <alignment horizontal="left"/>
    </xf>
    <xf numFmtId="0" fontId="13" fillId="2" borderId="30" xfId="0" applyFont="1" applyFill="1" applyBorder="1" applyAlignment="1">
      <alignment horizontal="left" vertical="center"/>
    </xf>
    <xf numFmtId="0" fontId="13" fillId="2" borderId="30" xfId="0" applyFont="1" applyFill="1" applyBorder="1" applyAlignment="1">
      <alignment vertical="center"/>
    </xf>
    <xf numFmtId="0" fontId="12" fillId="0" borderId="30" xfId="18" applyFont="1" applyFill="1" applyBorder="1" applyAlignment="1">
      <alignment horizontal="center"/>
    </xf>
    <xf numFmtId="0" fontId="12" fillId="2" borderId="14" xfId="18" applyFont="1" applyFill="1" applyBorder="1" applyAlignment="1">
      <alignment horizontal="center"/>
    </xf>
    <xf numFmtId="0" fontId="13" fillId="2" borderId="30" xfId="34" applyFont="1" applyFill="1" applyBorder="1" applyAlignment="1">
      <alignment horizontal="left" vertical="center"/>
    </xf>
    <xf numFmtId="0" fontId="13" fillId="2" borderId="0" xfId="34" applyFont="1" applyFill="1" applyBorder="1" applyAlignment="1">
      <alignment vertical="center"/>
    </xf>
    <xf numFmtId="0" fontId="4" fillId="5" borderId="5" xfId="0" applyFont="1" applyFill="1" applyBorder="1" applyAlignment="1">
      <alignment horizontal="center" vertical="center" wrapText="1"/>
    </xf>
    <xf numFmtId="165" fontId="12" fillId="7" borderId="39" xfId="85" applyNumberFormat="1" applyFont="1" applyFill="1" applyBorder="1" applyAlignment="1">
      <alignment horizontal="center"/>
    </xf>
    <xf numFmtId="0" fontId="5" fillId="7" borderId="0" xfId="0" quotePrefix="1" applyFont="1" applyFill="1"/>
    <xf numFmtId="165" fontId="12" fillId="7" borderId="30" xfId="18" applyNumberFormat="1" applyFont="1" applyFill="1" applyBorder="1" applyAlignment="1">
      <alignment horizontal="center"/>
    </xf>
    <xf numFmtId="165" fontId="12" fillId="7" borderId="11" xfId="18" applyNumberFormat="1" applyFont="1" applyFill="1" applyBorder="1" applyAlignment="1">
      <alignment horizontal="center"/>
    </xf>
    <xf numFmtId="0" fontId="12" fillId="16" borderId="30" xfId="0" quotePrefix="1" applyFont="1" applyFill="1" applyBorder="1" applyAlignment="1">
      <alignment wrapText="1"/>
    </xf>
    <xf numFmtId="0" fontId="12" fillId="2" borderId="12" xfId="18" applyFont="1" applyFill="1" applyBorder="1" applyAlignment="1">
      <alignment vertical="center"/>
    </xf>
    <xf numFmtId="0" fontId="14" fillId="2" borderId="0" xfId="7" applyFont="1" applyFill="1" applyBorder="1" applyAlignment="1">
      <alignment horizontal="left" vertical="center"/>
    </xf>
    <xf numFmtId="0" fontId="50" fillId="16" borderId="19" xfId="0" applyNumberFormat="1" applyFont="1" applyFill="1" applyBorder="1" applyAlignment="1">
      <alignment horizontal="center"/>
    </xf>
    <xf numFmtId="1" fontId="50" fillId="16" borderId="19" xfId="0" applyNumberFormat="1" applyFont="1" applyFill="1" applyBorder="1" applyAlignment="1">
      <alignment horizontal="center"/>
    </xf>
    <xf numFmtId="0" fontId="50" fillId="16" borderId="20" xfId="0" applyNumberFormat="1" applyFont="1" applyFill="1" applyBorder="1" applyAlignment="1">
      <alignment horizontal="center"/>
    </xf>
    <xf numFmtId="1" fontId="50" fillId="16" borderId="20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4" fillId="5" borderId="5" xfId="0" applyFont="1" applyFill="1" applyBorder="1" applyAlignment="1">
      <alignment horizontal="center" vertical="center" wrapText="1"/>
    </xf>
    <xf numFmtId="0" fontId="12" fillId="2" borderId="30" xfId="18" applyFont="1" applyFill="1" applyBorder="1" applyAlignment="1">
      <alignment horizontal="center"/>
    </xf>
    <xf numFmtId="165" fontId="12" fillId="45" borderId="0" xfId="0" applyNumberFormat="1" applyFont="1" applyFill="1" applyBorder="1" applyAlignment="1">
      <alignment horizontal="center"/>
    </xf>
    <xf numFmtId="165" fontId="12" fillId="16" borderId="30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165" fontId="12" fillId="7" borderId="13" xfId="18" quotePrefix="1" applyNumberFormat="1" applyFont="1" applyFill="1" applyBorder="1" applyAlignment="1">
      <alignment horizontal="left" vertical="center"/>
    </xf>
    <xf numFmtId="165" fontId="12" fillId="7" borderId="14" xfId="18" quotePrefix="1" applyNumberFormat="1" applyFont="1" applyFill="1" applyBorder="1" applyAlignment="1">
      <alignment horizontal="left" vertical="center"/>
    </xf>
    <xf numFmtId="14" fontId="12" fillId="0" borderId="0" xfId="0" applyNumberFormat="1" applyFont="1" applyAlignment="1">
      <alignment horizontal="right"/>
    </xf>
    <xf numFmtId="0" fontId="52" fillId="7" borderId="0" xfId="0" quotePrefix="1" applyFont="1" applyFill="1" applyBorder="1"/>
    <xf numFmtId="0" fontId="4" fillId="2" borderId="0" xfId="7" applyFont="1" applyFill="1" applyBorder="1" applyAlignment="1">
      <alignment horizontal="left" vertical="center"/>
    </xf>
    <xf numFmtId="0" fontId="31" fillId="0" borderId="0" xfId="0" applyFont="1" applyAlignment="1">
      <alignment wrapText="1"/>
    </xf>
    <xf numFmtId="0" fontId="9" fillId="7" borderId="0" xfId="0" quotePrefix="1" applyFont="1" applyFill="1"/>
    <xf numFmtId="0" fontId="4" fillId="2" borderId="0" xfId="7" applyFont="1" applyFill="1" applyBorder="1">
      <alignment horizontal="left"/>
    </xf>
    <xf numFmtId="0" fontId="12" fillId="7" borderId="0" xfId="0" quotePrefix="1" applyFont="1" applyFill="1" applyBorder="1" applyAlignment="1">
      <alignment wrapText="1"/>
    </xf>
    <xf numFmtId="0" fontId="3" fillId="7" borderId="0" xfId="0" quotePrefix="1" applyFont="1" applyFill="1" applyAlignment="1">
      <alignment wrapText="1"/>
    </xf>
    <xf numFmtId="0" fontId="0" fillId="0" borderId="0" xfId="0"/>
    <xf numFmtId="0" fontId="14" fillId="7" borderId="0" xfId="0" quotePrefix="1" applyFont="1" applyFill="1"/>
    <xf numFmtId="0" fontId="0" fillId="0" borderId="0" xfId="0"/>
    <xf numFmtId="0" fontId="0" fillId="0" borderId="0" xfId="0" applyFont="1" applyAlignment="1">
      <alignment wrapText="1"/>
    </xf>
    <xf numFmtId="0" fontId="4" fillId="5" borderId="0" xfId="5" applyFont="1" applyFill="1" applyBorder="1" applyAlignment="1">
      <alignment horizontal="center" vertical="top" wrapText="1"/>
    </xf>
    <xf numFmtId="0" fontId="14" fillId="9" borderId="0" xfId="5" applyFont="1" applyFill="1" applyBorder="1" applyAlignment="1">
      <alignment horizontal="center" vertical="top" wrapText="1"/>
    </xf>
    <xf numFmtId="0" fontId="5" fillId="2" borderId="0" xfId="7" applyFont="1" applyFill="1" applyBorder="1">
      <alignment horizontal="left"/>
    </xf>
    <xf numFmtId="0" fontId="0" fillId="0" borderId="0" xfId="0" quotePrefix="1" applyFont="1" applyAlignment="1">
      <alignment wrapText="1"/>
    </xf>
    <xf numFmtId="0" fontId="3" fillId="7" borderId="0" xfId="0" quotePrefix="1" applyFont="1" applyFill="1"/>
    <xf numFmtId="0" fontId="5" fillId="2" borderId="30" xfId="7" applyFont="1" applyFill="1" applyBorder="1">
      <alignment horizontal="left"/>
    </xf>
    <xf numFmtId="0" fontId="3" fillId="7" borderId="0" xfId="0" quotePrefix="1" applyFont="1" applyFill="1" applyBorder="1"/>
    <xf numFmtId="0" fontId="3" fillId="7" borderId="30" xfId="0" quotePrefix="1" applyFont="1" applyFill="1" applyBorder="1"/>
    <xf numFmtId="0" fontId="4" fillId="2" borderId="46" xfId="7" applyFont="1" applyFill="1" applyBorder="1">
      <alignment horizontal="left"/>
    </xf>
    <xf numFmtId="0" fontId="4" fillId="7" borderId="46" xfId="0" quotePrefix="1" applyFont="1" applyFill="1" applyBorder="1"/>
    <xf numFmtId="0" fontId="14" fillId="6" borderId="37" xfId="18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12" fillId="7" borderId="0" xfId="0" quotePrefix="1" applyFont="1" applyFill="1" applyBorder="1"/>
    <xf numFmtId="0" fontId="12" fillId="2" borderId="0" xfId="7" applyFont="1" applyFill="1" applyBorder="1">
      <alignment horizontal="left"/>
    </xf>
    <xf numFmtId="0" fontId="12" fillId="7" borderId="0" xfId="0" quotePrefix="1" applyFont="1" applyFill="1" applyBorder="1" applyAlignment="1">
      <alignment wrapText="1"/>
    </xf>
    <xf numFmtId="0" fontId="4" fillId="5" borderId="50" xfId="0" applyFont="1" applyFill="1" applyBorder="1" applyAlignment="1">
      <alignment horizontal="center" vertical="center" wrapText="1"/>
    </xf>
    <xf numFmtId="0" fontId="4" fillId="6" borderId="50" xfId="0" applyFont="1" applyFill="1" applyBorder="1" applyAlignment="1">
      <alignment horizontal="center" vertical="center"/>
    </xf>
    <xf numFmtId="0" fontId="13" fillId="2" borderId="0" xfId="0" quotePrefix="1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0" fillId="0" borderId="46" xfId="0" applyBorder="1"/>
    <xf numFmtId="165" fontId="12" fillId="7" borderId="46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165" fontId="5" fillId="7" borderId="0" xfId="0" quotePrefix="1" applyNumberFormat="1" applyFont="1" applyFill="1" applyBorder="1" applyAlignment="1">
      <alignment horizontal="center"/>
    </xf>
    <xf numFmtId="0" fontId="5" fillId="7" borderId="0" xfId="0" quotePrefix="1" applyFont="1" applyFill="1" applyBorder="1" applyAlignment="1">
      <alignment horizontal="left" wrapText="1"/>
    </xf>
    <xf numFmtId="164" fontId="12" fillId="2" borderId="0" xfId="0" applyNumberFormat="1" applyFont="1" applyFill="1" applyBorder="1" applyAlignment="1">
      <alignment horizontal="left" vertical="top"/>
    </xf>
    <xf numFmtId="0" fontId="8" fillId="6" borderId="54" xfId="0" applyFont="1" applyFill="1" applyBorder="1" applyAlignment="1">
      <alignment horizontal="center" vertical="center"/>
    </xf>
    <xf numFmtId="0" fontId="12" fillId="2" borderId="0" xfId="84" applyFont="1" applyFill="1" applyBorder="1">
      <alignment horizontal="left"/>
    </xf>
    <xf numFmtId="0" fontId="12" fillId="2" borderId="30" xfId="84" applyFont="1" applyFill="1" applyBorder="1">
      <alignment horizontal="left"/>
    </xf>
    <xf numFmtId="0" fontId="5" fillId="7" borderId="30" xfId="0" quotePrefix="1" applyFont="1" applyFill="1" applyBorder="1"/>
    <xf numFmtId="164" fontId="12" fillId="2" borderId="52" xfId="0" applyNumberFormat="1" applyFont="1" applyFill="1" applyBorder="1" applyAlignment="1">
      <alignment horizontal="left"/>
    </xf>
    <xf numFmtId="0" fontId="12" fillId="7" borderId="52" xfId="0" quotePrefix="1" applyFont="1" applyFill="1" applyBorder="1" applyAlignment="1">
      <alignment horizontal="left" wrapText="1"/>
    </xf>
    <xf numFmtId="0" fontId="4" fillId="5" borderId="54" xfId="34" applyFont="1" applyFill="1" applyBorder="1" applyAlignment="1">
      <alignment horizontal="center" vertical="center" wrapText="1"/>
    </xf>
    <xf numFmtId="0" fontId="4" fillId="6" borderId="54" xfId="34" applyFont="1" applyFill="1" applyBorder="1" applyAlignment="1">
      <alignment horizontal="center" vertical="center"/>
    </xf>
    <xf numFmtId="0" fontId="70" fillId="2" borderId="55" xfId="0" applyFont="1" applyFill="1" applyBorder="1" applyAlignment="1">
      <alignment vertical="center"/>
    </xf>
    <xf numFmtId="165" fontId="14" fillId="7" borderId="0" xfId="0" applyNumberFormat="1" applyFont="1" applyFill="1" applyBorder="1" applyAlignment="1">
      <alignment horizontal="center"/>
    </xf>
    <xf numFmtId="165" fontId="14" fillId="45" borderId="0" xfId="0" applyNumberFormat="1" applyFont="1" applyFill="1" applyBorder="1" applyAlignment="1">
      <alignment horizontal="center"/>
    </xf>
    <xf numFmtId="165" fontId="12" fillId="16" borderId="0" xfId="0" applyNumberFormat="1" applyFont="1" applyFill="1" applyBorder="1" applyAlignment="1">
      <alignment horizontal="center"/>
    </xf>
    <xf numFmtId="0" fontId="0" fillId="16" borderId="0" xfId="0" applyFill="1"/>
    <xf numFmtId="0" fontId="70" fillId="2" borderId="56" xfId="0" applyFont="1" applyFill="1" applyBorder="1" applyAlignment="1">
      <alignment vertical="center"/>
    </xf>
    <xf numFmtId="165" fontId="14" fillId="16" borderId="0" xfId="0" applyNumberFormat="1" applyFont="1" applyFill="1" applyBorder="1" applyAlignment="1">
      <alignment horizontal="center"/>
    </xf>
    <xf numFmtId="0" fontId="0" fillId="16" borderId="0" xfId="0" applyFill="1" applyBorder="1"/>
    <xf numFmtId="0" fontId="0" fillId="2" borderId="30" xfId="0" applyFill="1" applyBorder="1"/>
    <xf numFmtId="0" fontId="0" fillId="16" borderId="30" xfId="0" applyFill="1" applyBorder="1"/>
    <xf numFmtId="0" fontId="13" fillId="2" borderId="52" xfId="34" applyFont="1" applyFill="1" applyBorder="1" applyAlignment="1">
      <alignment vertical="center"/>
    </xf>
    <xf numFmtId="0" fontId="4" fillId="5" borderId="54" xfId="0" applyFont="1" applyFill="1" applyBorder="1" applyAlignment="1">
      <alignment horizontal="center" vertical="center" wrapText="1"/>
    </xf>
    <xf numFmtId="0" fontId="4" fillId="6" borderId="54" xfId="0" applyFont="1" applyFill="1" applyBorder="1" applyAlignment="1">
      <alignment horizontal="center" vertical="center"/>
    </xf>
    <xf numFmtId="167" fontId="12" fillId="7" borderId="30" xfId="0" applyNumberFormat="1" applyFont="1" applyFill="1" applyBorder="1" applyAlignment="1">
      <alignment horizontal="center"/>
    </xf>
    <xf numFmtId="0" fontId="12" fillId="2" borderId="58" xfId="18" applyFont="1" applyFill="1" applyBorder="1" applyAlignment="1">
      <alignment horizontal="center"/>
    </xf>
    <xf numFmtId="167" fontId="12" fillId="7" borderId="5" xfId="0" applyNumberFormat="1" applyFont="1" applyFill="1" applyBorder="1" applyAlignment="1">
      <alignment horizontal="center"/>
    </xf>
    <xf numFmtId="167" fontId="12" fillId="7" borderId="54" xfId="0" applyNumberFormat="1" applyFont="1" applyFill="1" applyBorder="1" applyAlignment="1">
      <alignment horizontal="center"/>
    </xf>
    <xf numFmtId="164" fontId="5" fillId="2" borderId="0" xfId="0" applyNumberFormat="1" applyFont="1" applyFill="1" applyBorder="1" applyAlignment="1">
      <alignment horizontal="left"/>
    </xf>
    <xf numFmtId="0" fontId="12" fillId="7" borderId="0" xfId="0" quotePrefix="1" applyFont="1" applyFill="1" applyBorder="1" applyAlignment="1">
      <alignment horizontal="center" wrapText="1"/>
    </xf>
    <xf numFmtId="0" fontId="12" fillId="7" borderId="30" xfId="0" quotePrefix="1" applyFont="1" applyFill="1" applyBorder="1" applyAlignment="1">
      <alignment horizontal="center" wrapText="1"/>
    </xf>
    <xf numFmtId="0" fontId="12" fillId="7" borderId="0" xfId="0" quotePrefix="1" applyFont="1" applyFill="1" applyBorder="1" applyAlignment="1">
      <alignment wrapText="1"/>
    </xf>
    <xf numFmtId="0" fontId="5" fillId="7" borderId="0" xfId="0" quotePrefix="1" applyFont="1" applyFill="1" applyBorder="1" applyAlignment="1">
      <alignment wrapText="1"/>
    </xf>
    <xf numFmtId="0" fontId="69" fillId="0" borderId="0" xfId="0" applyFont="1" applyAlignment="1">
      <alignment vertical="top"/>
    </xf>
    <xf numFmtId="14" fontId="0" fillId="0" borderId="0" xfId="0" applyNumberFormat="1" applyAlignment="1">
      <alignment horizontal="right"/>
    </xf>
    <xf numFmtId="168" fontId="12" fillId="0" borderId="0" xfId="0" applyNumberFormat="1" applyFont="1" applyAlignment="1">
      <alignment horizontal="right" vertical="center"/>
    </xf>
    <xf numFmtId="168" fontId="12" fillId="0" borderId="0" xfId="0" quotePrefix="1" applyNumberFormat="1" applyFont="1" applyAlignment="1">
      <alignment horizontal="right" vertical="center"/>
    </xf>
    <xf numFmtId="0" fontId="12" fillId="0" borderId="0" xfId="0" applyFont="1" applyAlignment="1">
      <alignment horizontal="right"/>
    </xf>
    <xf numFmtId="168" fontId="12" fillId="0" borderId="0" xfId="0" applyNumberFormat="1" applyFont="1" applyAlignment="1">
      <alignment horizontal="right"/>
    </xf>
    <xf numFmtId="169" fontId="12" fillId="7" borderId="61" xfId="0" quotePrefix="1" applyNumberFormat="1" applyFont="1" applyFill="1" applyBorder="1" applyAlignment="1">
      <alignment horizontal="left" wrapText="1"/>
    </xf>
    <xf numFmtId="167" fontId="12" fillId="7" borderId="62" xfId="0" quotePrefix="1" applyNumberFormat="1" applyFont="1" applyFill="1" applyBorder="1" applyAlignment="1">
      <alignment horizontal="left"/>
    </xf>
    <xf numFmtId="167" fontId="12" fillId="7" borderId="62" xfId="0" quotePrefix="1" applyNumberFormat="1" applyFont="1" applyFill="1" applyBorder="1" applyAlignment="1">
      <alignment horizontal="left" wrapText="1"/>
    </xf>
    <xf numFmtId="167" fontId="12" fillId="7" borderId="63" xfId="0" quotePrefix="1" applyNumberFormat="1" applyFont="1" applyFill="1" applyBorder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69" fillId="2" borderId="52" xfId="18" applyFont="1" applyFill="1" applyBorder="1" applyAlignment="1">
      <alignment horizontal="center"/>
    </xf>
    <xf numFmtId="0" fontId="69" fillId="2" borderId="64" xfId="18" applyFont="1" applyFill="1" applyBorder="1" applyAlignment="1">
      <alignment horizontal="center"/>
    </xf>
    <xf numFmtId="165" fontId="69" fillId="7" borderId="52" xfId="18" applyNumberFormat="1" applyFont="1" applyFill="1" applyBorder="1" applyAlignment="1">
      <alignment horizontal="center"/>
    </xf>
    <xf numFmtId="165" fontId="69" fillId="7" borderId="65" xfId="18" applyNumberFormat="1" applyFont="1" applyFill="1" applyBorder="1" applyAlignment="1">
      <alignment horizontal="center"/>
    </xf>
    <xf numFmtId="165" fontId="69" fillId="7" borderId="46" xfId="18" applyNumberFormat="1" applyFont="1" applyFill="1" applyBorder="1" applyAlignment="1">
      <alignment horizontal="center"/>
    </xf>
    <xf numFmtId="0" fontId="27" fillId="0" borderId="0" xfId="0" applyFont="1" applyAlignment="1">
      <alignment horizontal="center" wrapText="1"/>
    </xf>
    <xf numFmtId="0" fontId="0" fillId="0" borderId="35" xfId="0" applyBorder="1" applyAlignment="1">
      <alignment horizontal="center"/>
    </xf>
    <xf numFmtId="0" fontId="3" fillId="7" borderId="0" xfId="0" quotePrefix="1" applyFont="1" applyFill="1" applyAlignment="1">
      <alignment horizontal="left"/>
    </xf>
    <xf numFmtId="0" fontId="3" fillId="7" borderId="30" xfId="0" quotePrefix="1" applyFont="1" applyFill="1" applyBorder="1" applyAlignment="1">
      <alignment horizontal="left"/>
    </xf>
    <xf numFmtId="14" fontId="12" fillId="0" borderId="0" xfId="0" applyNumberFormat="1" applyFont="1"/>
    <xf numFmtId="0" fontId="17" fillId="0" borderId="0" xfId="0" applyFont="1"/>
    <xf numFmtId="0" fontId="12" fillId="43" borderId="0" xfId="0" quotePrefix="1" applyFont="1" applyFill="1" applyBorder="1" applyAlignment="1">
      <alignment wrapText="1"/>
    </xf>
    <xf numFmtId="0" fontId="31" fillId="0" borderId="0" xfId="0" applyFont="1" applyFill="1"/>
    <xf numFmtId="0" fontId="10" fillId="2" borderId="54" xfId="147" applyFont="1" applyFill="1" applyBorder="1" applyAlignment="1">
      <alignment horizontal="left" vertical="center"/>
    </xf>
    <xf numFmtId="0" fontId="10" fillId="2" borderId="0" xfId="147" applyFont="1" applyFill="1" applyBorder="1" applyAlignment="1">
      <alignment horizontal="left" vertical="center"/>
    </xf>
    <xf numFmtId="0" fontId="10" fillId="2" borderId="0" xfId="146" applyFont="1" applyFill="1" applyBorder="1" applyAlignment="1">
      <alignment horizontal="left" vertical="center"/>
    </xf>
    <xf numFmtId="0" fontId="73" fillId="3" borderId="54" xfId="145" applyFont="1" applyFill="1" applyBorder="1" applyAlignment="1" applyProtection="1">
      <alignment horizontal="center" wrapText="1"/>
    </xf>
    <xf numFmtId="14" fontId="4" fillId="6" borderId="54" xfId="8" applyNumberFormat="1" applyFont="1" applyFill="1" applyBorder="1" applyAlignment="1">
      <alignment horizontal="center" vertical="center"/>
    </xf>
    <xf numFmtId="0" fontId="4" fillId="6" borderId="54" xfId="8" applyFont="1" applyFill="1" applyBorder="1" applyAlignment="1">
      <alignment horizontal="center" vertical="center"/>
    </xf>
    <xf numFmtId="164" fontId="12" fillId="2" borderId="41" xfId="8" applyNumberFormat="1" applyFont="1" applyFill="1" applyBorder="1" applyAlignment="1">
      <alignment horizontal="center" vertical="center"/>
    </xf>
    <xf numFmtId="2" fontId="12" fillId="2" borderId="41" xfId="8" applyNumberFormat="1" applyFont="1" applyFill="1" applyBorder="1" applyAlignment="1">
      <alignment horizontal="center"/>
    </xf>
    <xf numFmtId="1" fontId="12" fillId="7" borderId="41" xfId="8" quotePrefix="1" applyNumberFormat="1" applyFont="1" applyFill="1" applyBorder="1" applyAlignment="1">
      <alignment horizontal="left" wrapText="1"/>
    </xf>
    <xf numFmtId="164" fontId="12" fillId="2" borderId="0" xfId="8" applyNumberFormat="1" applyFont="1" applyFill="1" applyBorder="1" applyAlignment="1">
      <alignment horizontal="center" vertical="center"/>
    </xf>
    <xf numFmtId="2" fontId="12" fillId="2" borderId="0" xfId="8" applyNumberFormat="1" applyFont="1" applyFill="1" applyBorder="1" applyAlignment="1">
      <alignment horizontal="center"/>
    </xf>
    <xf numFmtId="1" fontId="12" fillId="7" borderId="0" xfId="8" applyNumberFormat="1" applyFont="1" applyFill="1" applyBorder="1" applyAlignment="1">
      <alignment horizontal="center"/>
    </xf>
    <xf numFmtId="2" fontId="12" fillId="7" borderId="0" xfId="8" applyNumberFormat="1" applyFont="1" applyFill="1" applyBorder="1" applyAlignment="1">
      <alignment horizontal="center"/>
    </xf>
    <xf numFmtId="164" fontId="12" fillId="2" borderId="41" xfId="8" applyNumberFormat="1" applyFont="1" applyFill="1" applyBorder="1" applyAlignment="1"/>
    <xf numFmtId="2" fontId="12" fillId="7" borderId="41" xfId="8" applyNumberFormat="1" applyFont="1" applyFill="1" applyBorder="1" applyAlignment="1">
      <alignment horizontal="center"/>
    </xf>
    <xf numFmtId="164" fontId="12" fillId="2" borderId="30" xfId="8" applyNumberFormat="1" applyFont="1" applyFill="1" applyBorder="1" applyAlignment="1">
      <alignment horizontal="center"/>
    </xf>
    <xf numFmtId="164" fontId="12" fillId="2" borderId="30" xfId="8" applyNumberFormat="1" applyFont="1" applyFill="1" applyBorder="1" applyAlignment="1">
      <alignment horizontal="left"/>
    </xf>
    <xf numFmtId="2" fontId="12" fillId="7" borderId="30" xfId="8" applyNumberFormat="1" applyFont="1" applyFill="1" applyBorder="1" applyAlignment="1">
      <alignment horizontal="center"/>
    </xf>
    <xf numFmtId="0" fontId="10" fillId="2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vertical="center"/>
    </xf>
    <xf numFmtId="0" fontId="14" fillId="6" borderId="54" xfId="18" applyFont="1" applyFill="1" applyBorder="1" applyAlignment="1">
      <alignment horizontal="center" vertical="center"/>
    </xf>
    <xf numFmtId="15" fontId="12" fillId="2" borderId="0" xfId="0" applyNumberFormat="1" applyFont="1" applyFill="1" applyBorder="1" applyAlignment="1">
      <alignment horizontal="center"/>
    </xf>
    <xf numFmtId="15" fontId="12" fillId="2" borderId="30" xfId="0" applyNumberFormat="1" applyFont="1" applyFill="1" applyBorder="1" applyAlignment="1">
      <alignment horizontal="center"/>
    </xf>
    <xf numFmtId="0" fontId="69" fillId="7" borderId="0" xfId="0" quotePrefix="1" applyFont="1" applyFill="1" applyBorder="1"/>
    <xf numFmtId="0" fontId="69" fillId="2" borderId="0" xfId="7" applyFont="1" applyFill="1" applyBorder="1">
      <alignment horizontal="left"/>
    </xf>
    <xf numFmtId="0" fontId="5" fillId="2" borderId="61" xfId="0" applyFont="1" applyFill="1" applyBorder="1" applyAlignment="1">
      <alignment horizontal="center" vertical="center" wrapText="1"/>
    </xf>
    <xf numFmtId="0" fontId="5" fillId="2" borderId="62" xfId="18" applyFont="1" applyFill="1" applyBorder="1" applyAlignment="1">
      <alignment horizontal="center"/>
    </xf>
    <xf numFmtId="0" fontId="5" fillId="2" borderId="62" xfId="0" applyFont="1" applyFill="1" applyBorder="1" applyAlignment="1">
      <alignment horizontal="center" vertical="center" wrapText="1"/>
    </xf>
    <xf numFmtId="0" fontId="5" fillId="2" borderId="63" xfId="18" applyFont="1" applyFill="1" applyBorder="1" applyAlignment="1">
      <alignment horizontal="center" vertical="center"/>
    </xf>
    <xf numFmtId="0" fontId="12" fillId="48" borderId="0" xfId="9" quotePrefix="1" applyFont="1" applyFill="1" applyBorder="1" applyAlignment="1">
      <alignment horizontal="center" vertical="center"/>
    </xf>
    <xf numFmtId="0" fontId="12" fillId="48" borderId="30" xfId="9" quotePrefix="1" applyFont="1" applyFill="1" applyBorder="1" applyAlignment="1">
      <alignment horizontal="center" vertical="center"/>
    </xf>
    <xf numFmtId="0" fontId="0" fillId="2" borderId="46" xfId="0" applyFill="1" applyBorder="1"/>
    <xf numFmtId="167" fontId="12" fillId="7" borderId="46" xfId="0" applyNumberFormat="1" applyFont="1" applyFill="1" applyBorder="1" applyAlignment="1">
      <alignment horizontal="center"/>
    </xf>
    <xf numFmtId="165" fontId="12" fillId="48" borderId="13" xfId="18" quotePrefix="1" applyNumberFormat="1" applyFont="1" applyFill="1" applyBorder="1" applyAlignment="1">
      <alignment horizontal="center" vertical="center"/>
    </xf>
    <xf numFmtId="165" fontId="12" fillId="48" borderId="13" xfId="18" applyNumberFormat="1" applyFont="1" applyFill="1" applyBorder="1" applyAlignment="1">
      <alignment horizontal="center" vertical="center"/>
    </xf>
    <xf numFmtId="0" fontId="12" fillId="2" borderId="30" xfId="18" applyNumberFormat="1" applyFont="1" applyFill="1" applyBorder="1" applyAlignment="1">
      <alignment horizontal="center" vertical="center"/>
    </xf>
    <xf numFmtId="165" fontId="12" fillId="48" borderId="14" xfId="18" applyNumberFormat="1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13" fillId="2" borderId="54" xfId="8" applyFont="1" applyFill="1" applyBorder="1" applyAlignment="1">
      <alignment horizontal="left" vertical="center"/>
    </xf>
    <xf numFmtId="0" fontId="13" fillId="2" borderId="46" xfId="8" applyFont="1" applyFill="1" applyBorder="1" applyAlignment="1">
      <alignment horizontal="left" vertical="center"/>
    </xf>
    <xf numFmtId="164" fontId="12" fillId="2" borderId="0" xfId="8" applyNumberFormat="1" applyFont="1" applyFill="1" applyBorder="1" applyAlignment="1">
      <alignment horizontal="center" vertical="center"/>
    </xf>
    <xf numFmtId="164" fontId="12" fillId="2" borderId="41" xfId="8" applyNumberFormat="1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0" fontId="5" fillId="2" borderId="46" xfId="0" applyFont="1" applyFill="1" applyBorder="1" applyAlignment="1">
      <alignment horizontal="center" vertical="center" wrapText="1"/>
    </xf>
    <xf numFmtId="0" fontId="12" fillId="2" borderId="13" xfId="9" applyFont="1" applyFill="1" applyBorder="1" applyAlignment="1">
      <alignment horizontal="center" vertical="center"/>
    </xf>
    <xf numFmtId="0" fontId="12" fillId="2" borderId="14" xfId="9" applyFont="1" applyFill="1" applyBorder="1" applyAlignment="1">
      <alignment horizontal="center" vertical="center"/>
    </xf>
    <xf numFmtId="0" fontId="10" fillId="2" borderId="46" xfId="0" applyFont="1" applyFill="1" applyBorder="1" applyAlignment="1">
      <alignment horizontal="center" vertical="center"/>
    </xf>
    <xf numFmtId="0" fontId="14" fillId="44" borderId="40" xfId="18" applyFont="1" applyFill="1" applyBorder="1" applyAlignment="1">
      <alignment horizontal="center"/>
    </xf>
    <xf numFmtId="0" fontId="14" fillId="44" borderId="41" xfId="18" applyFont="1" applyFill="1" applyBorder="1" applyAlignment="1">
      <alignment horizontal="center"/>
    </xf>
    <xf numFmtId="0" fontId="5" fillId="2" borderId="46" xfId="0" applyFont="1" applyFill="1" applyBorder="1" applyAlignment="1">
      <alignment horizontal="left" vertical="center"/>
    </xf>
    <xf numFmtId="0" fontId="13" fillId="2" borderId="31" xfId="34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14" fillId="44" borderId="49" xfId="18" applyFont="1" applyFill="1" applyBorder="1" applyAlignment="1">
      <alignment horizontal="center"/>
    </xf>
    <xf numFmtId="0" fontId="13" fillId="2" borderId="31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5" fillId="0" borderId="31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/>
    </xf>
    <xf numFmtId="0" fontId="5" fillId="2" borderId="5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12" fillId="2" borderId="57" xfId="18" applyFont="1" applyFill="1" applyBorder="1" applyAlignment="1">
      <alignment horizontal="center" vertical="center"/>
    </xf>
    <xf numFmtId="0" fontId="12" fillId="2" borderId="34" xfId="18" applyFont="1" applyFill="1" applyBorder="1" applyAlignment="1">
      <alignment horizontal="center" vertical="center"/>
    </xf>
    <xf numFmtId="0" fontId="13" fillId="0" borderId="31" xfId="0" applyFont="1" applyFill="1" applyBorder="1" applyAlignment="1">
      <alignment horizontal="left" vertical="center" wrapText="1"/>
    </xf>
    <xf numFmtId="0" fontId="12" fillId="2" borderId="32" xfId="18" applyFont="1" applyFill="1" applyBorder="1" applyAlignment="1">
      <alignment horizontal="center" vertical="center"/>
    </xf>
    <xf numFmtId="0" fontId="12" fillId="2" borderId="0" xfId="18" applyFont="1" applyFill="1" applyBorder="1" applyAlignment="1">
      <alignment horizontal="center" vertical="center"/>
    </xf>
    <xf numFmtId="0" fontId="5" fillId="2" borderId="62" xfId="18" applyFont="1" applyFill="1" applyBorder="1" applyAlignment="1">
      <alignment horizontal="center" vertical="center"/>
    </xf>
    <xf numFmtId="0" fontId="5" fillId="2" borderId="63" xfId="18" applyFont="1" applyFill="1" applyBorder="1" applyAlignment="1">
      <alignment horizontal="center" vertical="center"/>
    </xf>
    <xf numFmtId="0" fontId="5" fillId="2" borderId="61" xfId="18" applyFont="1" applyFill="1" applyBorder="1" applyAlignment="1">
      <alignment horizontal="center" vertical="center"/>
    </xf>
    <xf numFmtId="0" fontId="5" fillId="2" borderId="62" xfId="18" applyFont="1" applyFill="1" applyBorder="1" applyAlignment="1">
      <alignment horizontal="center"/>
    </xf>
    <xf numFmtId="0" fontId="5" fillId="2" borderId="63" xfId="18" applyFont="1" applyFill="1" applyBorder="1" applyAlignment="1">
      <alignment horizontal="center"/>
    </xf>
    <xf numFmtId="0" fontId="5" fillId="0" borderId="31" xfId="0" applyFont="1" applyFill="1" applyBorder="1" applyAlignment="1">
      <alignment horizontal="center" vertical="center" wrapText="1"/>
    </xf>
    <xf numFmtId="0" fontId="10" fillId="2" borderId="46" xfId="0" applyFont="1" applyFill="1" applyBorder="1" applyAlignment="1">
      <alignment horizontal="left" vertical="center"/>
    </xf>
    <xf numFmtId="0" fontId="12" fillId="2" borderId="38" xfId="0" quotePrefix="1" applyFont="1" applyFill="1" applyBorder="1" applyAlignment="1">
      <alignment horizontal="center" vertical="center"/>
    </xf>
    <xf numFmtId="0" fontId="12" fillId="2" borderId="17" xfId="0" quotePrefix="1" applyFont="1" applyFill="1" applyBorder="1" applyAlignment="1">
      <alignment horizontal="center" vertical="center"/>
    </xf>
    <xf numFmtId="0" fontId="12" fillId="2" borderId="18" xfId="0" quotePrefix="1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3" fillId="0" borderId="6" xfId="34" applyFont="1" applyFill="1" applyBorder="1" applyAlignment="1">
      <alignment horizontal="center" vertical="center"/>
    </xf>
    <xf numFmtId="0" fontId="13" fillId="0" borderId="31" xfId="0" applyFont="1" applyFill="1" applyBorder="1" applyAlignment="1">
      <alignment horizontal="center" vertical="center" wrapText="1"/>
    </xf>
    <xf numFmtId="0" fontId="4" fillId="5" borderId="0" xfId="34" applyFont="1" applyFill="1" applyBorder="1" applyAlignment="1">
      <alignment horizontal="center" vertical="center" wrapText="1"/>
    </xf>
    <xf numFmtId="0" fontId="13" fillId="2" borderId="52" xfId="34" applyFont="1" applyFill="1" applyBorder="1" applyAlignment="1">
      <alignment horizontal="center" vertical="center"/>
    </xf>
    <xf numFmtId="0" fontId="10" fillId="2" borderId="52" xfId="0" applyFont="1" applyFill="1" applyBorder="1" applyAlignment="1">
      <alignment horizontal="left" vertical="center"/>
    </xf>
    <xf numFmtId="0" fontId="11" fillId="2" borderId="21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0" fontId="13" fillId="43" borderId="6" xfId="34" applyFont="1" applyFill="1" applyBorder="1" applyAlignment="1">
      <alignment horizontal="center" vertical="center"/>
    </xf>
    <xf numFmtId="0" fontId="12" fillId="2" borderId="4" xfId="18" applyFont="1" applyFill="1" applyBorder="1" applyAlignment="1">
      <alignment horizontal="center" vertical="center"/>
    </xf>
    <xf numFmtId="0" fontId="13" fillId="2" borderId="6" xfId="34" applyFont="1" applyFill="1" applyBorder="1" applyAlignment="1">
      <alignment horizontal="center" vertical="center"/>
    </xf>
    <xf numFmtId="0" fontId="5" fillId="2" borderId="52" xfId="0" applyFont="1" applyFill="1" applyBorder="1" applyAlignment="1">
      <alignment horizontal="center" vertical="center"/>
    </xf>
    <xf numFmtId="0" fontId="3" fillId="2" borderId="1" xfId="83" applyFont="1" applyFill="1" applyBorder="1" applyAlignment="1">
      <alignment horizontal="center" vertical="center"/>
    </xf>
    <xf numFmtId="0" fontId="3" fillId="2" borderId="53" xfId="83" applyFont="1" applyFill="1" applyBorder="1" applyAlignment="1">
      <alignment horizontal="center" vertical="center"/>
    </xf>
    <xf numFmtId="0" fontId="3" fillId="2" borderId="59" xfId="83" applyFont="1" applyFill="1" applyBorder="1" applyAlignment="1">
      <alignment horizontal="center" vertical="center"/>
    </xf>
    <xf numFmtId="0" fontId="3" fillId="2" borderId="60" xfId="83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/>
    </xf>
    <xf numFmtId="0" fontId="12" fillId="0" borderId="3" xfId="0" applyFont="1" applyBorder="1" applyAlignment="1">
      <alignment horizontal="left"/>
    </xf>
  </cellXfs>
  <cellStyles count="149">
    <cellStyle name=" 1" xfId="8"/>
    <cellStyle name=" 1 2 3" xfId="1"/>
    <cellStyle name=" 1 3" xfId="145"/>
    <cellStyle name=" 1 3 2" xfId="147"/>
    <cellStyle name=" 1 3 3 2" xfId="146"/>
    <cellStyle name="=C:\WINNT\SYSTEM32\COMMAND.COM 2 2 2" xfId="2"/>
    <cellStyle name="=C:\WINNT\SYSTEM32\COMMAND.COM 2 3" xfId="3"/>
    <cellStyle name="=C:\WINNT\SYSTEM32\COMMAND.COM 3" xfId="4"/>
    <cellStyle name="=C:\WINNT\SYSTEM32\COMMAND.COM 4" xfId="5"/>
    <cellStyle name="0DECIMAL" xfId="6"/>
    <cellStyle name="20% - Accent1" xfId="57" builtinId="30" customBuiltin="1"/>
    <cellStyle name="20% - Accent1 2" xfId="38"/>
    <cellStyle name="20% - Accent1 2 16" xfId="24"/>
    <cellStyle name="20% - Accent1 2 4 3 3" xfId="88"/>
    <cellStyle name="20% - Accent1 2 6" xfId="23"/>
    <cellStyle name="20% - Accent1 3" xfId="37"/>
    <cellStyle name="20% - Accent1 3 2 2" xfId="7"/>
    <cellStyle name="20% - Accent2" xfId="61" builtinId="34" customBuiltin="1"/>
    <cellStyle name="20% - Accent2 2" xfId="9"/>
    <cellStyle name="20% - Accent2 2 17" xfId="21"/>
    <cellStyle name="20% - Accent3" xfId="65" builtinId="38" customBuiltin="1"/>
    <cellStyle name="20% - Accent3 2" xfId="22"/>
    <cellStyle name="20% - Accent3 2 2" xfId="32"/>
    <cellStyle name="20% - Accent3 2 3" xfId="33"/>
    <cellStyle name="20% - Accent4" xfId="69" builtinId="42" customBuiltin="1"/>
    <cellStyle name="20% - Accent5" xfId="73" builtinId="46" customBuiltin="1"/>
    <cellStyle name="20% - Accent6" xfId="77" builtinId="50" customBuiltin="1"/>
    <cellStyle name="40% - Accent1" xfId="58" builtinId="31" customBuiltin="1"/>
    <cellStyle name="40% - Accent2" xfId="62" builtinId="35" customBuiltin="1"/>
    <cellStyle name="40% - Accent3" xfId="66" builtinId="39" customBuiltin="1"/>
    <cellStyle name="40% - Accent4" xfId="70" builtinId="43" customBuiltin="1"/>
    <cellStyle name="40% - Accent5" xfId="74" builtinId="47" customBuiltin="1"/>
    <cellStyle name="40% - Accent6" xfId="78" builtinId="51" customBuiltin="1"/>
    <cellStyle name="60% - Accent1" xfId="59" builtinId="32" customBuiltin="1"/>
    <cellStyle name="60% - Accent2" xfId="63" builtinId="36" customBuiltin="1"/>
    <cellStyle name="60% - Accent3" xfId="67" builtinId="40" customBuiltin="1"/>
    <cellStyle name="60% - Accent4" xfId="71" builtinId="44" customBuiltin="1"/>
    <cellStyle name="60% - Accent5" xfId="75" builtinId="48" customBuiltin="1"/>
    <cellStyle name="60% - Accent6" xfId="79" builtinId="52" customBuiltin="1"/>
    <cellStyle name="Accent1" xfId="56" builtinId="29" customBuiltin="1"/>
    <cellStyle name="Accent2" xfId="60" builtinId="33" customBuiltin="1"/>
    <cellStyle name="Accent3" xfId="64" builtinId="37" customBuiltin="1"/>
    <cellStyle name="Accent4" xfId="68" builtinId="41" customBuiltin="1"/>
    <cellStyle name="Accent5" xfId="72" builtinId="45" customBuiltin="1"/>
    <cellStyle name="Accent6" xfId="76" builtinId="49" customBuiltin="1"/>
    <cellStyle name="AFE" xfId="109"/>
    <cellStyle name="Bad" xfId="46" builtinId="27" customBuiltin="1"/>
    <cellStyle name="Calculation" xfId="50" builtinId="22" customBuiltin="1"/>
    <cellStyle name="Calculation 2" xfId="29"/>
    <cellStyle name="Check Cell" xfId="52" builtinId="23" customBuiltin="1"/>
    <cellStyle name="Comma 2" xfId="15"/>
    <cellStyle name="Comma 2 2" xfId="20"/>
    <cellStyle name="Comma 2 2 2" xfId="90"/>
    <cellStyle name="Comma 2 3" xfId="89"/>
    <cellStyle name="Currency" xfId="85" builtinId="4"/>
    <cellStyle name="Currency 2" xfId="25"/>
    <cellStyle name="Currency 3" xfId="34"/>
    <cellStyle name="Datatype" xfId="84"/>
    <cellStyle name="Explanatory Text" xfId="54" builtinId="53" customBuiltin="1"/>
    <cellStyle name="Explanatory Text 2" xfId="96"/>
    <cellStyle name="Good" xfId="45" builtinId="26" customBuiltin="1"/>
    <cellStyle name="Good 2" xfId="91"/>
    <cellStyle name="Good 2 2" xfId="99"/>
    <cellStyle name="Heading 1" xfId="41" builtinId="16" customBuiltin="1"/>
    <cellStyle name="Heading 2" xfId="42" builtinId="17" customBuiltin="1"/>
    <cellStyle name="Heading 2 2" xfId="111"/>
    <cellStyle name="Heading 2 3" xfId="110"/>
    <cellStyle name="Heading 3" xfId="43" builtinId="18" customBuiltin="1"/>
    <cellStyle name="Heading 3 2" xfId="13"/>
    <cellStyle name="Heading 3 2 2" xfId="117"/>
    <cellStyle name="Heading 3 2 3" xfId="113"/>
    <cellStyle name="Heading 3 3" xfId="112"/>
    <cellStyle name="Heading 3 4" xfId="102"/>
    <cellStyle name="Heading 4" xfId="44" builtinId="19" customBuiltin="1"/>
    <cellStyle name="Hyperlink 2" xfId="107"/>
    <cellStyle name="Hyperlink 3" xfId="114"/>
    <cellStyle name="Hyperlink 4" xfId="101"/>
    <cellStyle name="Hyperlink 5" xfId="119"/>
    <cellStyle name="Input" xfId="48" builtinId="20" customBuiltin="1"/>
    <cellStyle name="Input 2" xfId="27"/>
    <cellStyle name="Linked Cell" xfId="51" builtinId="24" customBuiltin="1"/>
    <cellStyle name="Neutral" xfId="47" builtinId="28" customBuiltin="1"/>
    <cellStyle name="Neutral 2" xfId="26"/>
    <cellStyle name="Neutral 2 2" xfId="97"/>
    <cellStyle name="Normal" xfId="0" builtinId="0"/>
    <cellStyle name="Normal 10" xfId="122"/>
    <cellStyle name="Normal 10 14" xfId="39"/>
    <cellStyle name="Normal 10 2" xfId="16"/>
    <cellStyle name="Normal 10 5" xfId="30"/>
    <cellStyle name="Normal 11" xfId="120"/>
    <cellStyle name="Normal 11 2 4" xfId="12"/>
    <cellStyle name="Normal 11 2 4 2" xfId="35"/>
    <cellStyle name="Normal 117" xfId="83"/>
    <cellStyle name="Normal 2" xfId="10"/>
    <cellStyle name="Normal 2 2" xfId="19"/>
    <cellStyle name="Normal 2 2 2" xfId="105"/>
    <cellStyle name="Normal 2 2 3" xfId="98"/>
    <cellStyle name="Normal 2 3" xfId="31"/>
    <cellStyle name="Normal 2 3 2" xfId="103"/>
    <cellStyle name="Normal 2 4" xfId="80"/>
    <cellStyle name="Normal 2 4 2" xfId="93"/>
    <cellStyle name="Normal 3" xfId="18"/>
    <cellStyle name="Normal 3 2" xfId="104"/>
    <cellStyle name="Normal 3 3" xfId="92"/>
    <cellStyle name="Normal 4" xfId="17"/>
    <cellStyle name="Normal 4 2" xfId="106"/>
    <cellStyle name="Normal 5" xfId="14"/>
    <cellStyle name="Normal 5 2" xfId="36"/>
    <cellStyle name="Normal 5 2 2" xfId="108"/>
    <cellStyle name="Normal 6" xfId="100"/>
    <cellStyle name="Normal 7" xfId="11"/>
    <cellStyle name="Normal 7 2" xfId="118"/>
    <cellStyle name="Normal 8" xfId="95"/>
    <cellStyle name="Normal 9" xfId="121"/>
    <cellStyle name="Note 2" xfId="82"/>
    <cellStyle name="NotUsedPFAttribute" xfId="115"/>
    <cellStyle name="Output" xfId="49" builtinId="21" customBuiltin="1"/>
    <cellStyle name="Output 2" xfId="28"/>
    <cellStyle name="Percent" xfId="86" builtinId="5"/>
    <cellStyle name="TableStyleLight1" xfId="94"/>
    <cellStyle name="Title" xfId="40" builtinId="15" customBuiltin="1"/>
    <cellStyle name="Total" xfId="55" builtinId="25" customBuiltin="1"/>
    <cellStyle name="UsedAttributeForCSAA" xfId="116"/>
    <cellStyle name="UsedAttributeForCSAA 2" xfId="123"/>
    <cellStyle name="UsedAttributeForCSAA 2 2" xfId="87"/>
    <cellStyle name="UsedAttributeForCSAA 2 2 2" xfId="127"/>
    <cellStyle name="UsedAttributeForCSAA 2 2 3" xfId="126"/>
    <cellStyle name="UsedAttributeForCSAA 2 2 4" xfId="128"/>
    <cellStyle name="UsedAttributeForCSAA 2 2 5" xfId="144"/>
    <cellStyle name="UsedAttributeForCSAA 2 3" xfId="131"/>
    <cellStyle name="UsedAttributeForCSAA 2 4" xfId="133"/>
    <cellStyle name="UsedAttributeForCSAA 2 5" xfId="135"/>
    <cellStyle name="UsedAttributeForCSAA 2 6" xfId="139"/>
    <cellStyle name="UsedAttributeForCSAA 2 7" xfId="140"/>
    <cellStyle name="UsedAttributeForCSAA 2 8" xfId="142"/>
    <cellStyle name="UsedAttributeForCSAA 3" xfId="124"/>
    <cellStyle name="UsedAttributeForCSAA 3 2" xfId="132"/>
    <cellStyle name="UsedAttributeForCSAA 3 3" xfId="134"/>
    <cellStyle name="UsedAttributeForCSAA 3 4" xfId="136"/>
    <cellStyle name="UsedAttributeForCSAA 3 5" xfId="143"/>
    <cellStyle name="UsedAttributeForCSAA 4" xfId="130"/>
    <cellStyle name="UsedAttributeForCSAA 5" xfId="125"/>
    <cellStyle name="UsedAttributeForCSAA 6" xfId="129"/>
    <cellStyle name="UsedAttributeForCSAA 7" xfId="138"/>
    <cellStyle name="UsedAttributeForCSAA 8" xfId="137"/>
    <cellStyle name="UsedAttributeForCSAA 9" xfId="141"/>
    <cellStyle name="Warning Text" xfId="53" builtinId="11" customBuiltin="1"/>
    <cellStyle name="Обычный 4" xfId="81"/>
    <cellStyle name="Стиль 1" xfId="148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4472C4"/>
          <bgColor rgb="FF4472C4"/>
        </patternFill>
      </fill>
    </dxf>
  </dxfs>
  <tableStyles count="2" defaultTableStyle="TableStyleMedium2" defaultPivotStyle="PivotStyleLight16">
    <tableStyle name="Table Style 1" pivot="0" count="0"/>
    <tableStyle name="-History-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QuickPremiumEstimator_Nov.2017v1.0.case%20moto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ick Premium Estimator"/>
      <sheetName val="Detailed Calculation House"/>
      <sheetName val="Detailed Calculation Contents"/>
      <sheetName val="Detailed Calculation Motor"/>
      <sheetName val="List Data Motor"/>
      <sheetName val="Base Motor"/>
      <sheetName val="Optional Covers Motor"/>
      <sheetName val="Modifiers Motor"/>
      <sheetName val="List Data Contents"/>
      <sheetName val="Base Contents"/>
      <sheetName val="Optional Covers contents"/>
      <sheetName val="Disaster Cover Rates Contents"/>
      <sheetName val="Specified Items Contents"/>
      <sheetName val="Modifiers Contents"/>
      <sheetName val="List Data House"/>
      <sheetName val="Base House"/>
      <sheetName val="Disaster Cover House"/>
      <sheetName val="Optional Covers House"/>
      <sheetName val="Modifiers House"/>
      <sheetName val="Version Control"/>
      <sheetName val="IF Motor Rating - Current"/>
      <sheetName val="IF House Rating - Required"/>
      <sheetName val="IF Contents Rating - Required"/>
      <sheetName val="IF Disaster Rating - Required"/>
      <sheetName val="IF Motor Rating - Required"/>
    </sheetNames>
    <sheetDataSet>
      <sheetData sheetId="0"/>
      <sheetData sheetId="1"/>
      <sheetData sheetId="2"/>
      <sheetData sheetId="3"/>
      <sheetData sheetId="4">
        <row r="5">
          <cell r="W5" t="str">
            <v>Monthly</v>
          </cell>
          <cell r="Y5" t="str">
            <v>Any Driver</v>
          </cell>
        </row>
        <row r="6">
          <cell r="W6" t="str">
            <v>Quarterly</v>
          </cell>
          <cell r="Y6" t="str">
            <v>Over 25 year olds only</v>
          </cell>
        </row>
        <row r="7">
          <cell r="W7" t="str">
            <v>Half-Yearly</v>
          </cell>
          <cell r="Y7" t="str">
            <v>Named Drivers</v>
          </cell>
        </row>
        <row r="8">
          <cell r="W8" t="str">
            <v>Annually</v>
          </cell>
        </row>
      </sheetData>
      <sheetData sheetId="5"/>
      <sheetData sheetId="6"/>
      <sheetData sheetId="7">
        <row r="5">
          <cell r="BL5">
            <v>0</v>
          </cell>
        </row>
        <row r="6">
          <cell r="BL6">
            <v>110</v>
          </cell>
        </row>
        <row r="7">
          <cell r="BL7">
            <v>112</v>
          </cell>
        </row>
        <row r="8">
          <cell r="BL8">
            <v>114</v>
          </cell>
        </row>
        <row r="9">
          <cell r="BL9">
            <v>116</v>
          </cell>
        </row>
        <row r="10">
          <cell r="BL10">
            <v>118</v>
          </cell>
        </row>
        <row r="11">
          <cell r="BL11">
            <v>170</v>
          </cell>
        </row>
        <row r="12">
          <cell r="BL12">
            <v>171</v>
          </cell>
        </row>
        <row r="13">
          <cell r="BL13">
            <v>172</v>
          </cell>
        </row>
        <row r="14">
          <cell r="BL14">
            <v>173</v>
          </cell>
        </row>
        <row r="15">
          <cell r="BL15">
            <v>174</v>
          </cell>
        </row>
        <row r="16">
          <cell r="BL16">
            <v>175</v>
          </cell>
        </row>
        <row r="17">
          <cell r="BL17">
            <v>176</v>
          </cell>
        </row>
        <row r="18">
          <cell r="BL18">
            <v>178</v>
          </cell>
        </row>
        <row r="19">
          <cell r="BL19">
            <v>179</v>
          </cell>
        </row>
        <row r="20">
          <cell r="BL20">
            <v>181</v>
          </cell>
        </row>
        <row r="21">
          <cell r="BL21">
            <v>182</v>
          </cell>
        </row>
        <row r="22">
          <cell r="BL22">
            <v>184</v>
          </cell>
        </row>
        <row r="23">
          <cell r="BL23">
            <v>185</v>
          </cell>
        </row>
        <row r="24">
          <cell r="BL24">
            <v>192</v>
          </cell>
        </row>
        <row r="25">
          <cell r="BL25">
            <v>193</v>
          </cell>
        </row>
        <row r="26">
          <cell r="BL26">
            <v>200</v>
          </cell>
        </row>
        <row r="27">
          <cell r="BL27">
            <v>202</v>
          </cell>
        </row>
        <row r="28">
          <cell r="BL28">
            <v>204</v>
          </cell>
        </row>
        <row r="29">
          <cell r="BL29">
            <v>210</v>
          </cell>
        </row>
        <row r="30">
          <cell r="BL30">
            <v>211</v>
          </cell>
        </row>
        <row r="31">
          <cell r="BL31">
            <v>230</v>
          </cell>
        </row>
        <row r="32">
          <cell r="BL32">
            <v>271</v>
          </cell>
        </row>
        <row r="33">
          <cell r="BL33">
            <v>272</v>
          </cell>
        </row>
        <row r="34">
          <cell r="BL34">
            <v>281</v>
          </cell>
        </row>
        <row r="35">
          <cell r="BL35">
            <v>282</v>
          </cell>
        </row>
        <row r="36">
          <cell r="BL36">
            <v>283</v>
          </cell>
        </row>
        <row r="37">
          <cell r="BL37">
            <v>293</v>
          </cell>
        </row>
        <row r="38">
          <cell r="BL38">
            <v>294</v>
          </cell>
        </row>
        <row r="39">
          <cell r="BL39">
            <v>295</v>
          </cell>
        </row>
        <row r="40">
          <cell r="BL40">
            <v>310</v>
          </cell>
        </row>
        <row r="41">
          <cell r="BL41">
            <v>370</v>
          </cell>
        </row>
        <row r="42">
          <cell r="BL42">
            <v>371</v>
          </cell>
        </row>
        <row r="43">
          <cell r="BL43">
            <v>372</v>
          </cell>
        </row>
        <row r="44">
          <cell r="BL44">
            <v>373</v>
          </cell>
        </row>
        <row r="45">
          <cell r="BL45">
            <v>374</v>
          </cell>
        </row>
        <row r="46">
          <cell r="BL46">
            <v>376</v>
          </cell>
        </row>
        <row r="47">
          <cell r="BL47">
            <v>377</v>
          </cell>
        </row>
        <row r="48">
          <cell r="BL48">
            <v>379</v>
          </cell>
        </row>
        <row r="49">
          <cell r="BL49">
            <v>381</v>
          </cell>
        </row>
        <row r="50">
          <cell r="BL50">
            <v>391</v>
          </cell>
        </row>
        <row r="51">
          <cell r="BL51">
            <v>405</v>
          </cell>
        </row>
        <row r="52">
          <cell r="BL52">
            <v>410</v>
          </cell>
        </row>
        <row r="53">
          <cell r="BL53">
            <v>420</v>
          </cell>
        </row>
        <row r="54">
          <cell r="BL54">
            <v>472</v>
          </cell>
        </row>
        <row r="55">
          <cell r="BL55">
            <v>473</v>
          </cell>
        </row>
        <row r="56">
          <cell r="BL56">
            <v>474</v>
          </cell>
        </row>
        <row r="57">
          <cell r="BL57">
            <v>475</v>
          </cell>
        </row>
        <row r="58">
          <cell r="BL58">
            <v>476</v>
          </cell>
        </row>
        <row r="59">
          <cell r="BL59">
            <v>478</v>
          </cell>
        </row>
        <row r="60">
          <cell r="BL60">
            <v>479</v>
          </cell>
        </row>
        <row r="61">
          <cell r="BL61">
            <v>481</v>
          </cell>
        </row>
        <row r="62">
          <cell r="BL62">
            <v>482</v>
          </cell>
        </row>
        <row r="63">
          <cell r="BL63">
            <v>483</v>
          </cell>
        </row>
        <row r="64">
          <cell r="BL64">
            <v>484</v>
          </cell>
        </row>
        <row r="65">
          <cell r="BL65">
            <v>486</v>
          </cell>
        </row>
        <row r="66">
          <cell r="BL66">
            <v>491</v>
          </cell>
        </row>
        <row r="67">
          <cell r="BL67">
            <v>492</v>
          </cell>
        </row>
        <row r="68">
          <cell r="BL68">
            <v>494</v>
          </cell>
        </row>
        <row r="69">
          <cell r="BL69">
            <v>496</v>
          </cell>
        </row>
        <row r="70">
          <cell r="BL70">
            <v>505</v>
          </cell>
        </row>
        <row r="71">
          <cell r="BL71">
            <v>510</v>
          </cell>
        </row>
        <row r="72">
          <cell r="BL72">
            <v>520</v>
          </cell>
        </row>
        <row r="73">
          <cell r="BL73">
            <v>530</v>
          </cell>
        </row>
        <row r="74">
          <cell r="BL74">
            <v>571</v>
          </cell>
        </row>
        <row r="75">
          <cell r="BL75">
            <v>573</v>
          </cell>
        </row>
        <row r="76">
          <cell r="BL76">
            <v>582</v>
          </cell>
        </row>
        <row r="77">
          <cell r="BL77">
            <v>583</v>
          </cell>
        </row>
        <row r="78">
          <cell r="BL78">
            <v>587</v>
          </cell>
        </row>
        <row r="79">
          <cell r="BL79">
            <v>588</v>
          </cell>
        </row>
        <row r="80">
          <cell r="BL80">
            <v>589</v>
          </cell>
        </row>
        <row r="81">
          <cell r="BL81">
            <v>591</v>
          </cell>
        </row>
        <row r="82">
          <cell r="BL82">
            <v>592</v>
          </cell>
        </row>
        <row r="83">
          <cell r="BL83">
            <v>593</v>
          </cell>
        </row>
        <row r="84">
          <cell r="BL84">
            <v>594</v>
          </cell>
        </row>
        <row r="85">
          <cell r="BL85">
            <v>600</v>
          </cell>
        </row>
        <row r="86">
          <cell r="BL86">
            <v>602</v>
          </cell>
        </row>
        <row r="87">
          <cell r="BL87">
            <v>604</v>
          </cell>
        </row>
        <row r="88">
          <cell r="BL88">
            <v>610</v>
          </cell>
        </row>
        <row r="89">
          <cell r="BL89">
            <v>612</v>
          </cell>
        </row>
        <row r="90">
          <cell r="BL90">
            <v>614</v>
          </cell>
        </row>
        <row r="91">
          <cell r="BL91">
            <v>618</v>
          </cell>
        </row>
        <row r="92">
          <cell r="BL92">
            <v>620</v>
          </cell>
        </row>
        <row r="93">
          <cell r="BL93">
            <v>622</v>
          </cell>
        </row>
        <row r="94">
          <cell r="BL94">
            <v>624</v>
          </cell>
        </row>
        <row r="95">
          <cell r="BL95">
            <v>626</v>
          </cell>
        </row>
        <row r="96">
          <cell r="BL96">
            <v>627</v>
          </cell>
        </row>
        <row r="97">
          <cell r="BL97">
            <v>629</v>
          </cell>
        </row>
        <row r="98">
          <cell r="BL98">
            <v>630</v>
          </cell>
        </row>
        <row r="99">
          <cell r="BL99">
            <v>632</v>
          </cell>
        </row>
        <row r="100">
          <cell r="BL100">
            <v>772</v>
          </cell>
        </row>
        <row r="101">
          <cell r="BL101">
            <v>781</v>
          </cell>
        </row>
        <row r="102">
          <cell r="BL102">
            <v>782</v>
          </cell>
        </row>
        <row r="103">
          <cell r="BL103">
            <v>792</v>
          </cell>
        </row>
        <row r="104">
          <cell r="BL104">
            <v>793</v>
          </cell>
        </row>
        <row r="105">
          <cell r="BL105">
            <v>794</v>
          </cell>
        </row>
        <row r="106">
          <cell r="BL106">
            <v>800</v>
          </cell>
        </row>
        <row r="107">
          <cell r="BL107">
            <v>810</v>
          </cell>
        </row>
        <row r="108">
          <cell r="BL108">
            <v>812</v>
          </cell>
        </row>
        <row r="109">
          <cell r="BL109">
            <v>814</v>
          </cell>
        </row>
        <row r="110">
          <cell r="BL110">
            <v>820</v>
          </cell>
        </row>
        <row r="111">
          <cell r="BL111">
            <v>830</v>
          </cell>
        </row>
        <row r="112">
          <cell r="BL112">
            <v>871</v>
          </cell>
        </row>
        <row r="113">
          <cell r="BL113">
            <v>873</v>
          </cell>
        </row>
        <row r="114">
          <cell r="BL114">
            <v>874</v>
          </cell>
        </row>
        <row r="115">
          <cell r="BL115">
            <v>875</v>
          </cell>
        </row>
        <row r="116">
          <cell r="BL116">
            <v>881</v>
          </cell>
        </row>
        <row r="117">
          <cell r="BL117">
            <v>882</v>
          </cell>
        </row>
        <row r="118">
          <cell r="BL118">
            <v>883</v>
          </cell>
        </row>
        <row r="119">
          <cell r="BL119">
            <v>891</v>
          </cell>
        </row>
        <row r="120">
          <cell r="BL120">
            <v>892</v>
          </cell>
        </row>
        <row r="121">
          <cell r="BL121">
            <v>900</v>
          </cell>
        </row>
        <row r="122">
          <cell r="BL122">
            <v>910</v>
          </cell>
        </row>
        <row r="123">
          <cell r="BL123">
            <v>920</v>
          </cell>
        </row>
        <row r="124">
          <cell r="BL124">
            <v>930</v>
          </cell>
        </row>
        <row r="125">
          <cell r="BL125">
            <v>931</v>
          </cell>
        </row>
        <row r="126">
          <cell r="BL126">
            <v>932</v>
          </cell>
        </row>
        <row r="127">
          <cell r="BL127">
            <v>972</v>
          </cell>
        </row>
        <row r="128">
          <cell r="BL128">
            <v>973</v>
          </cell>
        </row>
        <row r="129">
          <cell r="BL129">
            <v>974</v>
          </cell>
        </row>
        <row r="130">
          <cell r="BL130">
            <v>975</v>
          </cell>
        </row>
        <row r="131">
          <cell r="BL131">
            <v>977</v>
          </cell>
        </row>
        <row r="132">
          <cell r="BL132">
            <v>981</v>
          </cell>
        </row>
        <row r="133">
          <cell r="BL133">
            <v>982</v>
          </cell>
        </row>
        <row r="134">
          <cell r="BL134">
            <v>983</v>
          </cell>
        </row>
        <row r="135">
          <cell r="BL135">
            <v>984</v>
          </cell>
        </row>
        <row r="136">
          <cell r="BL136">
            <v>985</v>
          </cell>
        </row>
        <row r="137">
          <cell r="BL137">
            <v>986</v>
          </cell>
        </row>
        <row r="138">
          <cell r="BL138">
            <v>991</v>
          </cell>
        </row>
        <row r="139">
          <cell r="BL139">
            <v>992</v>
          </cell>
        </row>
        <row r="140">
          <cell r="BL140">
            <v>993</v>
          </cell>
        </row>
        <row r="141">
          <cell r="BL141">
            <v>1010</v>
          </cell>
        </row>
        <row r="142">
          <cell r="BL142">
            <v>1011</v>
          </cell>
        </row>
        <row r="143">
          <cell r="BL143">
            <v>1021</v>
          </cell>
        </row>
        <row r="144">
          <cell r="BL144">
            <v>1022</v>
          </cell>
        </row>
        <row r="145">
          <cell r="BL145">
            <v>1023</v>
          </cell>
        </row>
        <row r="146">
          <cell r="BL146">
            <v>1024</v>
          </cell>
        </row>
        <row r="147">
          <cell r="BL147">
            <v>1025</v>
          </cell>
        </row>
        <row r="148">
          <cell r="BL148">
            <v>1026</v>
          </cell>
        </row>
        <row r="149">
          <cell r="BL149">
            <v>1041</v>
          </cell>
        </row>
        <row r="150">
          <cell r="BL150">
            <v>1042</v>
          </cell>
        </row>
        <row r="151">
          <cell r="BL151">
            <v>1050</v>
          </cell>
        </row>
        <row r="152">
          <cell r="BL152">
            <v>1051</v>
          </cell>
        </row>
        <row r="153">
          <cell r="BL153">
            <v>1052</v>
          </cell>
        </row>
        <row r="154">
          <cell r="BL154">
            <v>1060</v>
          </cell>
        </row>
        <row r="155">
          <cell r="BL155">
            <v>1061</v>
          </cell>
        </row>
        <row r="156">
          <cell r="BL156">
            <v>1062</v>
          </cell>
        </row>
        <row r="157">
          <cell r="BL157">
            <v>1071</v>
          </cell>
        </row>
        <row r="158">
          <cell r="BL158">
            <v>1072</v>
          </cell>
        </row>
        <row r="159">
          <cell r="BL159">
            <v>1081</v>
          </cell>
        </row>
        <row r="160">
          <cell r="BL160">
            <v>1971</v>
          </cell>
        </row>
        <row r="161">
          <cell r="BL161">
            <v>2010</v>
          </cell>
        </row>
        <row r="162">
          <cell r="BL162">
            <v>2012</v>
          </cell>
        </row>
        <row r="163">
          <cell r="BL163">
            <v>2013</v>
          </cell>
        </row>
        <row r="164">
          <cell r="BL164">
            <v>2014</v>
          </cell>
        </row>
        <row r="165">
          <cell r="BL165">
            <v>2016</v>
          </cell>
        </row>
        <row r="166">
          <cell r="BL166">
            <v>2018</v>
          </cell>
        </row>
        <row r="167">
          <cell r="BL167">
            <v>2022</v>
          </cell>
        </row>
        <row r="168">
          <cell r="BL168">
            <v>2023</v>
          </cell>
        </row>
        <row r="169">
          <cell r="BL169">
            <v>2024</v>
          </cell>
        </row>
        <row r="170">
          <cell r="BL170">
            <v>2025</v>
          </cell>
        </row>
        <row r="171">
          <cell r="BL171">
            <v>2102</v>
          </cell>
        </row>
        <row r="172">
          <cell r="BL172">
            <v>2103</v>
          </cell>
        </row>
        <row r="173">
          <cell r="BL173">
            <v>2104</v>
          </cell>
        </row>
        <row r="174">
          <cell r="BL174">
            <v>2105</v>
          </cell>
        </row>
        <row r="175">
          <cell r="BL175">
            <v>2110</v>
          </cell>
        </row>
        <row r="176">
          <cell r="BL176">
            <v>2112</v>
          </cell>
        </row>
        <row r="177">
          <cell r="BL177">
            <v>2113</v>
          </cell>
        </row>
        <row r="178">
          <cell r="BL178">
            <v>2120</v>
          </cell>
        </row>
        <row r="179">
          <cell r="BL179">
            <v>2121</v>
          </cell>
        </row>
        <row r="180">
          <cell r="BL180">
            <v>2122</v>
          </cell>
        </row>
        <row r="181">
          <cell r="BL181">
            <v>2123</v>
          </cell>
        </row>
        <row r="182">
          <cell r="BL182">
            <v>2471</v>
          </cell>
        </row>
        <row r="183">
          <cell r="BL183">
            <v>2472</v>
          </cell>
        </row>
        <row r="184">
          <cell r="BL184">
            <v>2473</v>
          </cell>
        </row>
        <row r="185">
          <cell r="BL185">
            <v>2474</v>
          </cell>
        </row>
        <row r="186">
          <cell r="BL186">
            <v>2571</v>
          </cell>
        </row>
        <row r="187">
          <cell r="BL187">
            <v>2576</v>
          </cell>
        </row>
        <row r="188">
          <cell r="BL188">
            <v>2577</v>
          </cell>
        </row>
        <row r="189">
          <cell r="BL189">
            <v>2578</v>
          </cell>
        </row>
        <row r="190">
          <cell r="BL190">
            <v>2579</v>
          </cell>
        </row>
        <row r="191">
          <cell r="BL191">
            <v>2580</v>
          </cell>
        </row>
        <row r="192">
          <cell r="BL192">
            <v>2582</v>
          </cell>
        </row>
        <row r="193">
          <cell r="BL193">
            <v>2583</v>
          </cell>
        </row>
        <row r="194">
          <cell r="BL194">
            <v>2584</v>
          </cell>
        </row>
        <row r="195">
          <cell r="BL195">
            <v>2585</v>
          </cell>
        </row>
        <row r="196">
          <cell r="BL196">
            <v>2675</v>
          </cell>
        </row>
        <row r="197">
          <cell r="BL197">
            <v>2676</v>
          </cell>
        </row>
        <row r="198">
          <cell r="BL198">
            <v>2677</v>
          </cell>
        </row>
        <row r="199">
          <cell r="BL199">
            <v>2678</v>
          </cell>
        </row>
        <row r="200">
          <cell r="BL200">
            <v>2679</v>
          </cell>
        </row>
        <row r="201">
          <cell r="BL201">
            <v>2681</v>
          </cell>
        </row>
        <row r="202">
          <cell r="BL202">
            <v>2682</v>
          </cell>
        </row>
        <row r="203">
          <cell r="BL203">
            <v>2683</v>
          </cell>
        </row>
        <row r="204">
          <cell r="BL204">
            <v>2684</v>
          </cell>
        </row>
        <row r="205">
          <cell r="BL205">
            <v>2693</v>
          </cell>
        </row>
        <row r="206">
          <cell r="BL206">
            <v>2694</v>
          </cell>
        </row>
        <row r="207">
          <cell r="BL207">
            <v>2695</v>
          </cell>
        </row>
        <row r="208">
          <cell r="BL208">
            <v>2696</v>
          </cell>
        </row>
        <row r="209">
          <cell r="BL209">
            <v>2697</v>
          </cell>
        </row>
        <row r="210">
          <cell r="BL210">
            <v>3010</v>
          </cell>
        </row>
        <row r="211">
          <cell r="BL211">
            <v>3015</v>
          </cell>
        </row>
        <row r="212">
          <cell r="BL212">
            <v>3020</v>
          </cell>
        </row>
        <row r="213">
          <cell r="BL213">
            <v>3025</v>
          </cell>
        </row>
        <row r="214">
          <cell r="BL214">
            <v>3072</v>
          </cell>
        </row>
        <row r="215">
          <cell r="BL215">
            <v>3073</v>
          </cell>
        </row>
        <row r="216">
          <cell r="BL216">
            <v>3074</v>
          </cell>
        </row>
        <row r="217">
          <cell r="BL217">
            <v>3076</v>
          </cell>
        </row>
        <row r="218">
          <cell r="BL218">
            <v>3077</v>
          </cell>
        </row>
        <row r="219">
          <cell r="BL219">
            <v>3078</v>
          </cell>
        </row>
        <row r="220">
          <cell r="BL220">
            <v>3079</v>
          </cell>
        </row>
        <row r="221">
          <cell r="BL221">
            <v>3081</v>
          </cell>
        </row>
        <row r="222">
          <cell r="BL222">
            <v>3083</v>
          </cell>
        </row>
        <row r="223">
          <cell r="BL223">
            <v>3110</v>
          </cell>
        </row>
        <row r="224">
          <cell r="BL224">
            <v>3112</v>
          </cell>
        </row>
        <row r="225">
          <cell r="BL225">
            <v>3114</v>
          </cell>
        </row>
        <row r="226">
          <cell r="BL226">
            <v>3116</v>
          </cell>
        </row>
        <row r="227">
          <cell r="BL227">
            <v>3118</v>
          </cell>
        </row>
        <row r="228">
          <cell r="BL228">
            <v>3119</v>
          </cell>
        </row>
        <row r="229">
          <cell r="BL229">
            <v>3120</v>
          </cell>
        </row>
        <row r="230">
          <cell r="BL230">
            <v>3121</v>
          </cell>
        </row>
        <row r="231">
          <cell r="BL231">
            <v>3122</v>
          </cell>
        </row>
        <row r="232">
          <cell r="BL232">
            <v>3123</v>
          </cell>
        </row>
        <row r="233">
          <cell r="BL233">
            <v>3127</v>
          </cell>
        </row>
        <row r="234">
          <cell r="BL234">
            <v>3129</v>
          </cell>
        </row>
        <row r="235">
          <cell r="BL235">
            <v>3170</v>
          </cell>
        </row>
        <row r="236">
          <cell r="BL236">
            <v>3171</v>
          </cell>
        </row>
        <row r="237">
          <cell r="BL237">
            <v>3172</v>
          </cell>
        </row>
        <row r="238">
          <cell r="BL238">
            <v>3173</v>
          </cell>
        </row>
        <row r="239">
          <cell r="BL239">
            <v>3175</v>
          </cell>
        </row>
        <row r="240">
          <cell r="BL240">
            <v>3176</v>
          </cell>
        </row>
        <row r="241">
          <cell r="BL241">
            <v>3177</v>
          </cell>
        </row>
        <row r="242">
          <cell r="BL242">
            <v>3178</v>
          </cell>
        </row>
        <row r="243">
          <cell r="BL243">
            <v>3182</v>
          </cell>
        </row>
        <row r="244">
          <cell r="BL244">
            <v>3183</v>
          </cell>
        </row>
        <row r="245">
          <cell r="BL245">
            <v>3186</v>
          </cell>
        </row>
        <row r="246">
          <cell r="BL246">
            <v>3187</v>
          </cell>
        </row>
        <row r="247">
          <cell r="BL247">
            <v>3188</v>
          </cell>
        </row>
        <row r="248">
          <cell r="BL248">
            <v>3189</v>
          </cell>
        </row>
        <row r="249">
          <cell r="BL249">
            <v>3191</v>
          </cell>
        </row>
        <row r="250">
          <cell r="BL250">
            <v>3192</v>
          </cell>
        </row>
        <row r="251">
          <cell r="BL251">
            <v>3193</v>
          </cell>
        </row>
        <row r="252">
          <cell r="BL252">
            <v>3194</v>
          </cell>
        </row>
        <row r="253">
          <cell r="BL253">
            <v>3196</v>
          </cell>
        </row>
        <row r="254">
          <cell r="BL254">
            <v>3197</v>
          </cell>
        </row>
        <row r="255">
          <cell r="BL255">
            <v>3198</v>
          </cell>
        </row>
        <row r="256">
          <cell r="BL256">
            <v>3199</v>
          </cell>
        </row>
        <row r="257">
          <cell r="BL257">
            <v>3200</v>
          </cell>
        </row>
        <row r="258">
          <cell r="BL258">
            <v>3204</v>
          </cell>
        </row>
        <row r="259">
          <cell r="BL259">
            <v>3206</v>
          </cell>
        </row>
        <row r="260">
          <cell r="BL260">
            <v>3210</v>
          </cell>
        </row>
        <row r="261">
          <cell r="BL261">
            <v>3214</v>
          </cell>
        </row>
        <row r="262">
          <cell r="BL262">
            <v>3216</v>
          </cell>
        </row>
        <row r="263">
          <cell r="BL263">
            <v>3218</v>
          </cell>
        </row>
        <row r="264">
          <cell r="BL264">
            <v>3225</v>
          </cell>
        </row>
        <row r="265">
          <cell r="BL265">
            <v>3281</v>
          </cell>
        </row>
        <row r="266">
          <cell r="BL266">
            <v>3282</v>
          </cell>
        </row>
        <row r="267">
          <cell r="BL267">
            <v>3283</v>
          </cell>
        </row>
        <row r="268">
          <cell r="BL268">
            <v>3284</v>
          </cell>
        </row>
        <row r="269">
          <cell r="BL269">
            <v>3285</v>
          </cell>
        </row>
        <row r="270">
          <cell r="BL270">
            <v>3286</v>
          </cell>
        </row>
        <row r="271">
          <cell r="BL271">
            <v>3288</v>
          </cell>
        </row>
        <row r="272">
          <cell r="BL272">
            <v>3289</v>
          </cell>
        </row>
        <row r="273">
          <cell r="BL273">
            <v>3290</v>
          </cell>
        </row>
        <row r="274">
          <cell r="BL274">
            <v>3293</v>
          </cell>
        </row>
        <row r="275">
          <cell r="BL275">
            <v>3295</v>
          </cell>
        </row>
        <row r="276">
          <cell r="BL276">
            <v>3296</v>
          </cell>
        </row>
        <row r="277">
          <cell r="BL277">
            <v>3297</v>
          </cell>
        </row>
        <row r="278">
          <cell r="BL278">
            <v>3300</v>
          </cell>
        </row>
        <row r="279">
          <cell r="BL279">
            <v>3310</v>
          </cell>
        </row>
        <row r="280">
          <cell r="BL280">
            <v>3320</v>
          </cell>
        </row>
        <row r="281">
          <cell r="BL281">
            <v>3330</v>
          </cell>
        </row>
        <row r="282">
          <cell r="BL282">
            <v>3332</v>
          </cell>
        </row>
        <row r="283">
          <cell r="BL283">
            <v>3334</v>
          </cell>
        </row>
        <row r="284">
          <cell r="BL284">
            <v>3371</v>
          </cell>
        </row>
        <row r="285">
          <cell r="BL285">
            <v>3372</v>
          </cell>
        </row>
        <row r="286">
          <cell r="BL286">
            <v>3373</v>
          </cell>
        </row>
        <row r="287">
          <cell r="BL287">
            <v>3374</v>
          </cell>
        </row>
        <row r="288">
          <cell r="BL288">
            <v>3375</v>
          </cell>
        </row>
        <row r="289">
          <cell r="BL289">
            <v>3377</v>
          </cell>
        </row>
        <row r="290">
          <cell r="BL290">
            <v>3378</v>
          </cell>
        </row>
        <row r="291">
          <cell r="BL291">
            <v>3379</v>
          </cell>
        </row>
        <row r="292">
          <cell r="BL292">
            <v>3380</v>
          </cell>
        </row>
        <row r="293">
          <cell r="BL293">
            <v>3381</v>
          </cell>
        </row>
        <row r="294">
          <cell r="BL294">
            <v>3382</v>
          </cell>
        </row>
        <row r="295">
          <cell r="BL295">
            <v>3391</v>
          </cell>
        </row>
        <row r="296">
          <cell r="BL296">
            <v>3392</v>
          </cell>
        </row>
        <row r="297">
          <cell r="BL297">
            <v>3393</v>
          </cell>
        </row>
        <row r="298">
          <cell r="BL298">
            <v>3400</v>
          </cell>
        </row>
        <row r="299">
          <cell r="BL299">
            <v>3401</v>
          </cell>
        </row>
        <row r="300">
          <cell r="BL300">
            <v>3410</v>
          </cell>
        </row>
        <row r="301">
          <cell r="BL301">
            <v>3411</v>
          </cell>
        </row>
        <row r="302">
          <cell r="BL302">
            <v>3415</v>
          </cell>
        </row>
        <row r="303">
          <cell r="BL303">
            <v>3420</v>
          </cell>
        </row>
        <row r="304">
          <cell r="BL304">
            <v>3421</v>
          </cell>
        </row>
        <row r="305">
          <cell r="BL305">
            <v>3432</v>
          </cell>
        </row>
        <row r="306">
          <cell r="BL306">
            <v>3434</v>
          </cell>
        </row>
        <row r="307">
          <cell r="BL307">
            <v>3471</v>
          </cell>
        </row>
        <row r="308">
          <cell r="BL308">
            <v>3472</v>
          </cell>
        </row>
        <row r="309">
          <cell r="BL309">
            <v>3473</v>
          </cell>
        </row>
        <row r="310">
          <cell r="BL310">
            <v>3474</v>
          </cell>
        </row>
        <row r="311">
          <cell r="BL311">
            <v>3475</v>
          </cell>
        </row>
        <row r="312">
          <cell r="BL312">
            <v>3481</v>
          </cell>
        </row>
        <row r="313">
          <cell r="BL313">
            <v>3482</v>
          </cell>
        </row>
        <row r="314">
          <cell r="BL314">
            <v>3483</v>
          </cell>
        </row>
        <row r="315">
          <cell r="BL315">
            <v>3484</v>
          </cell>
        </row>
        <row r="316">
          <cell r="BL316">
            <v>3485</v>
          </cell>
        </row>
        <row r="317">
          <cell r="BL317">
            <v>3491</v>
          </cell>
        </row>
        <row r="318">
          <cell r="BL318">
            <v>3492</v>
          </cell>
        </row>
        <row r="319">
          <cell r="BL319">
            <v>3493</v>
          </cell>
        </row>
        <row r="320">
          <cell r="BL320">
            <v>3494</v>
          </cell>
        </row>
        <row r="321">
          <cell r="BL321">
            <v>3495</v>
          </cell>
        </row>
        <row r="322">
          <cell r="BL322">
            <v>3496</v>
          </cell>
        </row>
        <row r="323">
          <cell r="BL323">
            <v>3500</v>
          </cell>
        </row>
        <row r="324">
          <cell r="BL324">
            <v>3503</v>
          </cell>
        </row>
        <row r="325">
          <cell r="BL325">
            <v>3506</v>
          </cell>
        </row>
        <row r="326">
          <cell r="BL326">
            <v>3508</v>
          </cell>
        </row>
        <row r="327">
          <cell r="BL327">
            <v>3510</v>
          </cell>
        </row>
        <row r="328">
          <cell r="BL328">
            <v>3574</v>
          </cell>
        </row>
        <row r="329">
          <cell r="BL329">
            <v>3575</v>
          </cell>
        </row>
        <row r="330">
          <cell r="BL330">
            <v>3576</v>
          </cell>
        </row>
        <row r="331">
          <cell r="BL331">
            <v>3577</v>
          </cell>
        </row>
        <row r="332">
          <cell r="BL332">
            <v>3578</v>
          </cell>
        </row>
        <row r="333">
          <cell r="BL333">
            <v>3579</v>
          </cell>
        </row>
        <row r="334">
          <cell r="BL334">
            <v>3581</v>
          </cell>
        </row>
        <row r="335">
          <cell r="BL335">
            <v>3582</v>
          </cell>
        </row>
        <row r="336">
          <cell r="BL336">
            <v>3583</v>
          </cell>
        </row>
        <row r="337">
          <cell r="BL337">
            <v>3584</v>
          </cell>
        </row>
        <row r="338">
          <cell r="BL338">
            <v>3591</v>
          </cell>
        </row>
        <row r="339">
          <cell r="BL339">
            <v>3592</v>
          </cell>
        </row>
        <row r="340">
          <cell r="BL340">
            <v>3597</v>
          </cell>
        </row>
        <row r="341">
          <cell r="BL341">
            <v>3600</v>
          </cell>
        </row>
        <row r="342">
          <cell r="BL342">
            <v>3610</v>
          </cell>
        </row>
        <row r="343">
          <cell r="BL343">
            <v>3611</v>
          </cell>
        </row>
        <row r="344">
          <cell r="BL344">
            <v>3620</v>
          </cell>
        </row>
        <row r="345">
          <cell r="BL345">
            <v>3671</v>
          </cell>
        </row>
        <row r="346">
          <cell r="BL346">
            <v>3672</v>
          </cell>
        </row>
        <row r="347">
          <cell r="BL347">
            <v>3673</v>
          </cell>
        </row>
        <row r="348">
          <cell r="BL348">
            <v>3674</v>
          </cell>
        </row>
        <row r="349">
          <cell r="BL349">
            <v>3681</v>
          </cell>
        </row>
        <row r="350">
          <cell r="BL350">
            <v>3682</v>
          </cell>
        </row>
        <row r="351">
          <cell r="BL351">
            <v>3691</v>
          </cell>
        </row>
        <row r="352">
          <cell r="BL352">
            <v>3700</v>
          </cell>
        </row>
        <row r="353">
          <cell r="BL353">
            <v>3710</v>
          </cell>
        </row>
        <row r="354">
          <cell r="BL354">
            <v>3720</v>
          </cell>
        </row>
        <row r="355">
          <cell r="BL355">
            <v>3721</v>
          </cell>
        </row>
        <row r="356">
          <cell r="BL356">
            <v>3771</v>
          </cell>
        </row>
        <row r="357">
          <cell r="BL357">
            <v>3772</v>
          </cell>
        </row>
        <row r="358">
          <cell r="BL358">
            <v>3781</v>
          </cell>
        </row>
        <row r="359">
          <cell r="BL359">
            <v>3782</v>
          </cell>
        </row>
        <row r="360">
          <cell r="BL360">
            <v>3784</v>
          </cell>
        </row>
        <row r="361">
          <cell r="BL361">
            <v>3791</v>
          </cell>
        </row>
        <row r="362">
          <cell r="BL362">
            <v>3792</v>
          </cell>
        </row>
        <row r="363">
          <cell r="BL363">
            <v>3793</v>
          </cell>
        </row>
        <row r="364">
          <cell r="BL364">
            <v>3794</v>
          </cell>
        </row>
        <row r="365">
          <cell r="BL365">
            <v>3800</v>
          </cell>
        </row>
        <row r="366">
          <cell r="BL366">
            <v>3802</v>
          </cell>
        </row>
        <row r="367">
          <cell r="BL367">
            <v>3803</v>
          </cell>
        </row>
        <row r="368">
          <cell r="BL368">
            <v>3872</v>
          </cell>
        </row>
        <row r="369">
          <cell r="BL369">
            <v>3873</v>
          </cell>
        </row>
        <row r="370">
          <cell r="BL370">
            <v>3874</v>
          </cell>
        </row>
        <row r="371">
          <cell r="BL371">
            <v>3875</v>
          </cell>
        </row>
        <row r="372">
          <cell r="BL372">
            <v>3876</v>
          </cell>
        </row>
        <row r="373">
          <cell r="BL373">
            <v>3877</v>
          </cell>
        </row>
        <row r="374">
          <cell r="BL374">
            <v>3878</v>
          </cell>
        </row>
        <row r="375">
          <cell r="BL375">
            <v>3879</v>
          </cell>
        </row>
        <row r="376">
          <cell r="BL376">
            <v>3880</v>
          </cell>
        </row>
        <row r="377">
          <cell r="BL377">
            <v>3881</v>
          </cell>
        </row>
        <row r="378">
          <cell r="BL378">
            <v>3882</v>
          </cell>
        </row>
        <row r="379">
          <cell r="BL379">
            <v>3883</v>
          </cell>
        </row>
        <row r="380">
          <cell r="BL380">
            <v>3885</v>
          </cell>
        </row>
        <row r="381">
          <cell r="BL381">
            <v>3886</v>
          </cell>
        </row>
        <row r="382">
          <cell r="BL382">
            <v>3889</v>
          </cell>
        </row>
        <row r="383">
          <cell r="BL383">
            <v>3894</v>
          </cell>
        </row>
        <row r="384">
          <cell r="BL384">
            <v>3895</v>
          </cell>
        </row>
        <row r="385">
          <cell r="BL385">
            <v>3900</v>
          </cell>
        </row>
        <row r="386">
          <cell r="BL386">
            <v>3910</v>
          </cell>
        </row>
        <row r="387">
          <cell r="BL387">
            <v>3912</v>
          </cell>
        </row>
        <row r="388">
          <cell r="BL388">
            <v>3920</v>
          </cell>
        </row>
        <row r="389">
          <cell r="BL389">
            <v>3924</v>
          </cell>
        </row>
        <row r="390">
          <cell r="BL390">
            <v>3926</v>
          </cell>
        </row>
        <row r="391">
          <cell r="BL391">
            <v>3970</v>
          </cell>
        </row>
        <row r="392">
          <cell r="BL392">
            <v>3971</v>
          </cell>
        </row>
        <row r="393">
          <cell r="BL393">
            <v>3972</v>
          </cell>
        </row>
        <row r="394">
          <cell r="BL394">
            <v>3973</v>
          </cell>
        </row>
        <row r="395">
          <cell r="BL395">
            <v>3974</v>
          </cell>
        </row>
        <row r="396">
          <cell r="BL396">
            <v>3975</v>
          </cell>
        </row>
        <row r="397">
          <cell r="BL397">
            <v>3976</v>
          </cell>
        </row>
        <row r="398">
          <cell r="BL398">
            <v>3977</v>
          </cell>
        </row>
        <row r="399">
          <cell r="BL399">
            <v>3978</v>
          </cell>
        </row>
        <row r="400">
          <cell r="BL400">
            <v>3979</v>
          </cell>
        </row>
        <row r="401">
          <cell r="BL401">
            <v>3980</v>
          </cell>
        </row>
        <row r="402">
          <cell r="BL402">
            <v>3981</v>
          </cell>
        </row>
        <row r="403">
          <cell r="BL403">
            <v>3982</v>
          </cell>
        </row>
        <row r="404">
          <cell r="BL404">
            <v>3983</v>
          </cell>
        </row>
        <row r="405">
          <cell r="BL405">
            <v>3985</v>
          </cell>
        </row>
        <row r="406">
          <cell r="BL406">
            <v>3986</v>
          </cell>
        </row>
        <row r="407">
          <cell r="BL407">
            <v>3987</v>
          </cell>
        </row>
        <row r="408">
          <cell r="BL408">
            <v>3988</v>
          </cell>
        </row>
        <row r="409">
          <cell r="BL409">
            <v>3989</v>
          </cell>
        </row>
        <row r="410">
          <cell r="BL410">
            <v>3990</v>
          </cell>
        </row>
        <row r="411">
          <cell r="BL411">
            <v>3991</v>
          </cell>
        </row>
        <row r="412">
          <cell r="BL412">
            <v>3992</v>
          </cell>
        </row>
        <row r="413">
          <cell r="BL413">
            <v>3993</v>
          </cell>
        </row>
        <row r="414">
          <cell r="BL414">
            <v>3994</v>
          </cell>
        </row>
        <row r="415">
          <cell r="BL415">
            <v>3995</v>
          </cell>
        </row>
        <row r="416">
          <cell r="BL416">
            <v>3996</v>
          </cell>
        </row>
        <row r="417">
          <cell r="BL417">
            <v>3997</v>
          </cell>
        </row>
        <row r="418">
          <cell r="BL418">
            <v>3998</v>
          </cell>
        </row>
        <row r="419">
          <cell r="BL419">
            <v>4010</v>
          </cell>
        </row>
        <row r="420">
          <cell r="BL420">
            <v>4022</v>
          </cell>
        </row>
        <row r="421">
          <cell r="BL421">
            <v>4032</v>
          </cell>
        </row>
        <row r="422">
          <cell r="BL422">
            <v>4071</v>
          </cell>
        </row>
        <row r="423">
          <cell r="BL423">
            <v>4072</v>
          </cell>
        </row>
        <row r="424">
          <cell r="BL424">
            <v>4073</v>
          </cell>
        </row>
        <row r="425">
          <cell r="BL425">
            <v>4075</v>
          </cell>
        </row>
        <row r="426">
          <cell r="BL426">
            <v>4077</v>
          </cell>
        </row>
        <row r="427">
          <cell r="BL427">
            <v>4078</v>
          </cell>
        </row>
        <row r="428">
          <cell r="BL428">
            <v>4079</v>
          </cell>
        </row>
        <row r="429">
          <cell r="BL429">
            <v>4081</v>
          </cell>
        </row>
        <row r="430">
          <cell r="BL430">
            <v>4082</v>
          </cell>
        </row>
        <row r="431">
          <cell r="BL431">
            <v>4083</v>
          </cell>
        </row>
        <row r="432">
          <cell r="BL432">
            <v>4086</v>
          </cell>
        </row>
        <row r="433">
          <cell r="BL433">
            <v>4087</v>
          </cell>
        </row>
        <row r="434">
          <cell r="BL434">
            <v>4091</v>
          </cell>
        </row>
        <row r="435">
          <cell r="BL435">
            <v>4092</v>
          </cell>
        </row>
        <row r="436">
          <cell r="BL436">
            <v>4093</v>
          </cell>
        </row>
        <row r="437">
          <cell r="BL437">
            <v>4094</v>
          </cell>
        </row>
        <row r="438">
          <cell r="BL438">
            <v>4102</v>
          </cell>
        </row>
        <row r="439">
          <cell r="BL439">
            <v>4104</v>
          </cell>
        </row>
        <row r="440">
          <cell r="BL440">
            <v>4108</v>
          </cell>
        </row>
        <row r="441">
          <cell r="BL441">
            <v>4110</v>
          </cell>
        </row>
        <row r="442">
          <cell r="BL442">
            <v>4112</v>
          </cell>
        </row>
        <row r="443">
          <cell r="BL443">
            <v>4120</v>
          </cell>
        </row>
        <row r="444">
          <cell r="BL444">
            <v>4122</v>
          </cell>
        </row>
        <row r="445">
          <cell r="BL445">
            <v>4130</v>
          </cell>
        </row>
        <row r="446">
          <cell r="BL446">
            <v>4171</v>
          </cell>
        </row>
        <row r="447">
          <cell r="BL447">
            <v>4172</v>
          </cell>
        </row>
        <row r="448">
          <cell r="BL448">
            <v>4174</v>
          </cell>
        </row>
        <row r="449">
          <cell r="BL449">
            <v>4175</v>
          </cell>
        </row>
        <row r="450">
          <cell r="BL450">
            <v>4178</v>
          </cell>
        </row>
        <row r="451">
          <cell r="BL451">
            <v>4179</v>
          </cell>
        </row>
        <row r="452">
          <cell r="BL452">
            <v>4181</v>
          </cell>
        </row>
        <row r="453">
          <cell r="BL453">
            <v>4182</v>
          </cell>
        </row>
        <row r="454">
          <cell r="BL454">
            <v>4183</v>
          </cell>
        </row>
        <row r="455">
          <cell r="BL455">
            <v>4184</v>
          </cell>
        </row>
        <row r="456">
          <cell r="BL456">
            <v>4186</v>
          </cell>
        </row>
        <row r="457">
          <cell r="BL457">
            <v>4188</v>
          </cell>
        </row>
        <row r="458">
          <cell r="BL458">
            <v>4189</v>
          </cell>
        </row>
        <row r="459">
          <cell r="BL459">
            <v>4191</v>
          </cell>
        </row>
        <row r="460">
          <cell r="BL460">
            <v>4193</v>
          </cell>
        </row>
        <row r="461">
          <cell r="BL461">
            <v>4195</v>
          </cell>
        </row>
        <row r="462">
          <cell r="BL462">
            <v>4196</v>
          </cell>
        </row>
        <row r="463">
          <cell r="BL463">
            <v>4197</v>
          </cell>
        </row>
        <row r="464">
          <cell r="BL464">
            <v>4198</v>
          </cell>
        </row>
        <row r="465">
          <cell r="BL465">
            <v>4200</v>
          </cell>
        </row>
        <row r="466">
          <cell r="BL466">
            <v>4202</v>
          </cell>
        </row>
        <row r="467">
          <cell r="BL467">
            <v>4203</v>
          </cell>
        </row>
        <row r="468">
          <cell r="BL468">
            <v>4210</v>
          </cell>
        </row>
        <row r="469">
          <cell r="BL469">
            <v>4271</v>
          </cell>
        </row>
        <row r="470">
          <cell r="BL470">
            <v>4272</v>
          </cell>
        </row>
        <row r="471">
          <cell r="BL471">
            <v>4273</v>
          </cell>
        </row>
        <row r="472">
          <cell r="BL472">
            <v>4274</v>
          </cell>
        </row>
        <row r="473">
          <cell r="BL473">
            <v>4275</v>
          </cell>
        </row>
        <row r="474">
          <cell r="BL474">
            <v>4276</v>
          </cell>
        </row>
        <row r="475">
          <cell r="BL475">
            <v>4277</v>
          </cell>
        </row>
        <row r="476">
          <cell r="BL476">
            <v>4278</v>
          </cell>
        </row>
        <row r="477">
          <cell r="BL477">
            <v>4279</v>
          </cell>
        </row>
        <row r="478">
          <cell r="BL478">
            <v>4281</v>
          </cell>
        </row>
        <row r="479">
          <cell r="BL479">
            <v>4282</v>
          </cell>
        </row>
        <row r="480">
          <cell r="BL480">
            <v>4283</v>
          </cell>
        </row>
        <row r="481">
          <cell r="BL481">
            <v>4284</v>
          </cell>
        </row>
        <row r="482">
          <cell r="BL482">
            <v>4285</v>
          </cell>
        </row>
        <row r="483">
          <cell r="BL483">
            <v>4286</v>
          </cell>
        </row>
        <row r="484">
          <cell r="BL484">
            <v>4287</v>
          </cell>
        </row>
        <row r="485">
          <cell r="BL485">
            <v>4288</v>
          </cell>
        </row>
        <row r="486">
          <cell r="BL486">
            <v>4291</v>
          </cell>
        </row>
        <row r="487">
          <cell r="BL487">
            <v>4292</v>
          </cell>
        </row>
        <row r="488">
          <cell r="BL488">
            <v>4293</v>
          </cell>
        </row>
        <row r="489">
          <cell r="BL489">
            <v>4294</v>
          </cell>
        </row>
        <row r="490">
          <cell r="BL490">
            <v>4295</v>
          </cell>
        </row>
        <row r="491">
          <cell r="BL491">
            <v>4310</v>
          </cell>
        </row>
        <row r="492">
          <cell r="BL492">
            <v>4312</v>
          </cell>
        </row>
        <row r="493">
          <cell r="BL493">
            <v>4314</v>
          </cell>
        </row>
        <row r="494">
          <cell r="BL494">
            <v>4320</v>
          </cell>
        </row>
        <row r="495">
          <cell r="BL495">
            <v>4322</v>
          </cell>
        </row>
        <row r="496">
          <cell r="BL496">
            <v>4330</v>
          </cell>
        </row>
        <row r="497">
          <cell r="BL497">
            <v>4332</v>
          </cell>
        </row>
        <row r="498">
          <cell r="BL498">
            <v>4335</v>
          </cell>
        </row>
        <row r="499">
          <cell r="BL499">
            <v>4371</v>
          </cell>
        </row>
        <row r="500">
          <cell r="BL500">
            <v>4372</v>
          </cell>
        </row>
        <row r="501">
          <cell r="BL501">
            <v>4373</v>
          </cell>
        </row>
        <row r="502">
          <cell r="BL502">
            <v>4374</v>
          </cell>
        </row>
        <row r="503">
          <cell r="BL503">
            <v>4375</v>
          </cell>
        </row>
        <row r="504">
          <cell r="BL504">
            <v>4376</v>
          </cell>
        </row>
        <row r="505">
          <cell r="BL505">
            <v>4377</v>
          </cell>
        </row>
        <row r="506">
          <cell r="BL506">
            <v>4378</v>
          </cell>
        </row>
        <row r="507">
          <cell r="BL507">
            <v>4379</v>
          </cell>
        </row>
        <row r="508">
          <cell r="BL508">
            <v>4381</v>
          </cell>
        </row>
        <row r="509">
          <cell r="BL509">
            <v>4382</v>
          </cell>
        </row>
        <row r="510">
          <cell r="BL510">
            <v>4383</v>
          </cell>
        </row>
        <row r="511">
          <cell r="BL511">
            <v>4386</v>
          </cell>
        </row>
        <row r="512">
          <cell r="BL512">
            <v>4387</v>
          </cell>
        </row>
        <row r="513">
          <cell r="BL513">
            <v>4388</v>
          </cell>
        </row>
        <row r="514">
          <cell r="BL514">
            <v>4389</v>
          </cell>
        </row>
        <row r="515">
          <cell r="BL515">
            <v>4390</v>
          </cell>
        </row>
        <row r="516">
          <cell r="BL516">
            <v>4391</v>
          </cell>
        </row>
        <row r="517">
          <cell r="BL517">
            <v>4392</v>
          </cell>
        </row>
        <row r="518">
          <cell r="BL518">
            <v>4393</v>
          </cell>
        </row>
        <row r="519">
          <cell r="BL519">
            <v>4394</v>
          </cell>
        </row>
        <row r="520">
          <cell r="BL520">
            <v>4395</v>
          </cell>
        </row>
        <row r="521">
          <cell r="BL521">
            <v>4396</v>
          </cell>
        </row>
        <row r="522">
          <cell r="BL522">
            <v>4397</v>
          </cell>
        </row>
        <row r="523">
          <cell r="BL523">
            <v>4398</v>
          </cell>
        </row>
        <row r="524">
          <cell r="BL524">
            <v>4399</v>
          </cell>
        </row>
        <row r="525">
          <cell r="BL525">
            <v>4410</v>
          </cell>
        </row>
        <row r="526">
          <cell r="BL526">
            <v>4412</v>
          </cell>
        </row>
        <row r="527">
          <cell r="BL527">
            <v>4414</v>
          </cell>
        </row>
        <row r="528">
          <cell r="BL528">
            <v>4470</v>
          </cell>
        </row>
        <row r="529">
          <cell r="BL529">
            <v>4471</v>
          </cell>
        </row>
        <row r="530">
          <cell r="BL530">
            <v>4473</v>
          </cell>
        </row>
        <row r="531">
          <cell r="BL531">
            <v>4474</v>
          </cell>
        </row>
        <row r="532">
          <cell r="BL532">
            <v>4475</v>
          </cell>
        </row>
        <row r="533">
          <cell r="BL533">
            <v>4476</v>
          </cell>
        </row>
        <row r="534">
          <cell r="BL534">
            <v>4477</v>
          </cell>
        </row>
        <row r="535">
          <cell r="BL535">
            <v>4478</v>
          </cell>
        </row>
        <row r="536">
          <cell r="BL536">
            <v>4479</v>
          </cell>
        </row>
        <row r="537">
          <cell r="BL537">
            <v>4481</v>
          </cell>
        </row>
        <row r="538">
          <cell r="BL538">
            <v>4500</v>
          </cell>
        </row>
        <row r="539">
          <cell r="BL539">
            <v>4501</v>
          </cell>
        </row>
        <row r="540">
          <cell r="BL540">
            <v>4510</v>
          </cell>
        </row>
        <row r="541">
          <cell r="BL541">
            <v>4520</v>
          </cell>
        </row>
        <row r="542">
          <cell r="BL542">
            <v>4571</v>
          </cell>
        </row>
        <row r="543">
          <cell r="BL543">
            <v>4572</v>
          </cell>
        </row>
        <row r="544">
          <cell r="BL544">
            <v>4573</v>
          </cell>
        </row>
        <row r="545">
          <cell r="BL545">
            <v>4574</v>
          </cell>
        </row>
        <row r="546">
          <cell r="BL546">
            <v>4575</v>
          </cell>
        </row>
        <row r="547">
          <cell r="BL547">
            <v>4576</v>
          </cell>
        </row>
        <row r="548">
          <cell r="BL548">
            <v>4577</v>
          </cell>
        </row>
        <row r="549">
          <cell r="BL549">
            <v>4578</v>
          </cell>
        </row>
        <row r="550">
          <cell r="BL550">
            <v>4581</v>
          </cell>
        </row>
        <row r="551">
          <cell r="BL551">
            <v>4582</v>
          </cell>
        </row>
        <row r="552">
          <cell r="BL552">
            <v>4584</v>
          </cell>
        </row>
        <row r="553">
          <cell r="BL553">
            <v>4585</v>
          </cell>
        </row>
        <row r="554">
          <cell r="BL554">
            <v>4586</v>
          </cell>
        </row>
        <row r="555">
          <cell r="BL555">
            <v>4587</v>
          </cell>
        </row>
        <row r="556">
          <cell r="BL556">
            <v>4588</v>
          </cell>
        </row>
        <row r="557">
          <cell r="BL557">
            <v>4591</v>
          </cell>
        </row>
        <row r="558">
          <cell r="BL558">
            <v>4592</v>
          </cell>
        </row>
        <row r="559">
          <cell r="BL559">
            <v>4597</v>
          </cell>
        </row>
        <row r="560">
          <cell r="BL560">
            <v>4598</v>
          </cell>
        </row>
        <row r="561">
          <cell r="BL561">
            <v>4610</v>
          </cell>
        </row>
        <row r="562">
          <cell r="BL562">
            <v>4612</v>
          </cell>
        </row>
        <row r="563">
          <cell r="BL563">
            <v>4614</v>
          </cell>
        </row>
        <row r="564">
          <cell r="BL564">
            <v>4616</v>
          </cell>
        </row>
        <row r="565">
          <cell r="BL565">
            <v>4625</v>
          </cell>
        </row>
        <row r="566">
          <cell r="BL566">
            <v>4632</v>
          </cell>
        </row>
        <row r="567">
          <cell r="BL567">
            <v>4671</v>
          </cell>
        </row>
        <row r="568">
          <cell r="BL568">
            <v>4672</v>
          </cell>
        </row>
        <row r="569">
          <cell r="BL569">
            <v>4673</v>
          </cell>
        </row>
        <row r="570">
          <cell r="BL570">
            <v>4674</v>
          </cell>
        </row>
        <row r="571">
          <cell r="BL571">
            <v>4675</v>
          </cell>
        </row>
        <row r="572">
          <cell r="BL572">
            <v>4678</v>
          </cell>
        </row>
        <row r="573">
          <cell r="BL573">
            <v>4679</v>
          </cell>
        </row>
        <row r="574">
          <cell r="BL574">
            <v>4681</v>
          </cell>
        </row>
        <row r="575">
          <cell r="BL575">
            <v>4682</v>
          </cell>
        </row>
        <row r="576">
          <cell r="BL576">
            <v>4684</v>
          </cell>
        </row>
        <row r="577">
          <cell r="BL577">
            <v>4685</v>
          </cell>
        </row>
        <row r="578">
          <cell r="BL578">
            <v>4691</v>
          </cell>
        </row>
        <row r="579">
          <cell r="BL579">
            <v>4694</v>
          </cell>
        </row>
        <row r="580">
          <cell r="BL580">
            <v>4696</v>
          </cell>
        </row>
        <row r="581">
          <cell r="BL581">
            <v>4702</v>
          </cell>
        </row>
        <row r="582">
          <cell r="BL582">
            <v>4710</v>
          </cell>
        </row>
        <row r="583">
          <cell r="BL583">
            <v>4720</v>
          </cell>
        </row>
        <row r="584">
          <cell r="BL584">
            <v>4730</v>
          </cell>
        </row>
        <row r="585">
          <cell r="BL585">
            <v>4771</v>
          </cell>
        </row>
        <row r="586">
          <cell r="BL586">
            <v>4774</v>
          </cell>
        </row>
        <row r="587">
          <cell r="BL587">
            <v>4775</v>
          </cell>
        </row>
        <row r="588">
          <cell r="BL588">
            <v>4777</v>
          </cell>
        </row>
        <row r="589">
          <cell r="BL589">
            <v>4779</v>
          </cell>
        </row>
        <row r="590">
          <cell r="BL590">
            <v>4780</v>
          </cell>
        </row>
        <row r="591">
          <cell r="BL591">
            <v>4781</v>
          </cell>
        </row>
        <row r="592">
          <cell r="BL592">
            <v>4782</v>
          </cell>
        </row>
        <row r="593">
          <cell r="BL593">
            <v>4783</v>
          </cell>
        </row>
        <row r="594">
          <cell r="BL594">
            <v>4784</v>
          </cell>
        </row>
        <row r="595">
          <cell r="BL595">
            <v>4785</v>
          </cell>
        </row>
        <row r="596">
          <cell r="BL596">
            <v>4786</v>
          </cell>
        </row>
        <row r="597">
          <cell r="BL597">
            <v>4787</v>
          </cell>
        </row>
        <row r="598">
          <cell r="BL598">
            <v>4788</v>
          </cell>
        </row>
        <row r="599">
          <cell r="BL599">
            <v>4789</v>
          </cell>
        </row>
        <row r="600">
          <cell r="BL600">
            <v>4791</v>
          </cell>
        </row>
        <row r="601">
          <cell r="BL601">
            <v>4792</v>
          </cell>
        </row>
        <row r="602">
          <cell r="BL602">
            <v>4793</v>
          </cell>
        </row>
        <row r="603">
          <cell r="BL603">
            <v>4794</v>
          </cell>
        </row>
        <row r="604">
          <cell r="BL604">
            <v>4795</v>
          </cell>
        </row>
        <row r="605">
          <cell r="BL605">
            <v>4796</v>
          </cell>
        </row>
        <row r="606">
          <cell r="BL606">
            <v>4797</v>
          </cell>
        </row>
        <row r="607">
          <cell r="BL607">
            <v>4810</v>
          </cell>
        </row>
        <row r="608">
          <cell r="BL608">
            <v>4814</v>
          </cell>
        </row>
        <row r="609">
          <cell r="BL609">
            <v>4815</v>
          </cell>
        </row>
        <row r="610">
          <cell r="BL610">
            <v>4816</v>
          </cell>
        </row>
        <row r="611">
          <cell r="BL611">
            <v>4817</v>
          </cell>
        </row>
        <row r="612">
          <cell r="BL612">
            <v>4818</v>
          </cell>
        </row>
        <row r="613">
          <cell r="BL613">
            <v>4820</v>
          </cell>
        </row>
        <row r="614">
          <cell r="BL614">
            <v>4821</v>
          </cell>
        </row>
        <row r="615">
          <cell r="BL615">
            <v>4822</v>
          </cell>
        </row>
        <row r="616">
          <cell r="BL616">
            <v>4825</v>
          </cell>
        </row>
        <row r="617">
          <cell r="BL617">
            <v>4826</v>
          </cell>
        </row>
        <row r="618">
          <cell r="BL618">
            <v>4884</v>
          </cell>
        </row>
        <row r="619">
          <cell r="BL619">
            <v>4891</v>
          </cell>
        </row>
        <row r="620">
          <cell r="BL620">
            <v>4893</v>
          </cell>
        </row>
        <row r="621">
          <cell r="BL621">
            <v>4894</v>
          </cell>
        </row>
        <row r="622">
          <cell r="BL622">
            <v>4900</v>
          </cell>
        </row>
        <row r="623">
          <cell r="BL623">
            <v>4910</v>
          </cell>
        </row>
        <row r="624">
          <cell r="BL624">
            <v>4920</v>
          </cell>
        </row>
        <row r="625">
          <cell r="BL625">
            <v>4930</v>
          </cell>
        </row>
        <row r="626">
          <cell r="BL626">
            <v>4970</v>
          </cell>
        </row>
        <row r="627">
          <cell r="BL627">
            <v>4971</v>
          </cell>
        </row>
        <row r="628">
          <cell r="BL628">
            <v>4972</v>
          </cell>
        </row>
        <row r="629">
          <cell r="BL629">
            <v>4973</v>
          </cell>
        </row>
        <row r="630">
          <cell r="BL630">
            <v>4974</v>
          </cell>
        </row>
        <row r="631">
          <cell r="BL631">
            <v>4975</v>
          </cell>
        </row>
        <row r="632">
          <cell r="BL632">
            <v>4976</v>
          </cell>
        </row>
        <row r="633">
          <cell r="BL633">
            <v>4977</v>
          </cell>
        </row>
        <row r="634">
          <cell r="BL634">
            <v>4978</v>
          </cell>
        </row>
        <row r="635">
          <cell r="BL635">
            <v>4979</v>
          </cell>
        </row>
        <row r="636">
          <cell r="BL636">
            <v>4981</v>
          </cell>
        </row>
        <row r="637">
          <cell r="BL637">
            <v>4982</v>
          </cell>
        </row>
        <row r="638">
          <cell r="BL638">
            <v>4983</v>
          </cell>
        </row>
        <row r="639">
          <cell r="BL639">
            <v>4984</v>
          </cell>
        </row>
        <row r="640">
          <cell r="BL640">
            <v>4985</v>
          </cell>
        </row>
        <row r="641">
          <cell r="BL641">
            <v>4986</v>
          </cell>
        </row>
        <row r="642">
          <cell r="BL642">
            <v>4987</v>
          </cell>
        </row>
        <row r="643">
          <cell r="BL643">
            <v>4988</v>
          </cell>
        </row>
        <row r="644">
          <cell r="BL644">
            <v>4989</v>
          </cell>
        </row>
        <row r="645">
          <cell r="BL645">
            <v>4990</v>
          </cell>
        </row>
        <row r="646">
          <cell r="BL646">
            <v>4991</v>
          </cell>
        </row>
        <row r="647">
          <cell r="BL647">
            <v>4992</v>
          </cell>
        </row>
        <row r="648">
          <cell r="BL648">
            <v>4993</v>
          </cell>
        </row>
        <row r="649">
          <cell r="BL649">
            <v>4994</v>
          </cell>
        </row>
        <row r="650">
          <cell r="BL650">
            <v>4995</v>
          </cell>
        </row>
        <row r="651">
          <cell r="BL651">
            <v>4996</v>
          </cell>
        </row>
        <row r="652">
          <cell r="BL652">
            <v>4997</v>
          </cell>
        </row>
        <row r="653">
          <cell r="BL653">
            <v>4998</v>
          </cell>
        </row>
        <row r="654">
          <cell r="BL654">
            <v>4999</v>
          </cell>
        </row>
        <row r="655">
          <cell r="BL655">
            <v>5010</v>
          </cell>
        </row>
        <row r="656">
          <cell r="BL656">
            <v>5011</v>
          </cell>
        </row>
        <row r="657">
          <cell r="BL657">
            <v>5012</v>
          </cell>
        </row>
        <row r="658">
          <cell r="BL658">
            <v>5013</v>
          </cell>
        </row>
        <row r="659">
          <cell r="BL659">
            <v>5014</v>
          </cell>
        </row>
        <row r="660">
          <cell r="BL660">
            <v>5016</v>
          </cell>
        </row>
        <row r="661">
          <cell r="BL661">
            <v>5018</v>
          </cell>
        </row>
        <row r="662">
          <cell r="BL662">
            <v>5019</v>
          </cell>
        </row>
        <row r="663">
          <cell r="BL663">
            <v>5022</v>
          </cell>
        </row>
        <row r="664">
          <cell r="BL664">
            <v>5024</v>
          </cell>
        </row>
        <row r="665">
          <cell r="BL665">
            <v>5026</v>
          </cell>
        </row>
        <row r="666">
          <cell r="BL666">
            <v>5028</v>
          </cell>
        </row>
        <row r="667">
          <cell r="BL667">
            <v>5032</v>
          </cell>
        </row>
        <row r="668">
          <cell r="BL668">
            <v>5034</v>
          </cell>
        </row>
        <row r="669">
          <cell r="BL669">
            <v>5036</v>
          </cell>
        </row>
        <row r="670">
          <cell r="BL670">
            <v>5371</v>
          </cell>
        </row>
        <row r="671">
          <cell r="BL671">
            <v>5372</v>
          </cell>
        </row>
        <row r="672">
          <cell r="BL672">
            <v>5373</v>
          </cell>
        </row>
        <row r="673">
          <cell r="BL673">
            <v>5381</v>
          </cell>
        </row>
        <row r="674">
          <cell r="BL674">
            <v>5391</v>
          </cell>
        </row>
        <row r="675">
          <cell r="BL675">
            <v>5510</v>
          </cell>
        </row>
        <row r="676">
          <cell r="BL676">
            <v>5512</v>
          </cell>
        </row>
        <row r="677">
          <cell r="BL677">
            <v>5570</v>
          </cell>
        </row>
        <row r="678">
          <cell r="BL678">
            <v>5571</v>
          </cell>
        </row>
        <row r="679">
          <cell r="BL679">
            <v>5572</v>
          </cell>
        </row>
        <row r="680">
          <cell r="BL680">
            <v>5573</v>
          </cell>
        </row>
        <row r="681">
          <cell r="BL681">
            <v>5574</v>
          </cell>
        </row>
        <row r="682">
          <cell r="BL682">
            <v>5575</v>
          </cell>
        </row>
        <row r="683">
          <cell r="BL683">
            <v>5581</v>
          </cell>
        </row>
        <row r="684">
          <cell r="BL684">
            <v>5710</v>
          </cell>
        </row>
        <row r="685">
          <cell r="BL685">
            <v>5711</v>
          </cell>
        </row>
        <row r="686">
          <cell r="BL686">
            <v>5712</v>
          </cell>
        </row>
        <row r="687">
          <cell r="BL687">
            <v>5713</v>
          </cell>
        </row>
        <row r="688">
          <cell r="BL688">
            <v>5771</v>
          </cell>
        </row>
        <row r="689">
          <cell r="BL689">
            <v>5772</v>
          </cell>
        </row>
        <row r="690">
          <cell r="BL690">
            <v>5773</v>
          </cell>
        </row>
        <row r="691">
          <cell r="BL691">
            <v>5781</v>
          </cell>
        </row>
        <row r="692">
          <cell r="BL692">
            <v>5782</v>
          </cell>
        </row>
        <row r="693">
          <cell r="BL693">
            <v>5783</v>
          </cell>
        </row>
        <row r="694">
          <cell r="BL694">
            <v>5784</v>
          </cell>
        </row>
        <row r="695">
          <cell r="BL695">
            <v>5791</v>
          </cell>
        </row>
        <row r="696">
          <cell r="BL696">
            <v>5792</v>
          </cell>
        </row>
        <row r="697">
          <cell r="BL697">
            <v>5794</v>
          </cell>
        </row>
        <row r="698">
          <cell r="BL698">
            <v>5810</v>
          </cell>
        </row>
        <row r="699">
          <cell r="BL699">
            <v>5871</v>
          </cell>
        </row>
        <row r="700">
          <cell r="BL700">
            <v>5872</v>
          </cell>
        </row>
        <row r="701">
          <cell r="BL701">
            <v>5881</v>
          </cell>
        </row>
        <row r="702">
          <cell r="BL702">
            <v>5882</v>
          </cell>
        </row>
        <row r="703">
          <cell r="BL703">
            <v>5883</v>
          </cell>
        </row>
        <row r="704">
          <cell r="BL704">
            <v>5884</v>
          </cell>
        </row>
        <row r="705">
          <cell r="BL705">
            <v>5885</v>
          </cell>
        </row>
        <row r="706">
          <cell r="BL706">
            <v>5886</v>
          </cell>
        </row>
        <row r="707">
          <cell r="BL707">
            <v>5887</v>
          </cell>
        </row>
        <row r="708">
          <cell r="BL708">
            <v>5888</v>
          </cell>
        </row>
        <row r="709">
          <cell r="BL709">
            <v>5889</v>
          </cell>
        </row>
        <row r="710">
          <cell r="BL710">
            <v>5890</v>
          </cell>
        </row>
        <row r="711">
          <cell r="BL711">
            <v>5894</v>
          </cell>
        </row>
        <row r="712">
          <cell r="BL712">
            <v>6011</v>
          </cell>
        </row>
        <row r="713">
          <cell r="BL713">
            <v>6012</v>
          </cell>
        </row>
        <row r="714">
          <cell r="BL714">
            <v>6021</v>
          </cell>
        </row>
        <row r="715">
          <cell r="BL715">
            <v>6022</v>
          </cell>
        </row>
        <row r="716">
          <cell r="BL716">
            <v>6023</v>
          </cell>
        </row>
        <row r="717">
          <cell r="BL717">
            <v>6035</v>
          </cell>
        </row>
        <row r="718">
          <cell r="BL718">
            <v>6037</v>
          </cell>
        </row>
        <row r="719">
          <cell r="BL719">
            <v>6972</v>
          </cell>
        </row>
        <row r="720">
          <cell r="BL720">
            <v>7005</v>
          </cell>
        </row>
        <row r="721">
          <cell r="BL721">
            <v>7007</v>
          </cell>
        </row>
        <row r="722">
          <cell r="BL722">
            <v>7010</v>
          </cell>
        </row>
        <row r="723">
          <cell r="BL723">
            <v>7011</v>
          </cell>
        </row>
        <row r="724">
          <cell r="BL724">
            <v>7020</v>
          </cell>
        </row>
        <row r="725">
          <cell r="BL725">
            <v>7022</v>
          </cell>
        </row>
        <row r="726">
          <cell r="BL726">
            <v>7025</v>
          </cell>
        </row>
        <row r="727">
          <cell r="BL727">
            <v>7071</v>
          </cell>
        </row>
        <row r="728">
          <cell r="BL728">
            <v>7072</v>
          </cell>
        </row>
        <row r="729">
          <cell r="BL729">
            <v>7073</v>
          </cell>
        </row>
        <row r="730">
          <cell r="BL730">
            <v>7077</v>
          </cell>
        </row>
        <row r="731">
          <cell r="BL731">
            <v>7081</v>
          </cell>
        </row>
        <row r="732">
          <cell r="BL732">
            <v>7091</v>
          </cell>
        </row>
        <row r="733">
          <cell r="BL733">
            <v>7095</v>
          </cell>
        </row>
        <row r="734">
          <cell r="BL734">
            <v>7096</v>
          </cell>
        </row>
        <row r="735">
          <cell r="BL735">
            <v>7100</v>
          </cell>
        </row>
        <row r="736">
          <cell r="BL736">
            <v>7110</v>
          </cell>
        </row>
        <row r="737">
          <cell r="BL737">
            <v>7120</v>
          </cell>
        </row>
        <row r="738">
          <cell r="BL738">
            <v>7173</v>
          </cell>
        </row>
        <row r="739">
          <cell r="BL739">
            <v>7175</v>
          </cell>
        </row>
        <row r="740">
          <cell r="BL740">
            <v>7178</v>
          </cell>
        </row>
        <row r="741">
          <cell r="BL741">
            <v>7182</v>
          </cell>
        </row>
        <row r="742">
          <cell r="BL742">
            <v>7183</v>
          </cell>
        </row>
        <row r="743">
          <cell r="BL743">
            <v>7192</v>
          </cell>
        </row>
        <row r="744">
          <cell r="BL744">
            <v>7193</v>
          </cell>
        </row>
        <row r="745">
          <cell r="BL745">
            <v>7194</v>
          </cell>
        </row>
        <row r="746">
          <cell r="BL746">
            <v>7195</v>
          </cell>
        </row>
        <row r="747">
          <cell r="BL747">
            <v>7196</v>
          </cell>
        </row>
        <row r="748">
          <cell r="BL748">
            <v>7197</v>
          </cell>
        </row>
        <row r="749">
          <cell r="BL749">
            <v>7198</v>
          </cell>
        </row>
        <row r="750">
          <cell r="BL750">
            <v>7201</v>
          </cell>
        </row>
        <row r="751">
          <cell r="BL751">
            <v>7202</v>
          </cell>
        </row>
        <row r="752">
          <cell r="BL752">
            <v>7204</v>
          </cell>
        </row>
        <row r="753">
          <cell r="BL753">
            <v>7206</v>
          </cell>
        </row>
        <row r="754">
          <cell r="BL754">
            <v>7210</v>
          </cell>
        </row>
        <row r="755">
          <cell r="BL755">
            <v>7220</v>
          </cell>
        </row>
        <row r="756">
          <cell r="BL756">
            <v>7271</v>
          </cell>
        </row>
        <row r="757">
          <cell r="BL757">
            <v>7272</v>
          </cell>
        </row>
        <row r="758">
          <cell r="BL758">
            <v>7273</v>
          </cell>
        </row>
        <row r="759">
          <cell r="BL759">
            <v>7274</v>
          </cell>
        </row>
        <row r="760">
          <cell r="BL760">
            <v>7275</v>
          </cell>
        </row>
        <row r="761">
          <cell r="BL761">
            <v>7276</v>
          </cell>
        </row>
        <row r="762">
          <cell r="BL762">
            <v>7281</v>
          </cell>
        </row>
        <row r="763">
          <cell r="BL763">
            <v>7282</v>
          </cell>
        </row>
        <row r="764">
          <cell r="BL764">
            <v>7284</v>
          </cell>
        </row>
        <row r="765">
          <cell r="BL765">
            <v>7285</v>
          </cell>
        </row>
        <row r="766">
          <cell r="BL766">
            <v>7300</v>
          </cell>
        </row>
        <row r="767">
          <cell r="BL767">
            <v>7310</v>
          </cell>
        </row>
        <row r="768">
          <cell r="BL768">
            <v>7332</v>
          </cell>
        </row>
        <row r="769">
          <cell r="BL769">
            <v>7334</v>
          </cell>
        </row>
        <row r="770">
          <cell r="BL770">
            <v>7371</v>
          </cell>
        </row>
        <row r="771">
          <cell r="BL771">
            <v>7373</v>
          </cell>
        </row>
        <row r="772">
          <cell r="BL772">
            <v>7374</v>
          </cell>
        </row>
        <row r="773">
          <cell r="BL773">
            <v>7379</v>
          </cell>
        </row>
        <row r="774">
          <cell r="BL774">
            <v>7381</v>
          </cell>
        </row>
        <row r="775">
          <cell r="BL775">
            <v>7382</v>
          </cell>
        </row>
        <row r="776">
          <cell r="BL776">
            <v>7383</v>
          </cell>
        </row>
        <row r="777">
          <cell r="BL777">
            <v>7384</v>
          </cell>
        </row>
        <row r="778">
          <cell r="BL778">
            <v>7385</v>
          </cell>
        </row>
        <row r="779">
          <cell r="BL779">
            <v>7387</v>
          </cell>
        </row>
        <row r="780">
          <cell r="BL780">
            <v>7391</v>
          </cell>
        </row>
        <row r="781">
          <cell r="BL781">
            <v>7392</v>
          </cell>
        </row>
        <row r="782">
          <cell r="BL782">
            <v>7395</v>
          </cell>
        </row>
        <row r="783">
          <cell r="BL783">
            <v>7400</v>
          </cell>
        </row>
        <row r="784">
          <cell r="BL784">
            <v>7402</v>
          </cell>
        </row>
        <row r="785">
          <cell r="BL785">
            <v>7410</v>
          </cell>
        </row>
        <row r="786">
          <cell r="BL786">
            <v>7420</v>
          </cell>
        </row>
        <row r="787">
          <cell r="BL787">
            <v>7430</v>
          </cell>
        </row>
        <row r="788">
          <cell r="BL788">
            <v>7471</v>
          </cell>
        </row>
        <row r="789">
          <cell r="BL789">
            <v>7472</v>
          </cell>
        </row>
        <row r="790">
          <cell r="BL790">
            <v>7473</v>
          </cell>
        </row>
        <row r="791">
          <cell r="BL791">
            <v>7474</v>
          </cell>
        </row>
        <row r="792">
          <cell r="BL792">
            <v>7475</v>
          </cell>
        </row>
        <row r="793">
          <cell r="BL793">
            <v>7476</v>
          </cell>
        </row>
        <row r="794">
          <cell r="BL794">
            <v>7481</v>
          </cell>
        </row>
        <row r="795">
          <cell r="BL795">
            <v>7482</v>
          </cell>
        </row>
        <row r="796">
          <cell r="BL796">
            <v>7483</v>
          </cell>
        </row>
        <row r="797">
          <cell r="BL797">
            <v>7491</v>
          </cell>
        </row>
        <row r="798">
          <cell r="BL798">
            <v>7495</v>
          </cell>
        </row>
        <row r="799">
          <cell r="BL799">
            <v>7500</v>
          </cell>
        </row>
        <row r="800">
          <cell r="BL800">
            <v>7510</v>
          </cell>
        </row>
        <row r="801">
          <cell r="BL801">
            <v>7520</v>
          </cell>
        </row>
        <row r="802">
          <cell r="BL802">
            <v>7571</v>
          </cell>
        </row>
        <row r="803">
          <cell r="BL803">
            <v>7572</v>
          </cell>
        </row>
        <row r="804">
          <cell r="BL804">
            <v>7580</v>
          </cell>
        </row>
        <row r="805">
          <cell r="BL805">
            <v>7581</v>
          </cell>
        </row>
        <row r="806">
          <cell r="BL806">
            <v>7582</v>
          </cell>
        </row>
        <row r="807">
          <cell r="BL807">
            <v>7583</v>
          </cell>
        </row>
        <row r="808">
          <cell r="BL808">
            <v>7591</v>
          </cell>
        </row>
        <row r="809">
          <cell r="BL809">
            <v>7600</v>
          </cell>
        </row>
        <row r="810">
          <cell r="BL810">
            <v>7602</v>
          </cell>
        </row>
        <row r="811">
          <cell r="BL811">
            <v>7604</v>
          </cell>
        </row>
        <row r="812">
          <cell r="BL812">
            <v>7608</v>
          </cell>
        </row>
        <row r="813">
          <cell r="BL813">
            <v>7610</v>
          </cell>
        </row>
        <row r="814">
          <cell r="BL814">
            <v>7614</v>
          </cell>
        </row>
        <row r="815">
          <cell r="BL815">
            <v>7616</v>
          </cell>
        </row>
        <row r="816">
          <cell r="BL816">
            <v>7630</v>
          </cell>
        </row>
        <row r="817">
          <cell r="BL817">
            <v>7632</v>
          </cell>
        </row>
        <row r="818">
          <cell r="BL818">
            <v>7670</v>
          </cell>
        </row>
        <row r="819">
          <cell r="BL819">
            <v>7671</v>
          </cell>
        </row>
        <row r="820">
          <cell r="BL820">
            <v>7672</v>
          </cell>
        </row>
        <row r="821">
          <cell r="BL821">
            <v>7673</v>
          </cell>
        </row>
        <row r="822">
          <cell r="BL822">
            <v>7674</v>
          </cell>
        </row>
        <row r="823">
          <cell r="BL823">
            <v>7675</v>
          </cell>
        </row>
        <row r="824">
          <cell r="BL824">
            <v>7676</v>
          </cell>
        </row>
        <row r="825">
          <cell r="BL825">
            <v>7677</v>
          </cell>
        </row>
        <row r="826">
          <cell r="BL826">
            <v>7678</v>
          </cell>
        </row>
        <row r="827">
          <cell r="BL827">
            <v>7681</v>
          </cell>
        </row>
        <row r="828">
          <cell r="BL828">
            <v>7682</v>
          </cell>
        </row>
        <row r="829">
          <cell r="BL829">
            <v>7683</v>
          </cell>
        </row>
        <row r="830">
          <cell r="BL830">
            <v>7691</v>
          </cell>
        </row>
        <row r="831">
          <cell r="BL831">
            <v>7692</v>
          </cell>
        </row>
        <row r="832">
          <cell r="BL832">
            <v>7700</v>
          </cell>
        </row>
        <row r="833">
          <cell r="BL833">
            <v>7710</v>
          </cell>
        </row>
        <row r="834">
          <cell r="BL834">
            <v>7730</v>
          </cell>
        </row>
        <row r="835">
          <cell r="BL835">
            <v>7771</v>
          </cell>
        </row>
        <row r="836">
          <cell r="BL836">
            <v>7772</v>
          </cell>
        </row>
        <row r="837">
          <cell r="BL837">
            <v>7773</v>
          </cell>
        </row>
        <row r="838">
          <cell r="BL838">
            <v>7774</v>
          </cell>
        </row>
        <row r="839">
          <cell r="BL839">
            <v>7775</v>
          </cell>
        </row>
        <row r="840">
          <cell r="BL840">
            <v>7776</v>
          </cell>
        </row>
        <row r="841">
          <cell r="BL841">
            <v>7777</v>
          </cell>
        </row>
        <row r="842">
          <cell r="BL842">
            <v>7778</v>
          </cell>
        </row>
        <row r="843">
          <cell r="BL843">
            <v>7781</v>
          </cell>
        </row>
        <row r="844">
          <cell r="BL844">
            <v>7782</v>
          </cell>
        </row>
        <row r="845">
          <cell r="BL845">
            <v>7783</v>
          </cell>
        </row>
        <row r="846">
          <cell r="BL846">
            <v>7784</v>
          </cell>
        </row>
        <row r="847">
          <cell r="BL847">
            <v>7791</v>
          </cell>
        </row>
        <row r="848">
          <cell r="BL848">
            <v>7802</v>
          </cell>
        </row>
        <row r="849">
          <cell r="BL849">
            <v>7803</v>
          </cell>
        </row>
        <row r="850">
          <cell r="BL850">
            <v>7804</v>
          </cell>
        </row>
        <row r="851">
          <cell r="BL851">
            <v>7805</v>
          </cell>
        </row>
        <row r="852">
          <cell r="BL852">
            <v>7810</v>
          </cell>
        </row>
        <row r="853">
          <cell r="BL853">
            <v>7811</v>
          </cell>
        </row>
        <row r="854">
          <cell r="BL854">
            <v>7812</v>
          </cell>
        </row>
        <row r="855">
          <cell r="BL855">
            <v>7822</v>
          </cell>
        </row>
        <row r="856">
          <cell r="BL856">
            <v>7823</v>
          </cell>
        </row>
        <row r="857">
          <cell r="BL857">
            <v>7825</v>
          </cell>
        </row>
        <row r="858">
          <cell r="BL858">
            <v>7830</v>
          </cell>
        </row>
        <row r="859">
          <cell r="BL859">
            <v>7832</v>
          </cell>
        </row>
        <row r="860">
          <cell r="BL860">
            <v>7871</v>
          </cell>
        </row>
        <row r="861">
          <cell r="BL861">
            <v>7872</v>
          </cell>
        </row>
        <row r="862">
          <cell r="BL862">
            <v>7873</v>
          </cell>
        </row>
        <row r="863">
          <cell r="BL863">
            <v>7875</v>
          </cell>
        </row>
        <row r="864">
          <cell r="BL864">
            <v>7881</v>
          </cell>
        </row>
        <row r="865">
          <cell r="BL865">
            <v>7882</v>
          </cell>
        </row>
        <row r="866">
          <cell r="BL866">
            <v>7883</v>
          </cell>
        </row>
        <row r="867">
          <cell r="BL867">
            <v>7884</v>
          </cell>
        </row>
        <row r="868">
          <cell r="BL868">
            <v>7885</v>
          </cell>
        </row>
        <row r="869">
          <cell r="BL869">
            <v>7886</v>
          </cell>
        </row>
        <row r="870">
          <cell r="BL870">
            <v>7891</v>
          </cell>
        </row>
        <row r="871">
          <cell r="BL871">
            <v>7892</v>
          </cell>
        </row>
        <row r="872">
          <cell r="BL872">
            <v>7893</v>
          </cell>
        </row>
        <row r="873">
          <cell r="BL873">
            <v>7895</v>
          </cell>
        </row>
        <row r="874">
          <cell r="BL874">
            <v>7901</v>
          </cell>
        </row>
        <row r="875">
          <cell r="BL875">
            <v>7903</v>
          </cell>
        </row>
        <row r="876">
          <cell r="BL876">
            <v>7910</v>
          </cell>
        </row>
        <row r="877">
          <cell r="BL877">
            <v>7912</v>
          </cell>
        </row>
        <row r="878">
          <cell r="BL878">
            <v>7920</v>
          </cell>
        </row>
        <row r="879">
          <cell r="BL879">
            <v>7924</v>
          </cell>
        </row>
        <row r="880">
          <cell r="BL880">
            <v>7925</v>
          </cell>
        </row>
        <row r="881">
          <cell r="BL881">
            <v>7930</v>
          </cell>
        </row>
        <row r="882">
          <cell r="BL882">
            <v>7971</v>
          </cell>
        </row>
        <row r="883">
          <cell r="BL883">
            <v>7972</v>
          </cell>
        </row>
        <row r="884">
          <cell r="BL884">
            <v>7973</v>
          </cell>
        </row>
        <row r="885">
          <cell r="BL885">
            <v>7974</v>
          </cell>
        </row>
        <row r="886">
          <cell r="BL886">
            <v>7977</v>
          </cell>
        </row>
        <row r="887">
          <cell r="BL887">
            <v>7978</v>
          </cell>
        </row>
        <row r="888">
          <cell r="BL888">
            <v>7979</v>
          </cell>
        </row>
        <row r="889">
          <cell r="BL889">
            <v>7980</v>
          </cell>
        </row>
        <row r="890">
          <cell r="BL890">
            <v>7982</v>
          </cell>
        </row>
        <row r="891">
          <cell r="BL891">
            <v>7983</v>
          </cell>
        </row>
        <row r="892">
          <cell r="BL892">
            <v>7984</v>
          </cell>
        </row>
        <row r="893">
          <cell r="BL893">
            <v>7985</v>
          </cell>
        </row>
        <row r="894">
          <cell r="BL894">
            <v>7986</v>
          </cell>
        </row>
        <row r="895">
          <cell r="BL895">
            <v>7987</v>
          </cell>
        </row>
        <row r="896">
          <cell r="BL896">
            <v>7988</v>
          </cell>
        </row>
        <row r="897">
          <cell r="BL897">
            <v>7990</v>
          </cell>
        </row>
        <row r="898">
          <cell r="BL898">
            <v>7991</v>
          </cell>
        </row>
        <row r="899">
          <cell r="BL899">
            <v>7992</v>
          </cell>
        </row>
        <row r="900">
          <cell r="BL900">
            <v>7999</v>
          </cell>
        </row>
        <row r="901">
          <cell r="BL901">
            <v>8011</v>
          </cell>
        </row>
        <row r="902">
          <cell r="BL902">
            <v>8013</v>
          </cell>
        </row>
        <row r="903">
          <cell r="BL903">
            <v>8014</v>
          </cell>
        </row>
        <row r="904">
          <cell r="BL904">
            <v>8022</v>
          </cell>
        </row>
        <row r="905">
          <cell r="BL905">
            <v>8023</v>
          </cell>
        </row>
        <row r="906">
          <cell r="BL906">
            <v>8024</v>
          </cell>
        </row>
        <row r="907">
          <cell r="BL907">
            <v>8025</v>
          </cell>
        </row>
        <row r="908">
          <cell r="BL908">
            <v>8041</v>
          </cell>
        </row>
        <row r="909">
          <cell r="BL909">
            <v>8042</v>
          </cell>
        </row>
        <row r="910">
          <cell r="BL910">
            <v>8051</v>
          </cell>
        </row>
        <row r="911">
          <cell r="BL911">
            <v>8052</v>
          </cell>
        </row>
        <row r="912">
          <cell r="BL912">
            <v>8053</v>
          </cell>
        </row>
        <row r="913">
          <cell r="BL913">
            <v>8061</v>
          </cell>
        </row>
        <row r="914">
          <cell r="BL914">
            <v>8062</v>
          </cell>
        </row>
        <row r="915">
          <cell r="BL915">
            <v>8081</v>
          </cell>
        </row>
        <row r="916">
          <cell r="BL916">
            <v>8082</v>
          </cell>
        </row>
        <row r="917">
          <cell r="BL917">
            <v>8083</v>
          </cell>
        </row>
        <row r="918">
          <cell r="BL918">
            <v>8971</v>
          </cell>
        </row>
        <row r="919">
          <cell r="BL919">
            <v>8972</v>
          </cell>
        </row>
        <row r="920">
          <cell r="BL920">
            <v>9010</v>
          </cell>
        </row>
        <row r="921">
          <cell r="BL921">
            <v>9011</v>
          </cell>
        </row>
        <row r="922">
          <cell r="BL922">
            <v>9012</v>
          </cell>
        </row>
        <row r="923">
          <cell r="BL923">
            <v>9013</v>
          </cell>
        </row>
        <row r="924">
          <cell r="BL924">
            <v>9014</v>
          </cell>
        </row>
        <row r="925">
          <cell r="BL925">
            <v>9016</v>
          </cell>
        </row>
        <row r="926">
          <cell r="BL926">
            <v>9018</v>
          </cell>
        </row>
        <row r="927">
          <cell r="BL927">
            <v>9019</v>
          </cell>
        </row>
        <row r="928">
          <cell r="BL928">
            <v>9022</v>
          </cell>
        </row>
        <row r="929">
          <cell r="BL929">
            <v>9023</v>
          </cell>
        </row>
        <row r="930">
          <cell r="BL930">
            <v>9024</v>
          </cell>
        </row>
        <row r="931">
          <cell r="BL931">
            <v>9035</v>
          </cell>
        </row>
        <row r="932">
          <cell r="BL932">
            <v>9073</v>
          </cell>
        </row>
        <row r="933">
          <cell r="BL933">
            <v>9074</v>
          </cell>
        </row>
        <row r="934">
          <cell r="BL934">
            <v>9076</v>
          </cell>
        </row>
        <row r="935">
          <cell r="BL935">
            <v>9077</v>
          </cell>
        </row>
        <row r="936">
          <cell r="BL936">
            <v>9081</v>
          </cell>
        </row>
        <row r="937">
          <cell r="BL937">
            <v>9082</v>
          </cell>
        </row>
        <row r="938">
          <cell r="BL938">
            <v>9085</v>
          </cell>
        </row>
        <row r="939">
          <cell r="BL939">
            <v>9091</v>
          </cell>
        </row>
        <row r="940">
          <cell r="BL940">
            <v>9092</v>
          </cell>
        </row>
        <row r="941">
          <cell r="BL941">
            <v>9210</v>
          </cell>
        </row>
        <row r="942">
          <cell r="BL942">
            <v>9220</v>
          </cell>
        </row>
        <row r="943">
          <cell r="BL943">
            <v>9230</v>
          </cell>
        </row>
        <row r="944">
          <cell r="BL944">
            <v>9231</v>
          </cell>
        </row>
        <row r="945">
          <cell r="BL945">
            <v>9271</v>
          </cell>
        </row>
        <row r="946">
          <cell r="BL946">
            <v>9272</v>
          </cell>
        </row>
        <row r="947">
          <cell r="BL947">
            <v>9273</v>
          </cell>
        </row>
        <row r="948">
          <cell r="BL948">
            <v>9274</v>
          </cell>
        </row>
        <row r="949">
          <cell r="BL949">
            <v>9281</v>
          </cell>
        </row>
        <row r="950">
          <cell r="BL950">
            <v>9282</v>
          </cell>
        </row>
        <row r="951">
          <cell r="BL951">
            <v>9291</v>
          </cell>
        </row>
        <row r="952">
          <cell r="BL952">
            <v>9292</v>
          </cell>
        </row>
        <row r="953">
          <cell r="BL953">
            <v>9300</v>
          </cell>
        </row>
        <row r="954">
          <cell r="BL954">
            <v>9302</v>
          </cell>
        </row>
        <row r="955">
          <cell r="BL955">
            <v>9304</v>
          </cell>
        </row>
        <row r="956">
          <cell r="BL956">
            <v>9305</v>
          </cell>
        </row>
        <row r="957">
          <cell r="BL957">
            <v>9310</v>
          </cell>
        </row>
        <row r="958">
          <cell r="BL958">
            <v>9320</v>
          </cell>
        </row>
        <row r="959">
          <cell r="BL959">
            <v>9330</v>
          </cell>
        </row>
        <row r="960">
          <cell r="BL960">
            <v>9332</v>
          </cell>
        </row>
        <row r="961">
          <cell r="BL961">
            <v>9371</v>
          </cell>
        </row>
        <row r="962">
          <cell r="BL962">
            <v>9372</v>
          </cell>
        </row>
        <row r="963">
          <cell r="BL963">
            <v>9376</v>
          </cell>
        </row>
        <row r="964">
          <cell r="BL964">
            <v>9377</v>
          </cell>
        </row>
        <row r="965">
          <cell r="BL965">
            <v>9381</v>
          </cell>
        </row>
        <row r="966">
          <cell r="BL966">
            <v>9382</v>
          </cell>
        </row>
        <row r="967">
          <cell r="BL967">
            <v>9383</v>
          </cell>
        </row>
        <row r="968">
          <cell r="BL968">
            <v>9384</v>
          </cell>
        </row>
        <row r="969">
          <cell r="BL969">
            <v>9386</v>
          </cell>
        </row>
        <row r="970">
          <cell r="BL970">
            <v>9387</v>
          </cell>
        </row>
        <row r="971">
          <cell r="BL971">
            <v>9391</v>
          </cell>
        </row>
        <row r="972">
          <cell r="BL972">
            <v>9392</v>
          </cell>
        </row>
        <row r="973">
          <cell r="BL973">
            <v>9393</v>
          </cell>
        </row>
        <row r="974">
          <cell r="BL974">
            <v>9394</v>
          </cell>
        </row>
        <row r="975">
          <cell r="BL975">
            <v>9395</v>
          </cell>
        </row>
        <row r="976">
          <cell r="BL976">
            <v>9396</v>
          </cell>
        </row>
        <row r="977">
          <cell r="BL977">
            <v>9397</v>
          </cell>
        </row>
        <row r="978">
          <cell r="BL978">
            <v>9398</v>
          </cell>
        </row>
        <row r="979">
          <cell r="BL979">
            <v>9400</v>
          </cell>
        </row>
        <row r="980">
          <cell r="BL980">
            <v>9401</v>
          </cell>
        </row>
        <row r="981">
          <cell r="BL981">
            <v>9410</v>
          </cell>
        </row>
        <row r="982">
          <cell r="BL982">
            <v>9412</v>
          </cell>
        </row>
        <row r="983">
          <cell r="BL983">
            <v>9430</v>
          </cell>
        </row>
        <row r="984">
          <cell r="BL984">
            <v>9435</v>
          </cell>
        </row>
        <row r="985">
          <cell r="BL985">
            <v>9471</v>
          </cell>
        </row>
        <row r="986">
          <cell r="BL986">
            <v>9472</v>
          </cell>
        </row>
        <row r="987">
          <cell r="BL987">
            <v>9481</v>
          </cell>
        </row>
        <row r="988">
          <cell r="BL988">
            <v>9482</v>
          </cell>
        </row>
        <row r="989">
          <cell r="BL989">
            <v>9483</v>
          </cell>
        </row>
        <row r="990">
          <cell r="BL990">
            <v>9491</v>
          </cell>
        </row>
        <row r="991">
          <cell r="BL991">
            <v>9492</v>
          </cell>
        </row>
        <row r="992">
          <cell r="BL992">
            <v>9493</v>
          </cell>
        </row>
        <row r="993">
          <cell r="BL993">
            <v>9494</v>
          </cell>
        </row>
        <row r="994">
          <cell r="BL994">
            <v>9495</v>
          </cell>
        </row>
        <row r="995">
          <cell r="BL995">
            <v>9498</v>
          </cell>
        </row>
        <row r="996">
          <cell r="BL996">
            <v>9500</v>
          </cell>
        </row>
        <row r="997">
          <cell r="BL997">
            <v>9510</v>
          </cell>
        </row>
        <row r="998">
          <cell r="BL998">
            <v>9522</v>
          </cell>
        </row>
        <row r="999">
          <cell r="BL999">
            <v>9532</v>
          </cell>
        </row>
        <row r="1000">
          <cell r="BL1000">
            <v>9534</v>
          </cell>
        </row>
        <row r="1001">
          <cell r="BL1001">
            <v>9535</v>
          </cell>
        </row>
        <row r="1002">
          <cell r="BL1002">
            <v>9571</v>
          </cell>
        </row>
        <row r="1003">
          <cell r="BL1003">
            <v>9572</v>
          </cell>
        </row>
        <row r="1004">
          <cell r="BL1004">
            <v>9583</v>
          </cell>
        </row>
        <row r="1005">
          <cell r="BL1005">
            <v>9584</v>
          </cell>
        </row>
        <row r="1006">
          <cell r="BL1006">
            <v>9585</v>
          </cell>
        </row>
        <row r="1007">
          <cell r="BL1007">
            <v>9586</v>
          </cell>
        </row>
        <row r="1008">
          <cell r="BL1008">
            <v>9587</v>
          </cell>
        </row>
        <row r="1009">
          <cell r="BL1009">
            <v>9591</v>
          </cell>
        </row>
        <row r="1010">
          <cell r="BL1010">
            <v>9593</v>
          </cell>
        </row>
        <row r="1011">
          <cell r="BL1011">
            <v>9596</v>
          </cell>
        </row>
        <row r="1012">
          <cell r="BL1012">
            <v>9597</v>
          </cell>
        </row>
        <row r="1013">
          <cell r="BL1013">
            <v>9598</v>
          </cell>
        </row>
        <row r="1014">
          <cell r="BL1014">
            <v>9600</v>
          </cell>
        </row>
        <row r="1015">
          <cell r="BL1015">
            <v>9610</v>
          </cell>
        </row>
        <row r="1016">
          <cell r="BL1016">
            <v>9620</v>
          </cell>
        </row>
        <row r="1017">
          <cell r="BL1017">
            <v>9630</v>
          </cell>
        </row>
        <row r="1018">
          <cell r="BL1018">
            <v>9635</v>
          </cell>
        </row>
        <row r="1019">
          <cell r="BL1019">
            <v>9672</v>
          </cell>
        </row>
        <row r="1020">
          <cell r="BL1020">
            <v>9679</v>
          </cell>
        </row>
        <row r="1021">
          <cell r="BL1021">
            <v>9682</v>
          </cell>
        </row>
        <row r="1022">
          <cell r="BL1022">
            <v>9683</v>
          </cell>
        </row>
        <row r="1023">
          <cell r="BL1023">
            <v>9689</v>
          </cell>
        </row>
        <row r="1024">
          <cell r="BL1024">
            <v>9691</v>
          </cell>
        </row>
        <row r="1025">
          <cell r="BL1025">
            <v>9710</v>
          </cell>
        </row>
        <row r="1026">
          <cell r="BL1026">
            <v>9712</v>
          </cell>
        </row>
        <row r="1027">
          <cell r="BL1027">
            <v>9720</v>
          </cell>
        </row>
        <row r="1028">
          <cell r="BL1028">
            <v>9730</v>
          </cell>
        </row>
        <row r="1029">
          <cell r="BL1029">
            <v>9771</v>
          </cell>
        </row>
        <row r="1030">
          <cell r="BL1030">
            <v>9772</v>
          </cell>
        </row>
        <row r="1031">
          <cell r="BL1031">
            <v>9773</v>
          </cell>
        </row>
        <row r="1032">
          <cell r="BL1032">
            <v>9774</v>
          </cell>
        </row>
        <row r="1033">
          <cell r="BL1033">
            <v>9775</v>
          </cell>
        </row>
        <row r="1034">
          <cell r="BL1034">
            <v>9776</v>
          </cell>
        </row>
        <row r="1035">
          <cell r="BL1035">
            <v>9777</v>
          </cell>
        </row>
        <row r="1036">
          <cell r="BL1036">
            <v>9778</v>
          </cell>
        </row>
        <row r="1037">
          <cell r="BL1037">
            <v>9779</v>
          </cell>
        </row>
        <row r="1038">
          <cell r="BL1038">
            <v>9781</v>
          </cell>
        </row>
        <row r="1039">
          <cell r="BL1039">
            <v>9782</v>
          </cell>
        </row>
        <row r="1040">
          <cell r="BL1040">
            <v>9783</v>
          </cell>
        </row>
        <row r="1041">
          <cell r="BL1041">
            <v>9791</v>
          </cell>
        </row>
        <row r="1042">
          <cell r="BL1042">
            <v>9792</v>
          </cell>
        </row>
        <row r="1043">
          <cell r="BL1043">
            <v>9793</v>
          </cell>
        </row>
        <row r="1044">
          <cell r="BL1044">
            <v>9794</v>
          </cell>
        </row>
        <row r="1045">
          <cell r="BL1045">
            <v>9810</v>
          </cell>
        </row>
        <row r="1046">
          <cell r="BL1046">
            <v>9812</v>
          </cell>
        </row>
        <row r="1047">
          <cell r="BL1047">
            <v>9814</v>
          </cell>
        </row>
        <row r="1048">
          <cell r="BL1048">
            <v>9816</v>
          </cell>
        </row>
        <row r="1049">
          <cell r="BL1049">
            <v>9818</v>
          </cell>
        </row>
        <row r="1050">
          <cell r="BL1050">
            <v>9822</v>
          </cell>
        </row>
        <row r="1051">
          <cell r="BL1051">
            <v>9825</v>
          </cell>
        </row>
        <row r="1052">
          <cell r="BL1052">
            <v>9831</v>
          </cell>
        </row>
        <row r="1053">
          <cell r="BL1053">
            <v>9871</v>
          </cell>
        </row>
        <row r="1054">
          <cell r="BL1054">
            <v>9872</v>
          </cell>
        </row>
        <row r="1055">
          <cell r="BL1055">
            <v>9874</v>
          </cell>
        </row>
        <row r="1056">
          <cell r="BL1056">
            <v>9875</v>
          </cell>
        </row>
        <row r="1057">
          <cell r="BL1057">
            <v>9876</v>
          </cell>
        </row>
        <row r="1058">
          <cell r="BL1058">
            <v>9877</v>
          </cell>
        </row>
        <row r="1059">
          <cell r="BL1059">
            <v>9879</v>
          </cell>
        </row>
        <row r="1060">
          <cell r="BL1060">
            <v>9881</v>
          </cell>
        </row>
        <row r="1061">
          <cell r="BL1061">
            <v>9883</v>
          </cell>
        </row>
        <row r="1062">
          <cell r="BL1062">
            <v>9884</v>
          </cell>
        </row>
        <row r="1063">
          <cell r="BL1063">
            <v>9888</v>
          </cell>
        </row>
        <row r="1064">
          <cell r="BL1064">
            <v>9891</v>
          </cell>
        </row>
        <row r="1065">
          <cell r="BL1065">
            <v>9892</v>
          </cell>
        </row>
        <row r="1066">
          <cell r="BL1066">
            <v>9893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8"/>
  <sheetViews>
    <sheetView topLeftCell="A28" zoomScale="85" zoomScaleNormal="85" workbookViewId="0">
      <selection activeCell="D23" sqref="D23"/>
    </sheetView>
  </sheetViews>
  <sheetFormatPr defaultRowHeight="15"/>
  <cols>
    <col min="2" max="2" width="21.7109375" customWidth="1"/>
    <col min="3" max="3" width="55.7109375" style="3" bestFit="1" customWidth="1"/>
    <col min="4" max="4" width="184.5703125" style="3" bestFit="1" customWidth="1"/>
    <col min="5" max="5" width="46" style="3" customWidth="1"/>
    <col min="6" max="6" width="77.28515625" style="3" bestFit="1" customWidth="1"/>
    <col min="7" max="7" width="43.140625" style="3" bestFit="1" customWidth="1"/>
    <col min="8" max="8" width="84.85546875" customWidth="1"/>
    <col min="9" max="9" width="46.5703125" customWidth="1"/>
    <col min="10" max="10" width="16.5703125" customWidth="1"/>
    <col min="11" max="11" width="14.140625" customWidth="1"/>
    <col min="12" max="12" width="12.5703125" customWidth="1"/>
    <col min="13" max="13" width="14.140625" customWidth="1"/>
    <col min="14" max="14" width="15.140625" customWidth="1"/>
    <col min="15" max="15" width="14.42578125" customWidth="1"/>
    <col min="16" max="16" width="13.42578125" customWidth="1"/>
    <col min="17" max="17" width="14.28515625" customWidth="1"/>
    <col min="18" max="18" width="15.28515625" customWidth="1"/>
    <col min="19" max="19" width="15" customWidth="1"/>
    <col min="20" max="20" width="13.85546875" customWidth="1"/>
    <col min="21" max="21" width="13.7109375" customWidth="1"/>
    <col min="22" max="22" width="15.42578125" customWidth="1"/>
    <col min="23" max="23" width="14.5703125" customWidth="1"/>
    <col min="24" max="24" width="13.85546875" customWidth="1"/>
    <col min="25" max="25" width="15" customWidth="1"/>
    <col min="26" max="27" width="15.140625" customWidth="1"/>
    <col min="28" max="29" width="14.42578125" customWidth="1"/>
    <col min="30" max="30" width="15.28515625" customWidth="1"/>
    <col min="31" max="31" width="15" customWidth="1"/>
    <col min="32" max="32" width="12.7109375" customWidth="1"/>
    <col min="33" max="33" width="13.85546875" customWidth="1"/>
    <col min="34" max="34" width="15.7109375" customWidth="1"/>
    <col min="35" max="37" width="14.7109375" customWidth="1"/>
    <col min="38" max="38" width="15" customWidth="1"/>
    <col min="39" max="39" width="14.42578125" customWidth="1"/>
    <col min="40" max="40" width="13" customWidth="1"/>
    <col min="41" max="41" width="15.42578125" customWidth="1"/>
  </cols>
  <sheetData>
    <row r="1" spans="1:27" s="101" customFormat="1">
      <c r="C1" s="3"/>
      <c r="D1" s="3"/>
      <c r="E1" s="3"/>
      <c r="F1" s="3"/>
      <c r="G1" s="3"/>
    </row>
    <row r="2" spans="1:27" s="101" customFormat="1">
      <c r="C2" s="3"/>
      <c r="D2" s="3"/>
      <c r="E2" s="3"/>
      <c r="F2" s="3"/>
      <c r="G2" s="3"/>
      <c r="I2" s="3"/>
      <c r="J2" s="3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1"/>
    </row>
    <row r="3" spans="1:27" s="101" customFormat="1">
      <c r="C3" s="3"/>
      <c r="D3" s="3"/>
      <c r="E3" s="3"/>
      <c r="F3" s="3"/>
      <c r="I3" s="3"/>
      <c r="J3" s="3"/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1"/>
    </row>
    <row r="4" spans="1:27" ht="15.75">
      <c r="C4" s="337" t="s">
        <v>508</v>
      </c>
      <c r="D4" s="337"/>
      <c r="I4" s="3"/>
      <c r="J4" s="3"/>
      <c r="K4" s="3"/>
    </row>
    <row r="5" spans="1:27">
      <c r="A5" s="101"/>
      <c r="C5" s="5" t="s">
        <v>4</v>
      </c>
      <c r="D5" s="6" t="s">
        <v>5</v>
      </c>
      <c r="I5" s="3"/>
      <c r="J5" s="3"/>
      <c r="K5" s="3"/>
    </row>
    <row r="6" spans="1:27" s="4" customFormat="1">
      <c r="A6" s="101"/>
      <c r="C6" s="7" t="s">
        <v>6</v>
      </c>
      <c r="D6" s="8" t="s">
        <v>7</v>
      </c>
      <c r="E6" s="3"/>
      <c r="F6" s="3"/>
      <c r="I6" s="3"/>
      <c r="J6" s="3"/>
      <c r="K6" s="3"/>
    </row>
    <row r="7" spans="1:27" s="4" customFormat="1">
      <c r="A7" s="167"/>
      <c r="C7" s="7" t="s">
        <v>514</v>
      </c>
      <c r="D7" s="8" t="s">
        <v>515</v>
      </c>
      <c r="E7" s="3"/>
      <c r="F7" s="3"/>
      <c r="I7" s="3"/>
      <c r="J7" s="3"/>
      <c r="K7" s="3"/>
    </row>
    <row r="8" spans="1:27">
      <c r="A8" s="101"/>
      <c r="C8" s="159" t="s">
        <v>423</v>
      </c>
      <c r="D8" s="160" t="s">
        <v>421</v>
      </c>
      <c r="I8" s="3"/>
      <c r="J8" s="3"/>
      <c r="K8" s="3"/>
    </row>
    <row r="9" spans="1:27" s="101" customFormat="1">
      <c r="C9" s="7" t="s">
        <v>354</v>
      </c>
      <c r="D9" s="8" t="s">
        <v>454</v>
      </c>
      <c r="E9" s="3"/>
      <c r="F9" s="3"/>
      <c r="G9" s="3"/>
      <c r="I9" s="3"/>
      <c r="J9" s="3"/>
      <c r="K9" s="3"/>
    </row>
    <row r="10" spans="1:27" s="101" customFormat="1">
      <c r="C10" s="7" t="s">
        <v>356</v>
      </c>
      <c r="D10" s="8" t="s">
        <v>455</v>
      </c>
      <c r="E10" s="3"/>
      <c r="F10" s="3"/>
      <c r="G10" s="3"/>
      <c r="I10" s="3"/>
      <c r="J10" s="3"/>
      <c r="K10" s="3"/>
    </row>
    <row r="11" spans="1:27" s="101" customFormat="1">
      <c r="C11" s="210" t="s">
        <v>253</v>
      </c>
      <c r="D11" s="217" t="s">
        <v>685</v>
      </c>
      <c r="E11" s="3"/>
      <c r="F11" s="3"/>
      <c r="G11" s="3"/>
      <c r="I11" s="3"/>
      <c r="J11" s="3"/>
      <c r="K11" s="3"/>
    </row>
    <row r="12" spans="1:27" s="101" customFormat="1">
      <c r="A12" s="167"/>
      <c r="C12" s="7" t="s">
        <v>522</v>
      </c>
      <c r="D12" s="8" t="s">
        <v>427</v>
      </c>
      <c r="E12" s="3"/>
      <c r="F12" s="3"/>
      <c r="G12" s="3"/>
      <c r="I12" s="3"/>
      <c r="J12" s="3"/>
      <c r="K12" s="3"/>
    </row>
    <row r="13" spans="1:27" s="101" customFormat="1" ht="27">
      <c r="A13" s="167"/>
      <c r="C13" s="195" t="s">
        <v>361</v>
      </c>
      <c r="D13" s="215" t="s">
        <v>750</v>
      </c>
      <c r="E13" s="3"/>
      <c r="F13" s="3"/>
      <c r="G13" s="3"/>
      <c r="I13" s="3"/>
      <c r="J13" s="3"/>
      <c r="K13" s="3"/>
    </row>
    <row r="14" spans="1:27" s="101" customFormat="1">
      <c r="A14" s="167"/>
      <c r="C14" s="213" t="s">
        <v>520</v>
      </c>
      <c r="D14" s="212" t="s">
        <v>521</v>
      </c>
      <c r="E14" s="3"/>
      <c r="F14" s="3"/>
      <c r="G14" s="3"/>
      <c r="I14" s="3"/>
      <c r="J14" s="3"/>
      <c r="K14" s="3"/>
    </row>
    <row r="15" spans="1:27" s="218" customFormat="1">
      <c r="C15" s="222" t="s">
        <v>573</v>
      </c>
      <c r="D15" s="190" t="s">
        <v>574</v>
      </c>
      <c r="E15" s="219"/>
      <c r="F15" s="219"/>
      <c r="G15" s="219"/>
      <c r="I15" s="219"/>
      <c r="J15" s="219"/>
      <c r="K15" s="219"/>
    </row>
    <row r="16" spans="1:27" s="101" customFormat="1">
      <c r="A16" s="167"/>
      <c r="C16" s="225" t="s">
        <v>590</v>
      </c>
      <c r="D16" s="248" t="s">
        <v>591</v>
      </c>
      <c r="E16" s="3"/>
      <c r="I16" s="3"/>
      <c r="J16" s="3"/>
      <c r="K16" s="3"/>
    </row>
    <row r="17" spans="1:24" s="101" customFormat="1">
      <c r="A17" s="167"/>
      <c r="E17" s="3"/>
      <c r="I17" s="3"/>
      <c r="J17" s="3"/>
      <c r="K17" s="3"/>
    </row>
    <row r="18" spans="1:24">
      <c r="A18" s="167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5.75">
      <c r="A19" s="167"/>
      <c r="C19" s="336" t="s">
        <v>422</v>
      </c>
      <c r="D19" s="336"/>
      <c r="F19" s="101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>
      <c r="A20" s="167"/>
      <c r="B20" s="101"/>
      <c r="C20" s="18" t="s">
        <v>4</v>
      </c>
      <c r="D20" s="19" t="s">
        <v>5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s="62" customFormat="1">
      <c r="A21" s="167"/>
      <c r="B21" s="101"/>
      <c r="C21" s="7" t="s">
        <v>177</v>
      </c>
      <c r="D21" s="17" t="s">
        <v>176</v>
      </c>
      <c r="E21" s="3"/>
      <c r="F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s="62" customFormat="1">
      <c r="A22" s="167"/>
      <c r="B22" s="101"/>
      <c r="C22" s="7" t="s">
        <v>178</v>
      </c>
      <c r="D22" s="273" t="s">
        <v>714</v>
      </c>
      <c r="E22" s="3"/>
      <c r="F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>
      <c r="A23" s="167"/>
      <c r="B23" s="101"/>
      <c r="C23" s="7" t="s">
        <v>550</v>
      </c>
      <c r="D23" s="214" t="s">
        <v>549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s="218" customFormat="1">
      <c r="C24" s="233" t="s">
        <v>551</v>
      </c>
      <c r="D24" s="234" t="s">
        <v>552</v>
      </c>
      <c r="E24" s="219"/>
      <c r="F24" s="219"/>
      <c r="G24" s="219"/>
      <c r="I24" s="219"/>
      <c r="J24" s="219"/>
      <c r="K24" s="219"/>
      <c r="L24" s="219"/>
      <c r="M24" s="219"/>
      <c r="N24" s="219"/>
      <c r="O24" s="219"/>
      <c r="P24" s="219"/>
      <c r="Q24" s="219"/>
      <c r="R24" s="219"/>
      <c r="S24" s="219"/>
      <c r="T24" s="219"/>
      <c r="U24" s="219"/>
      <c r="V24" s="219"/>
      <c r="W24" s="219"/>
      <c r="X24" s="219"/>
    </row>
    <row r="25" spans="1:24">
      <c r="A25" s="167"/>
      <c r="B25" s="101"/>
      <c r="C25" s="7" t="s">
        <v>77</v>
      </c>
      <c r="D25" s="214" t="s">
        <v>553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>
      <c r="A26" s="167"/>
      <c r="B26" s="101"/>
      <c r="C26" s="7" t="s">
        <v>204</v>
      </c>
      <c r="D26" s="17" t="s">
        <v>207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>
      <c r="A27" s="167"/>
      <c r="B27" s="101"/>
      <c r="C27" s="7" t="s">
        <v>84</v>
      </c>
      <c r="D27" s="17" t="s">
        <v>475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167"/>
      <c r="B28" s="101"/>
      <c r="C28" s="7" t="s">
        <v>206</v>
      </c>
      <c r="D28" s="17" t="s">
        <v>460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s="101" customFormat="1">
      <c r="A29" s="167"/>
      <c r="C29" s="7" t="s">
        <v>197</v>
      </c>
      <c r="D29" s="17" t="s">
        <v>500</v>
      </c>
      <c r="E29" s="3"/>
      <c r="F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s="62" customFormat="1">
      <c r="A30" s="167"/>
      <c r="B30" s="101"/>
      <c r="C30" s="122" t="s">
        <v>82</v>
      </c>
      <c r="D30" s="17" t="s">
        <v>195</v>
      </c>
      <c r="E30" s="3"/>
      <c r="F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s="4" customFormat="1">
      <c r="A31" s="167"/>
      <c r="B31" s="101"/>
      <c r="C31" s="7" t="s">
        <v>203</v>
      </c>
      <c r="D31" s="161" t="s">
        <v>220</v>
      </c>
      <c r="E31" s="3"/>
      <c r="F31" s="101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s="4" customFormat="1">
      <c r="A32" s="90" t="s">
        <v>747</v>
      </c>
      <c r="B32" s="218"/>
      <c r="C32" s="323" t="s">
        <v>745</v>
      </c>
      <c r="D32" s="322" t="s">
        <v>746</v>
      </c>
      <c r="E32" s="219"/>
      <c r="F32" s="218"/>
      <c r="I32" s="219"/>
      <c r="J32" s="219"/>
      <c r="K32" s="219"/>
      <c r="L32" s="219"/>
      <c r="M32" s="219"/>
      <c r="N32" s="219"/>
      <c r="O32" s="219"/>
      <c r="P32" s="219"/>
      <c r="Q32" s="219"/>
      <c r="R32" s="219"/>
      <c r="S32" s="219"/>
      <c r="T32" s="219"/>
      <c r="U32" s="219"/>
      <c r="V32" s="219"/>
      <c r="W32" s="219"/>
      <c r="X32" s="219"/>
    </row>
    <row r="33" spans="1:24" s="4" customFormat="1">
      <c r="A33" s="218"/>
      <c r="B33" s="218"/>
      <c r="C33" s="323" t="s">
        <v>743</v>
      </c>
      <c r="D33" s="322" t="s">
        <v>744</v>
      </c>
      <c r="E33" s="219"/>
      <c r="F33" s="218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</row>
    <row r="34" spans="1:24" s="4" customFormat="1">
      <c r="A34" s="167"/>
      <c r="B34" s="101"/>
      <c r="C34" s="7" t="s">
        <v>127</v>
      </c>
      <c r="D34" s="322" t="s">
        <v>742</v>
      </c>
      <c r="E34" s="3"/>
      <c r="F34" s="101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s="4" customFormat="1">
      <c r="A35" s="167"/>
      <c r="B35" s="101"/>
      <c r="C35" s="7" t="s">
        <v>128</v>
      </c>
      <c r="D35" s="209" t="s">
        <v>749</v>
      </c>
      <c r="F35" s="101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s="4" customFormat="1">
      <c r="A36" s="167"/>
      <c r="B36" s="101"/>
      <c r="C36" s="7" t="s">
        <v>228</v>
      </c>
      <c r="D36" s="161" t="s">
        <v>304</v>
      </c>
      <c r="E36" s="3"/>
      <c r="F36" s="101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s="4" customFormat="1">
      <c r="A37" s="167"/>
      <c r="B37" s="101"/>
      <c r="C37" s="7" t="s">
        <v>523</v>
      </c>
      <c r="D37" s="232" t="s">
        <v>307</v>
      </c>
      <c r="E37" s="3"/>
      <c r="F37" s="167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s="4" customFormat="1">
      <c r="A38" s="167"/>
      <c r="B38" s="101"/>
      <c r="C38" s="7" t="s">
        <v>524</v>
      </c>
      <c r="D38" s="214" t="s">
        <v>298</v>
      </c>
      <c r="E38" s="3"/>
      <c r="F38" s="218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s="4" customFormat="1">
      <c r="A39" s="167"/>
      <c r="B39" s="101"/>
      <c r="C39" s="7" t="s">
        <v>334</v>
      </c>
      <c r="D39" s="234" t="s">
        <v>476</v>
      </c>
      <c r="E39" s="3"/>
      <c r="F39" s="218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s="4" customFormat="1">
      <c r="A40" s="167"/>
      <c r="B40" s="101"/>
      <c r="C40" s="7" t="s">
        <v>333</v>
      </c>
      <c r="D40" s="232" t="s">
        <v>546</v>
      </c>
      <c r="E40" s="3"/>
      <c r="F40" s="101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s="4" customFormat="1">
      <c r="A41" s="167"/>
      <c r="B41" s="101"/>
      <c r="C41" s="7" t="s">
        <v>337</v>
      </c>
      <c r="D41" s="232" t="s">
        <v>338</v>
      </c>
      <c r="E41" s="3"/>
      <c r="F41" s="101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s="4" customFormat="1">
      <c r="A42" s="167"/>
      <c r="B42" s="101"/>
      <c r="C42" s="7" t="s">
        <v>229</v>
      </c>
      <c r="D42" s="232" t="s">
        <v>230</v>
      </c>
      <c r="E42" s="3"/>
      <c r="F42" s="10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s="4" customFormat="1">
      <c r="A43" s="167"/>
      <c r="B43" s="101"/>
      <c r="C43" s="7" t="s">
        <v>231</v>
      </c>
      <c r="D43" s="232" t="s">
        <v>232</v>
      </c>
      <c r="E43" s="3"/>
      <c r="F43" s="10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s="4" customFormat="1">
      <c r="A44" s="167"/>
      <c r="B44" s="101"/>
      <c r="C44" s="7" t="s">
        <v>233</v>
      </c>
      <c r="D44" s="232" t="s">
        <v>748</v>
      </c>
      <c r="E44" s="3"/>
      <c r="F44" s="101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s="4" customFormat="1">
      <c r="A45" s="218"/>
      <c r="B45" s="218"/>
      <c r="C45" s="270" t="s">
        <v>573</v>
      </c>
      <c r="D45" s="243" t="s">
        <v>680</v>
      </c>
      <c r="E45" s="219"/>
      <c r="F45" s="218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</row>
    <row r="46" spans="1:24" s="4" customFormat="1">
      <c r="A46" s="101"/>
      <c r="B46" s="101"/>
      <c r="C46" s="116" t="s">
        <v>339</v>
      </c>
      <c r="D46" s="117" t="s">
        <v>234</v>
      </c>
      <c r="E46" s="3"/>
      <c r="F46" s="101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s="4" customFormat="1">
      <c r="B47" s="101"/>
      <c r="E47" s="3"/>
      <c r="F47" s="101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s="4" customFormat="1">
      <c r="B48" s="101"/>
      <c r="E48" s="3"/>
      <c r="F48" s="101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s="4" customFormat="1" ht="15.75">
      <c r="B49" s="101"/>
      <c r="C49" s="336" t="s">
        <v>715</v>
      </c>
      <c r="D49" s="336"/>
      <c r="E49" s="3"/>
      <c r="F49" s="101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s="4" customFormat="1">
      <c r="B50" s="101"/>
      <c r="C50" s="18" t="s">
        <v>4</v>
      </c>
      <c r="D50" s="19" t="s">
        <v>5</v>
      </c>
      <c r="E50" s="3"/>
      <c r="F50" s="101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s="4" customFormat="1">
      <c r="B51" s="218"/>
      <c r="C51" s="233" t="s">
        <v>716</v>
      </c>
      <c r="D51" s="273" t="s">
        <v>717</v>
      </c>
      <c r="E51" s="219"/>
      <c r="F51" s="218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</row>
    <row r="52" spans="1:24" s="4" customFormat="1">
      <c r="B52" s="218"/>
      <c r="C52" s="7" t="s">
        <v>73</v>
      </c>
      <c r="D52" s="273" t="s">
        <v>718</v>
      </c>
      <c r="E52" s="219"/>
      <c r="F52" s="218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</row>
    <row r="53" spans="1:24" s="4" customFormat="1">
      <c r="B53" s="101"/>
      <c r="C53" s="7" t="s">
        <v>8</v>
      </c>
      <c r="D53" s="17" t="s">
        <v>11</v>
      </c>
      <c r="E53" s="3"/>
      <c r="F53" s="101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s="4" customFormat="1">
      <c r="A54" s="296" t="s">
        <v>766</v>
      </c>
      <c r="B54" s="101"/>
      <c r="C54" s="233" t="s">
        <v>764</v>
      </c>
      <c r="D54" s="297" t="s">
        <v>765</v>
      </c>
      <c r="E54" s="3"/>
      <c r="F54" s="162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s="4" customFormat="1">
      <c r="B55" s="101"/>
      <c r="C55" s="7" t="s">
        <v>10</v>
      </c>
      <c r="D55" s="17" t="s">
        <v>453</v>
      </c>
      <c r="E55" s="3"/>
      <c r="F55" s="101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s="4" customFormat="1">
      <c r="B56" s="101"/>
      <c r="C56" s="7" t="s">
        <v>75</v>
      </c>
      <c r="D56" s="17" t="s">
        <v>458</v>
      </c>
      <c r="E56" s="3"/>
      <c r="F56" s="101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s="4" customFormat="1">
      <c r="B57" s="101"/>
      <c r="C57" s="7" t="s">
        <v>74</v>
      </c>
      <c r="D57" s="17" t="s">
        <v>76</v>
      </c>
      <c r="E57" s="3"/>
      <c r="F57" s="101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s="4" customFormat="1">
      <c r="B58" s="101"/>
      <c r="C58" s="116" t="s">
        <v>24</v>
      </c>
      <c r="D58" s="115" t="s">
        <v>319</v>
      </c>
      <c r="E58" s="3"/>
      <c r="F58" s="101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s="4" customFormat="1">
      <c r="B59" s="101"/>
      <c r="E59" s="3"/>
      <c r="F59" s="101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s="4" customFormat="1">
      <c r="B60" s="101"/>
      <c r="F60" s="101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>
      <c r="C61" s="338" t="s">
        <v>708</v>
      </c>
      <c r="D61" s="338"/>
    </row>
    <row r="62" spans="1:24">
      <c r="C62" s="164" t="s">
        <v>170</v>
      </c>
      <c r="D62" s="96" t="s">
        <v>172</v>
      </c>
      <c r="H62" s="3"/>
      <c r="I62" s="101"/>
      <c r="J62" s="101"/>
    </row>
    <row r="63" spans="1:24">
      <c r="C63" s="93" t="s">
        <v>287</v>
      </c>
      <c r="D63" s="68" t="s">
        <v>171</v>
      </c>
      <c r="H63" s="3"/>
      <c r="I63" s="101"/>
      <c r="J63" s="101"/>
    </row>
    <row r="64" spans="1:24">
      <c r="C64" s="94" t="s">
        <v>288</v>
      </c>
      <c r="D64" s="165" t="s">
        <v>174</v>
      </c>
      <c r="H64" s="3"/>
      <c r="I64" s="101"/>
      <c r="J64" s="101"/>
    </row>
    <row r="65" spans="1:10">
      <c r="C65" s="94" t="s">
        <v>289</v>
      </c>
      <c r="D65" s="165" t="s">
        <v>175</v>
      </c>
      <c r="H65" s="3"/>
      <c r="I65" s="101"/>
      <c r="J65" s="101"/>
    </row>
    <row r="66" spans="1:10">
      <c r="C66" s="95" t="s">
        <v>428</v>
      </c>
      <c r="D66" s="166" t="s">
        <v>173</v>
      </c>
      <c r="H66" s="3"/>
      <c r="I66" s="101"/>
      <c r="J66" s="101"/>
    </row>
    <row r="67" spans="1:10">
      <c r="H67" s="3"/>
      <c r="I67" s="101"/>
      <c r="J67" s="101"/>
    </row>
    <row r="68" spans="1:10">
      <c r="C68" s="101"/>
      <c r="E68" s="101"/>
      <c r="H68" s="3"/>
      <c r="I68" s="101"/>
      <c r="J68" s="101"/>
    </row>
    <row r="69" spans="1:10" s="101" customFormat="1">
      <c r="F69" s="3"/>
      <c r="G69" s="3"/>
    </row>
    <row r="70" spans="1:10" s="101" customFormat="1">
      <c r="F70" s="3"/>
      <c r="G70" s="3"/>
    </row>
    <row r="71" spans="1:10" ht="30">
      <c r="C71" s="211" t="s">
        <v>516</v>
      </c>
      <c r="E71" s="101"/>
    </row>
    <row r="73" spans="1:10" ht="15.75">
      <c r="C73" s="336" t="s">
        <v>517</v>
      </c>
      <c r="D73" s="336"/>
    </row>
    <row r="74" spans="1:10">
      <c r="C74" s="18" t="s">
        <v>4</v>
      </c>
      <c r="D74" s="19" t="s">
        <v>5</v>
      </c>
    </row>
    <row r="75" spans="1:10">
      <c r="C75" s="7" t="s">
        <v>23</v>
      </c>
      <c r="D75" s="293" t="s">
        <v>706</v>
      </c>
    </row>
    <row r="76" spans="1:10">
      <c r="C76" s="116" t="s">
        <v>518</v>
      </c>
      <c r="D76" s="294" t="s">
        <v>707</v>
      </c>
    </row>
    <row r="77" spans="1:10">
      <c r="A77" s="101"/>
    </row>
    <row r="86" spans="7:7" s="101" customFormat="1">
      <c r="G86" s="3"/>
    </row>
    <row r="88" spans="7:7" s="101" customFormat="1">
      <c r="G88" s="3"/>
    </row>
  </sheetData>
  <mergeCells count="5">
    <mergeCell ref="C19:D19"/>
    <mergeCell ref="C4:D4"/>
    <mergeCell ref="C73:D73"/>
    <mergeCell ref="C61:D61"/>
    <mergeCell ref="C49:D4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2"/>
  <sheetViews>
    <sheetView topLeftCell="A22" zoomScale="85" zoomScaleNormal="85" workbookViewId="0">
      <selection activeCell="D85" sqref="D85"/>
    </sheetView>
  </sheetViews>
  <sheetFormatPr defaultRowHeight="13.5"/>
  <cols>
    <col min="1" max="1" width="34.85546875" style="10" customWidth="1"/>
    <col min="2" max="2" width="9.140625" style="10"/>
    <col min="3" max="3" width="28.28515625" style="10" customWidth="1"/>
    <col min="4" max="4" width="98.7109375" style="10" customWidth="1"/>
    <col min="5" max="10" width="21.28515625" style="10" customWidth="1"/>
    <col min="11" max="11" width="9.140625" style="10"/>
    <col min="12" max="12" width="23.42578125" style="10" customWidth="1"/>
    <col min="13" max="15" width="9.140625" style="10"/>
    <col min="16" max="16" width="30" style="10" customWidth="1"/>
    <col min="17" max="18" width="9.140625" style="10"/>
    <col min="19" max="19" width="23.5703125" style="10" customWidth="1"/>
    <col min="20" max="16384" width="9.140625" style="10"/>
  </cols>
  <sheetData>
    <row r="1" spans="1:4" s="168" customFormat="1"/>
    <row r="2" spans="1:4" s="168" customFormat="1"/>
    <row r="3" spans="1:4" s="168" customFormat="1">
      <c r="A3" s="89" t="s">
        <v>755</v>
      </c>
      <c r="C3" s="344" t="s">
        <v>756</v>
      </c>
      <c r="D3" s="344"/>
    </row>
    <row r="4" spans="1:4" s="168" customFormat="1">
      <c r="A4" s="89"/>
      <c r="C4" s="238" t="s">
        <v>15</v>
      </c>
      <c r="D4" s="237" t="s">
        <v>17</v>
      </c>
    </row>
    <row r="5" spans="1:4" s="168" customFormat="1">
      <c r="A5" s="89"/>
      <c r="C5" s="238" t="s">
        <v>710</v>
      </c>
      <c r="D5" s="238"/>
    </row>
    <row r="6" spans="1:4" s="168" customFormat="1">
      <c r="A6" s="89"/>
      <c r="C6" s="238" t="s">
        <v>208</v>
      </c>
      <c r="D6" s="238"/>
    </row>
    <row r="7" spans="1:4" s="168" customFormat="1">
      <c r="A7" s="89"/>
      <c r="C7" s="264" t="s">
        <v>711</v>
      </c>
      <c r="D7" s="265" t="s">
        <v>35</v>
      </c>
    </row>
    <row r="8" spans="1:4" s="168" customFormat="1">
      <c r="A8" s="89"/>
      <c r="C8" s="29" t="s">
        <v>48</v>
      </c>
      <c r="D8" s="190" t="s">
        <v>712</v>
      </c>
    </row>
    <row r="9" spans="1:4" s="168" customFormat="1">
      <c r="A9" s="89"/>
      <c r="C9" s="202" t="s">
        <v>49</v>
      </c>
      <c r="D9" s="248" t="s">
        <v>757</v>
      </c>
    </row>
    <row r="10" spans="1:4" s="168" customFormat="1">
      <c r="A10" s="89"/>
    </row>
    <row r="11" spans="1:4" s="168" customFormat="1">
      <c r="A11" s="89"/>
    </row>
    <row r="12" spans="1:4" s="168" customFormat="1">
      <c r="A12" s="89"/>
    </row>
    <row r="13" spans="1:4" s="168" customFormat="1" ht="15.75">
      <c r="A13" s="89" t="s">
        <v>758</v>
      </c>
      <c r="C13" s="347" t="s">
        <v>759</v>
      </c>
      <c r="D13" s="347"/>
    </row>
    <row r="14" spans="1:4" s="168" customFormat="1">
      <c r="C14" s="33" t="s">
        <v>4</v>
      </c>
      <c r="D14" s="221" t="s">
        <v>5</v>
      </c>
    </row>
    <row r="15" spans="1:4" s="168" customFormat="1">
      <c r="C15" s="11" t="s">
        <v>9</v>
      </c>
      <c r="D15" s="212" t="s">
        <v>760</v>
      </c>
    </row>
    <row r="16" spans="1:4" s="168" customFormat="1">
      <c r="C16" s="11" t="s">
        <v>761</v>
      </c>
      <c r="D16" s="273" t="s">
        <v>762</v>
      </c>
    </row>
    <row r="17" spans="1:11" s="168" customFormat="1">
      <c r="C17" s="181" t="s">
        <v>24</v>
      </c>
      <c r="D17" s="115" t="s">
        <v>763</v>
      </c>
    </row>
    <row r="18" spans="1:11" s="168" customFormat="1"/>
    <row r="19" spans="1:11" s="168" customFormat="1"/>
    <row r="20" spans="1:11" s="168" customFormat="1">
      <c r="A20" s="89"/>
    </row>
    <row r="21" spans="1:11" ht="15.75">
      <c r="C21" s="336" t="s">
        <v>435</v>
      </c>
      <c r="D21" s="336"/>
    </row>
    <row r="22" spans="1:11">
      <c r="C22" s="33" t="s">
        <v>4</v>
      </c>
      <c r="D22" s="19" t="s">
        <v>5</v>
      </c>
    </row>
    <row r="23" spans="1:11">
      <c r="C23" s="11" t="s">
        <v>183</v>
      </c>
      <c r="D23" s="8" t="s">
        <v>466</v>
      </c>
    </row>
    <row r="24" spans="1:11">
      <c r="C24" s="11" t="s">
        <v>25</v>
      </c>
      <c r="D24" s="17" t="s">
        <v>436</v>
      </c>
    </row>
    <row r="25" spans="1:11">
      <c r="C25" s="11" t="s">
        <v>30</v>
      </c>
      <c r="D25" s="17" t="s">
        <v>168</v>
      </c>
    </row>
    <row r="26" spans="1:11">
      <c r="C26" s="11" t="s">
        <v>111</v>
      </c>
      <c r="D26" s="17" t="s">
        <v>169</v>
      </c>
    </row>
    <row r="27" spans="1:11">
      <c r="C27" s="11" t="s">
        <v>32</v>
      </c>
      <c r="D27" s="17" t="s">
        <v>26</v>
      </c>
    </row>
    <row r="28" spans="1:11">
      <c r="C28" s="11" t="s">
        <v>109</v>
      </c>
      <c r="D28" s="17" t="s">
        <v>437</v>
      </c>
    </row>
    <row r="29" spans="1:11">
      <c r="C29" s="11" t="s">
        <v>27</v>
      </c>
      <c r="D29" s="274" t="s">
        <v>713</v>
      </c>
    </row>
    <row r="30" spans="1:11">
      <c r="C30" s="11" t="s">
        <v>72</v>
      </c>
      <c r="D30" s="273" t="s">
        <v>703</v>
      </c>
    </row>
    <row r="31" spans="1:11">
      <c r="C31" s="181" t="s">
        <v>24</v>
      </c>
      <c r="D31" s="193" t="s">
        <v>720</v>
      </c>
    </row>
    <row r="32" spans="1:11">
      <c r="K32" s="168"/>
    </row>
    <row r="33" spans="3:16">
      <c r="K33" s="168"/>
    </row>
    <row r="34" spans="3:16">
      <c r="K34" s="168"/>
    </row>
    <row r="35" spans="3:16" ht="15.75">
      <c r="C35" s="350" t="s">
        <v>440</v>
      </c>
      <c r="D35" s="350"/>
      <c r="E35" s="350"/>
      <c r="F35" s="350"/>
      <c r="G35" s="350"/>
      <c r="H35" s="350"/>
      <c r="I35" s="350"/>
      <c r="J35" s="350"/>
      <c r="K35" s="350"/>
      <c r="L35" s="350"/>
      <c r="M35" s="350"/>
      <c r="N35" s="350"/>
      <c r="O35" s="350"/>
      <c r="P35" s="350"/>
    </row>
    <row r="36" spans="3:16">
      <c r="C36" s="50" t="s">
        <v>15</v>
      </c>
      <c r="D36" s="50" t="s">
        <v>16</v>
      </c>
      <c r="E36" s="25" t="s">
        <v>20</v>
      </c>
      <c r="F36" s="25" t="s">
        <v>21</v>
      </c>
      <c r="G36" s="23" t="s">
        <v>17</v>
      </c>
      <c r="H36" s="23"/>
      <c r="I36" s="23"/>
      <c r="J36" s="23"/>
      <c r="K36" s="23"/>
      <c r="L36" s="23"/>
      <c r="M36" s="23"/>
      <c r="N36" s="23"/>
      <c r="O36" s="23"/>
      <c r="P36" s="23"/>
    </row>
    <row r="37" spans="3:16">
      <c r="C37" s="20" t="s">
        <v>216</v>
      </c>
      <c r="D37" s="20" t="s">
        <v>215</v>
      </c>
      <c r="E37" s="24" t="s">
        <v>69</v>
      </c>
      <c r="F37" s="24" t="s">
        <v>22</v>
      </c>
      <c r="G37" s="24" t="s">
        <v>192</v>
      </c>
      <c r="H37" s="24"/>
      <c r="I37" s="24"/>
      <c r="J37" s="24"/>
      <c r="K37" s="24"/>
      <c r="L37" s="24"/>
      <c r="M37" s="24"/>
      <c r="N37" s="24"/>
      <c r="O37" s="24"/>
      <c r="P37" s="24"/>
    </row>
    <row r="38" spans="3:16">
      <c r="C38" s="21" t="s">
        <v>28</v>
      </c>
      <c r="D38" s="20" t="s">
        <v>29</v>
      </c>
      <c r="E38" s="182" t="s">
        <v>70</v>
      </c>
      <c r="F38" s="182" t="s">
        <v>23</v>
      </c>
      <c r="G38" s="183" t="s">
        <v>31</v>
      </c>
      <c r="H38" s="183"/>
      <c r="I38" s="183"/>
      <c r="J38" s="183"/>
      <c r="K38" s="183"/>
      <c r="L38" s="183"/>
      <c r="M38" s="183"/>
      <c r="N38" s="183"/>
      <c r="O38" s="183"/>
      <c r="P38" s="183"/>
    </row>
    <row r="39" spans="3:16">
      <c r="C39" s="352" t="s">
        <v>18</v>
      </c>
      <c r="D39" s="354" t="s">
        <v>19</v>
      </c>
      <c r="E39" s="356" t="s">
        <v>3</v>
      </c>
      <c r="F39" s="356"/>
      <c r="G39" s="356"/>
      <c r="H39" s="356"/>
      <c r="I39" s="348" t="s">
        <v>2</v>
      </c>
      <c r="J39" s="349"/>
      <c r="K39" s="349"/>
      <c r="L39" s="349"/>
      <c r="M39" s="348" t="s">
        <v>14</v>
      </c>
      <c r="N39" s="349"/>
      <c r="O39" s="349"/>
      <c r="P39" s="349"/>
    </row>
    <row r="40" spans="3:16">
      <c r="C40" s="353"/>
      <c r="D40" s="355"/>
      <c r="E40" s="27" t="s">
        <v>543</v>
      </c>
      <c r="F40" s="27" t="s">
        <v>542</v>
      </c>
      <c r="G40" s="27" t="s">
        <v>541</v>
      </c>
      <c r="H40" s="98" t="s">
        <v>540</v>
      </c>
      <c r="I40" s="27" t="s">
        <v>543</v>
      </c>
      <c r="J40" s="27" t="s">
        <v>542</v>
      </c>
      <c r="K40" s="27" t="s">
        <v>541</v>
      </c>
      <c r="L40" s="230" t="s">
        <v>540</v>
      </c>
      <c r="M40" s="27" t="s">
        <v>543</v>
      </c>
      <c r="N40" s="27" t="s">
        <v>542</v>
      </c>
      <c r="O40" s="230" t="s">
        <v>541</v>
      </c>
      <c r="P40" s="98" t="s">
        <v>540</v>
      </c>
    </row>
    <row r="41" spans="3:16">
      <c r="C41" s="29">
        <v>15</v>
      </c>
      <c r="D41" s="32">
        <v>18</v>
      </c>
      <c r="E41" s="28">
        <v>1.19</v>
      </c>
      <c r="F41" s="28">
        <v>1.05</v>
      </c>
      <c r="G41" s="28">
        <f>MAX(E41,F41)</f>
        <v>1.19</v>
      </c>
      <c r="H41" s="31">
        <f>MAX(F41,G41)</f>
        <v>1.19</v>
      </c>
      <c r="I41" s="28">
        <v>1.7</v>
      </c>
      <c r="J41" s="28">
        <v>1.5</v>
      </c>
      <c r="K41" s="28">
        <f xml:space="preserve"> MAX(I41,J41)</f>
        <v>1.7</v>
      </c>
      <c r="L41" s="28">
        <f xml:space="preserve"> MAX(J41,K41)</f>
        <v>1.7</v>
      </c>
      <c r="M41" s="28">
        <v>1.7</v>
      </c>
      <c r="N41" s="28">
        <v>1.5</v>
      </c>
      <c r="O41" s="28">
        <f xml:space="preserve"> MAX(M41,N41)</f>
        <v>1.7</v>
      </c>
      <c r="P41" s="28">
        <f xml:space="preserve"> MAX(N41,O41)</f>
        <v>1.7</v>
      </c>
    </row>
    <row r="42" spans="3:16">
      <c r="C42" s="29">
        <v>18</v>
      </c>
      <c r="D42" s="32">
        <v>19</v>
      </c>
      <c r="E42" s="28">
        <v>1.19</v>
      </c>
      <c r="F42" s="28">
        <v>1.05</v>
      </c>
      <c r="G42" s="28">
        <f t="shared" ref="G42:H62" si="0">MAX(E42,F42)</f>
        <v>1.19</v>
      </c>
      <c r="H42" s="31">
        <f t="shared" si="0"/>
        <v>1.19</v>
      </c>
      <c r="I42" s="28">
        <v>1.7</v>
      </c>
      <c r="J42" s="28">
        <v>1.5</v>
      </c>
      <c r="K42" s="28">
        <f t="shared" ref="K42:L62" si="1" xml:space="preserve"> MAX(I42,J42)</f>
        <v>1.7</v>
      </c>
      <c r="L42" s="28">
        <f t="shared" si="1"/>
        <v>1.7</v>
      </c>
      <c r="M42" s="28">
        <v>1.7</v>
      </c>
      <c r="N42" s="28">
        <v>1.5</v>
      </c>
      <c r="O42" s="28">
        <f t="shared" ref="O42:O63" si="2" xml:space="preserve"> MAX(M42,N42)</f>
        <v>1.7</v>
      </c>
      <c r="P42" s="28">
        <f t="shared" ref="P42:P63" si="3" xml:space="preserve"> MAX(N42,O42)</f>
        <v>1.7</v>
      </c>
    </row>
    <row r="43" spans="3:16">
      <c r="C43" s="29">
        <v>19</v>
      </c>
      <c r="D43" s="32">
        <v>20</v>
      </c>
      <c r="E43" s="28">
        <v>0.98</v>
      </c>
      <c r="F43" s="28">
        <v>0.91</v>
      </c>
      <c r="G43" s="28">
        <f t="shared" si="0"/>
        <v>0.98</v>
      </c>
      <c r="H43" s="31">
        <f t="shared" si="0"/>
        <v>0.98</v>
      </c>
      <c r="I43" s="28">
        <v>1.4</v>
      </c>
      <c r="J43" s="28">
        <v>1.3</v>
      </c>
      <c r="K43" s="28">
        <f t="shared" si="1"/>
        <v>1.4</v>
      </c>
      <c r="L43" s="28">
        <f t="shared" si="1"/>
        <v>1.4</v>
      </c>
      <c r="M43" s="28">
        <v>1.4</v>
      </c>
      <c r="N43" s="28">
        <v>1.3</v>
      </c>
      <c r="O43" s="28">
        <f t="shared" si="2"/>
        <v>1.4</v>
      </c>
      <c r="P43" s="28">
        <f t="shared" si="3"/>
        <v>1.4</v>
      </c>
    </row>
    <row r="44" spans="3:16">
      <c r="C44" s="29">
        <v>20</v>
      </c>
      <c r="D44" s="32">
        <v>23</v>
      </c>
      <c r="E44" s="28">
        <v>0.94499999999999995</v>
      </c>
      <c r="F44" s="28">
        <v>0.88200000000000001</v>
      </c>
      <c r="G44" s="28">
        <f t="shared" si="0"/>
        <v>0.94499999999999995</v>
      </c>
      <c r="H44" s="31">
        <f t="shared" si="0"/>
        <v>0.94499999999999995</v>
      </c>
      <c r="I44" s="28">
        <v>1.3499999999999999</v>
      </c>
      <c r="J44" s="28">
        <v>1.26</v>
      </c>
      <c r="K44" s="28">
        <f t="shared" si="1"/>
        <v>1.3499999999999999</v>
      </c>
      <c r="L44" s="28">
        <f t="shared" si="1"/>
        <v>1.3499999999999999</v>
      </c>
      <c r="M44" s="28">
        <v>1.3499999999999999</v>
      </c>
      <c r="N44" s="28">
        <v>1.26</v>
      </c>
      <c r="O44" s="28">
        <f t="shared" si="2"/>
        <v>1.3499999999999999</v>
      </c>
      <c r="P44" s="28">
        <f t="shared" si="3"/>
        <v>1.3499999999999999</v>
      </c>
    </row>
    <row r="45" spans="3:16">
      <c r="C45" s="29">
        <v>23</v>
      </c>
      <c r="D45" s="32">
        <v>25</v>
      </c>
      <c r="E45" s="28">
        <v>0.91</v>
      </c>
      <c r="F45" s="28">
        <v>0.86099999999999999</v>
      </c>
      <c r="G45" s="28">
        <f t="shared" si="0"/>
        <v>0.91</v>
      </c>
      <c r="H45" s="31">
        <f t="shared" si="0"/>
        <v>0.91</v>
      </c>
      <c r="I45" s="28">
        <v>1.3</v>
      </c>
      <c r="J45" s="28">
        <v>1.23</v>
      </c>
      <c r="K45" s="28">
        <f t="shared" si="1"/>
        <v>1.3</v>
      </c>
      <c r="L45" s="28">
        <f t="shared" si="1"/>
        <v>1.3</v>
      </c>
      <c r="M45" s="28">
        <v>1.3</v>
      </c>
      <c r="N45" s="28">
        <v>1.23</v>
      </c>
      <c r="O45" s="28">
        <f t="shared" si="2"/>
        <v>1.3</v>
      </c>
      <c r="P45" s="28">
        <f t="shared" si="3"/>
        <v>1.3</v>
      </c>
    </row>
    <row r="46" spans="3:16">
      <c r="C46" s="29">
        <v>25</v>
      </c>
      <c r="D46" s="32">
        <v>28</v>
      </c>
      <c r="E46" s="28">
        <v>0.98</v>
      </c>
      <c r="F46" s="28">
        <v>0.95340000000000003</v>
      </c>
      <c r="G46" s="28">
        <f t="shared" si="0"/>
        <v>0.98</v>
      </c>
      <c r="H46" s="31">
        <f t="shared" si="0"/>
        <v>0.98</v>
      </c>
      <c r="I46" s="28">
        <v>1.4</v>
      </c>
      <c r="J46" s="28">
        <v>1.3620000000000001</v>
      </c>
      <c r="K46" s="28">
        <f t="shared" si="1"/>
        <v>1.4</v>
      </c>
      <c r="L46" s="28">
        <f t="shared" si="1"/>
        <v>1.4</v>
      </c>
      <c r="M46" s="28">
        <v>1.4</v>
      </c>
      <c r="N46" s="28">
        <v>1.3620000000000001</v>
      </c>
      <c r="O46" s="28">
        <f t="shared" si="2"/>
        <v>1.4</v>
      </c>
      <c r="P46" s="28">
        <f t="shared" si="3"/>
        <v>1.4</v>
      </c>
    </row>
    <row r="47" spans="3:16">
      <c r="C47" s="29">
        <v>28</v>
      </c>
      <c r="D47" s="32">
        <v>31</v>
      </c>
      <c r="E47" s="28">
        <v>0.94499999999999995</v>
      </c>
      <c r="F47" s="28">
        <v>0.91910000000000003</v>
      </c>
      <c r="G47" s="28">
        <f t="shared" si="0"/>
        <v>0.94499999999999995</v>
      </c>
      <c r="H47" s="31">
        <f t="shared" si="0"/>
        <v>0.94499999999999995</v>
      </c>
      <c r="I47" s="28">
        <v>1.3499999999999999</v>
      </c>
      <c r="J47" s="28">
        <v>1.3130000000000002</v>
      </c>
      <c r="K47" s="28">
        <f t="shared" si="1"/>
        <v>1.3499999999999999</v>
      </c>
      <c r="L47" s="28">
        <f t="shared" si="1"/>
        <v>1.3499999999999999</v>
      </c>
      <c r="M47" s="28">
        <v>1.3499999999999999</v>
      </c>
      <c r="N47" s="28">
        <v>1.3130000000000002</v>
      </c>
      <c r="O47" s="28">
        <f t="shared" si="2"/>
        <v>1.3499999999999999</v>
      </c>
      <c r="P47" s="28">
        <f t="shared" si="3"/>
        <v>1.3499999999999999</v>
      </c>
    </row>
    <row r="48" spans="3:16">
      <c r="C48" s="29">
        <v>31</v>
      </c>
      <c r="D48" s="32">
        <v>34</v>
      </c>
      <c r="E48" s="28">
        <v>0.87150000000000005</v>
      </c>
      <c r="F48" s="28">
        <v>0.87009999999999998</v>
      </c>
      <c r="G48" s="28">
        <f t="shared" si="0"/>
        <v>0.87150000000000005</v>
      </c>
      <c r="H48" s="31">
        <f t="shared" si="0"/>
        <v>0.87150000000000005</v>
      </c>
      <c r="I48" s="28">
        <v>1.2450000000000001</v>
      </c>
      <c r="J48" s="28">
        <v>1.2430000000000001</v>
      </c>
      <c r="K48" s="28">
        <f t="shared" si="1"/>
        <v>1.2450000000000001</v>
      </c>
      <c r="L48" s="28">
        <f t="shared" si="1"/>
        <v>1.2450000000000001</v>
      </c>
      <c r="M48" s="28">
        <v>1.2450000000000001</v>
      </c>
      <c r="N48" s="28">
        <v>1.2430000000000001</v>
      </c>
      <c r="O48" s="28">
        <f t="shared" si="2"/>
        <v>1.2450000000000001</v>
      </c>
      <c r="P48" s="28">
        <f t="shared" si="3"/>
        <v>1.2450000000000001</v>
      </c>
    </row>
    <row r="49" spans="1:16">
      <c r="C49" s="29">
        <v>34</v>
      </c>
      <c r="D49" s="32">
        <v>37</v>
      </c>
      <c r="E49" s="28">
        <v>0.83789999999999998</v>
      </c>
      <c r="F49" s="28">
        <v>0.84909999999999997</v>
      </c>
      <c r="G49" s="28">
        <f t="shared" si="0"/>
        <v>0.84909999999999997</v>
      </c>
      <c r="H49" s="31">
        <f t="shared" si="0"/>
        <v>0.84909999999999997</v>
      </c>
      <c r="I49" s="28">
        <v>1.1970000000000001</v>
      </c>
      <c r="J49" s="28">
        <v>1.2130000000000001</v>
      </c>
      <c r="K49" s="28">
        <f t="shared" si="1"/>
        <v>1.2130000000000001</v>
      </c>
      <c r="L49" s="28">
        <f t="shared" si="1"/>
        <v>1.2130000000000001</v>
      </c>
      <c r="M49" s="28">
        <v>1.1970000000000001</v>
      </c>
      <c r="N49" s="28">
        <v>1.2130000000000001</v>
      </c>
      <c r="O49" s="28">
        <f t="shared" si="2"/>
        <v>1.2130000000000001</v>
      </c>
      <c r="P49" s="28">
        <f t="shared" si="3"/>
        <v>1.2130000000000001</v>
      </c>
    </row>
    <row r="50" spans="1:16">
      <c r="C50" s="29">
        <v>37</v>
      </c>
      <c r="D50" s="32">
        <v>43</v>
      </c>
      <c r="E50" s="28">
        <v>0.80500000000000005</v>
      </c>
      <c r="F50" s="28">
        <v>0.82809999999999995</v>
      </c>
      <c r="G50" s="28">
        <f t="shared" si="0"/>
        <v>0.82809999999999995</v>
      </c>
      <c r="H50" s="31">
        <f t="shared" si="0"/>
        <v>0.82809999999999995</v>
      </c>
      <c r="I50" s="28">
        <v>1.1500000000000001</v>
      </c>
      <c r="J50" s="28">
        <v>1.1830000000000001</v>
      </c>
      <c r="K50" s="28">
        <f t="shared" si="1"/>
        <v>1.1830000000000001</v>
      </c>
      <c r="L50" s="28">
        <f t="shared" si="1"/>
        <v>1.1830000000000001</v>
      </c>
      <c r="M50" s="28">
        <v>1.1500000000000001</v>
      </c>
      <c r="N50" s="28">
        <v>1.1830000000000001</v>
      </c>
      <c r="O50" s="28">
        <f t="shared" si="2"/>
        <v>1.1830000000000001</v>
      </c>
      <c r="P50" s="28">
        <f t="shared" si="3"/>
        <v>1.1830000000000001</v>
      </c>
    </row>
    <row r="51" spans="1:16">
      <c r="C51" s="29">
        <v>43</v>
      </c>
      <c r="D51" s="32">
        <v>47</v>
      </c>
      <c r="E51" s="28">
        <v>0.76929999999999998</v>
      </c>
      <c r="F51" s="28">
        <v>0.79169999999999996</v>
      </c>
      <c r="G51" s="28">
        <f t="shared" si="0"/>
        <v>0.79169999999999996</v>
      </c>
      <c r="H51" s="31">
        <f t="shared" si="0"/>
        <v>0.79169999999999996</v>
      </c>
      <c r="I51" s="28">
        <v>1.099</v>
      </c>
      <c r="J51" s="28">
        <v>1.131</v>
      </c>
      <c r="K51" s="28">
        <f t="shared" si="1"/>
        <v>1.131</v>
      </c>
      <c r="L51" s="28">
        <f t="shared" si="1"/>
        <v>1.131</v>
      </c>
      <c r="M51" s="28">
        <v>1.099</v>
      </c>
      <c r="N51" s="28">
        <v>1.131</v>
      </c>
      <c r="O51" s="28">
        <f t="shared" si="2"/>
        <v>1.131</v>
      </c>
      <c r="P51" s="28">
        <f t="shared" si="3"/>
        <v>1.131</v>
      </c>
    </row>
    <row r="52" spans="1:16">
      <c r="C52" s="29">
        <v>47</v>
      </c>
      <c r="D52" s="32">
        <v>51</v>
      </c>
      <c r="E52" s="28">
        <v>0.73429999999999995</v>
      </c>
      <c r="F52" s="28">
        <v>0.76019999999999999</v>
      </c>
      <c r="G52" s="28">
        <f t="shared" si="0"/>
        <v>0.76019999999999999</v>
      </c>
      <c r="H52" s="31">
        <f t="shared" si="0"/>
        <v>0.76019999999999999</v>
      </c>
      <c r="I52" s="28">
        <v>1.0489999999999999</v>
      </c>
      <c r="J52" s="28">
        <v>1.0860000000000001</v>
      </c>
      <c r="K52" s="28">
        <f t="shared" si="1"/>
        <v>1.0860000000000001</v>
      </c>
      <c r="L52" s="28">
        <f t="shared" si="1"/>
        <v>1.0860000000000001</v>
      </c>
      <c r="M52" s="28">
        <v>1.0489999999999999</v>
      </c>
      <c r="N52" s="28">
        <v>1.0860000000000001</v>
      </c>
      <c r="O52" s="28">
        <f t="shared" si="2"/>
        <v>1.0860000000000001</v>
      </c>
      <c r="P52" s="28">
        <f t="shared" si="3"/>
        <v>1.0860000000000001</v>
      </c>
    </row>
    <row r="53" spans="1:16">
      <c r="C53" s="29">
        <v>51</v>
      </c>
      <c r="D53" s="32">
        <v>61</v>
      </c>
      <c r="E53" s="28">
        <v>0.70630000000000004</v>
      </c>
      <c r="F53" s="28">
        <v>0.72799999999999998</v>
      </c>
      <c r="G53" s="28">
        <f t="shared" si="0"/>
        <v>0.72799999999999998</v>
      </c>
      <c r="H53" s="31">
        <f t="shared" si="0"/>
        <v>0.72799999999999998</v>
      </c>
      <c r="I53" s="28">
        <v>1.0090000000000001</v>
      </c>
      <c r="J53" s="28">
        <v>1.04</v>
      </c>
      <c r="K53" s="28">
        <f t="shared" si="1"/>
        <v>1.04</v>
      </c>
      <c r="L53" s="28">
        <f t="shared" si="1"/>
        <v>1.04</v>
      </c>
      <c r="M53" s="28">
        <v>1.0090000000000001</v>
      </c>
      <c r="N53" s="28">
        <v>1.04</v>
      </c>
      <c r="O53" s="28">
        <f t="shared" si="2"/>
        <v>1.04</v>
      </c>
      <c r="P53" s="28">
        <f t="shared" si="3"/>
        <v>1.04</v>
      </c>
    </row>
    <row r="54" spans="1:16">
      <c r="C54" s="29">
        <v>61</v>
      </c>
      <c r="D54" s="32">
        <v>68</v>
      </c>
      <c r="E54" s="28">
        <v>0.7</v>
      </c>
      <c r="F54" s="28">
        <v>0.71399999999999997</v>
      </c>
      <c r="G54" s="28">
        <f t="shared" si="0"/>
        <v>0.71399999999999997</v>
      </c>
      <c r="H54" s="31">
        <f t="shared" si="0"/>
        <v>0.71399999999999997</v>
      </c>
      <c r="I54" s="28">
        <v>1</v>
      </c>
      <c r="J54" s="28">
        <v>1.02</v>
      </c>
      <c r="K54" s="28">
        <f t="shared" si="1"/>
        <v>1.02</v>
      </c>
      <c r="L54" s="28">
        <f t="shared" si="1"/>
        <v>1.02</v>
      </c>
      <c r="M54" s="28">
        <v>1</v>
      </c>
      <c r="N54" s="28">
        <v>1.02</v>
      </c>
      <c r="O54" s="28">
        <f t="shared" si="2"/>
        <v>1.02</v>
      </c>
      <c r="P54" s="28">
        <f t="shared" si="3"/>
        <v>1.02</v>
      </c>
    </row>
    <row r="55" spans="1:16">
      <c r="C55" s="29">
        <v>68</v>
      </c>
      <c r="D55" s="32">
        <v>71</v>
      </c>
      <c r="E55" s="28">
        <v>0.70630000000000004</v>
      </c>
      <c r="F55" s="28">
        <v>0.74129999999999996</v>
      </c>
      <c r="G55" s="28">
        <f t="shared" si="0"/>
        <v>0.74129999999999996</v>
      </c>
      <c r="H55" s="31">
        <f t="shared" si="0"/>
        <v>0.74129999999999996</v>
      </c>
      <c r="I55" s="28">
        <v>1.0090000000000001</v>
      </c>
      <c r="J55" s="28">
        <v>1.0589999999999999</v>
      </c>
      <c r="K55" s="28">
        <f t="shared" si="1"/>
        <v>1.0589999999999999</v>
      </c>
      <c r="L55" s="28">
        <f t="shared" si="1"/>
        <v>1.0589999999999999</v>
      </c>
      <c r="M55" s="28">
        <v>1.0090000000000001</v>
      </c>
      <c r="N55" s="28">
        <v>1.0589999999999999</v>
      </c>
      <c r="O55" s="28">
        <f t="shared" si="2"/>
        <v>1.0589999999999999</v>
      </c>
      <c r="P55" s="28">
        <f t="shared" si="3"/>
        <v>1.0589999999999999</v>
      </c>
    </row>
    <row r="56" spans="1:16">
      <c r="C56" s="29">
        <v>71</v>
      </c>
      <c r="D56" s="32">
        <v>75</v>
      </c>
      <c r="E56" s="28">
        <v>0.72660000000000002</v>
      </c>
      <c r="F56" s="28">
        <v>0.7833</v>
      </c>
      <c r="G56" s="28">
        <f t="shared" si="0"/>
        <v>0.7833</v>
      </c>
      <c r="H56" s="31">
        <f t="shared" si="0"/>
        <v>0.7833</v>
      </c>
      <c r="I56" s="28">
        <v>1.038</v>
      </c>
      <c r="J56" s="28">
        <v>1.119</v>
      </c>
      <c r="K56" s="28">
        <f t="shared" si="1"/>
        <v>1.119</v>
      </c>
      <c r="L56" s="28">
        <f t="shared" si="1"/>
        <v>1.119</v>
      </c>
      <c r="M56" s="28">
        <v>1.038</v>
      </c>
      <c r="N56" s="28">
        <v>1.119</v>
      </c>
      <c r="O56" s="28">
        <f t="shared" si="2"/>
        <v>1.119</v>
      </c>
      <c r="P56" s="28">
        <f t="shared" si="3"/>
        <v>1.119</v>
      </c>
    </row>
    <row r="57" spans="1:16">
      <c r="C57" s="29">
        <v>75</v>
      </c>
      <c r="D57" s="32">
        <v>78</v>
      </c>
      <c r="E57" s="28">
        <v>0.77700000000000002</v>
      </c>
      <c r="F57" s="28">
        <v>0.80500000000000005</v>
      </c>
      <c r="G57" s="28">
        <f t="shared" si="0"/>
        <v>0.80500000000000005</v>
      </c>
      <c r="H57" s="31">
        <f t="shared" si="0"/>
        <v>0.80500000000000005</v>
      </c>
      <c r="I57" s="28">
        <v>1.1100000000000001</v>
      </c>
      <c r="J57" s="28">
        <v>1.1500000000000001</v>
      </c>
      <c r="K57" s="28">
        <f t="shared" si="1"/>
        <v>1.1500000000000001</v>
      </c>
      <c r="L57" s="28">
        <f t="shared" si="1"/>
        <v>1.1500000000000001</v>
      </c>
      <c r="M57" s="28">
        <v>1.1100000000000001</v>
      </c>
      <c r="N57" s="28">
        <v>1.1500000000000001</v>
      </c>
      <c r="O57" s="28">
        <f t="shared" si="2"/>
        <v>1.1500000000000001</v>
      </c>
      <c r="P57" s="28">
        <f t="shared" si="3"/>
        <v>1.1500000000000001</v>
      </c>
    </row>
    <row r="58" spans="1:16">
      <c r="C58" s="29">
        <v>78</v>
      </c>
      <c r="D58" s="32">
        <v>82</v>
      </c>
      <c r="E58" s="28">
        <v>0.91210000000000002</v>
      </c>
      <c r="F58" s="28">
        <v>0.98209999999999997</v>
      </c>
      <c r="G58" s="28">
        <f t="shared" si="0"/>
        <v>0.98209999999999997</v>
      </c>
      <c r="H58" s="31">
        <f t="shared" si="0"/>
        <v>0.98209999999999997</v>
      </c>
      <c r="I58" s="28">
        <v>1.3030000000000002</v>
      </c>
      <c r="J58" s="28">
        <v>1.403</v>
      </c>
      <c r="K58" s="28">
        <f t="shared" si="1"/>
        <v>1.403</v>
      </c>
      <c r="L58" s="28">
        <f t="shared" si="1"/>
        <v>1.403</v>
      </c>
      <c r="M58" s="28">
        <v>1.3030000000000002</v>
      </c>
      <c r="N58" s="28">
        <v>1.403</v>
      </c>
      <c r="O58" s="28">
        <f t="shared" si="2"/>
        <v>1.403</v>
      </c>
      <c r="P58" s="28">
        <f t="shared" si="3"/>
        <v>1.403</v>
      </c>
    </row>
    <row r="59" spans="1:16">
      <c r="C59" s="29">
        <v>82</v>
      </c>
      <c r="D59" s="32">
        <v>87</v>
      </c>
      <c r="E59" s="28">
        <v>0.98</v>
      </c>
      <c r="F59" s="28">
        <v>1.0521</v>
      </c>
      <c r="G59" s="28">
        <f t="shared" si="0"/>
        <v>1.0521</v>
      </c>
      <c r="H59" s="31">
        <f t="shared" si="0"/>
        <v>1.0521</v>
      </c>
      <c r="I59" s="28">
        <v>1.4</v>
      </c>
      <c r="J59" s="28">
        <v>1.5030000000000001</v>
      </c>
      <c r="K59" s="28">
        <f t="shared" si="1"/>
        <v>1.5030000000000001</v>
      </c>
      <c r="L59" s="28">
        <f t="shared" si="1"/>
        <v>1.5030000000000001</v>
      </c>
      <c r="M59" s="28">
        <v>1.4</v>
      </c>
      <c r="N59" s="28">
        <v>1.5030000000000001</v>
      </c>
      <c r="O59" s="28">
        <f t="shared" si="2"/>
        <v>1.5030000000000001</v>
      </c>
      <c r="P59" s="28">
        <f t="shared" si="3"/>
        <v>1.5030000000000001</v>
      </c>
    </row>
    <row r="60" spans="1:16">
      <c r="C60" s="29">
        <v>87</v>
      </c>
      <c r="D60" s="32">
        <v>120</v>
      </c>
      <c r="E60" s="28">
        <v>1.036</v>
      </c>
      <c r="F60" s="28">
        <v>1.1017999999999999</v>
      </c>
      <c r="G60" s="28">
        <f t="shared" si="0"/>
        <v>1.1017999999999999</v>
      </c>
      <c r="H60" s="31">
        <f t="shared" si="0"/>
        <v>1.1017999999999999</v>
      </c>
      <c r="I60" s="28">
        <v>1.48</v>
      </c>
      <c r="J60" s="28">
        <v>1.5739999999999998</v>
      </c>
      <c r="K60" s="28">
        <f t="shared" si="1"/>
        <v>1.5739999999999998</v>
      </c>
      <c r="L60" s="28">
        <f t="shared" si="1"/>
        <v>1.5739999999999998</v>
      </c>
      <c r="M60" s="28">
        <v>1.48</v>
      </c>
      <c r="N60" s="28">
        <v>1.5739999999999998</v>
      </c>
      <c r="O60" s="28">
        <f t="shared" si="2"/>
        <v>1.5739999999999998</v>
      </c>
      <c r="P60" s="28">
        <f t="shared" si="3"/>
        <v>1.5739999999999998</v>
      </c>
    </row>
    <row r="61" spans="1:16">
      <c r="C61" s="29">
        <v>120</v>
      </c>
      <c r="D61" s="32">
        <v>999</v>
      </c>
      <c r="E61" s="28">
        <v>1.085</v>
      </c>
      <c r="F61" s="28">
        <v>1.1515</v>
      </c>
      <c r="G61" s="28">
        <f t="shared" si="0"/>
        <v>1.1515</v>
      </c>
      <c r="H61" s="31">
        <f t="shared" si="0"/>
        <v>1.1515</v>
      </c>
      <c r="I61" s="28">
        <v>1.55</v>
      </c>
      <c r="J61" s="28">
        <v>1.645</v>
      </c>
      <c r="K61" s="28">
        <f t="shared" si="1"/>
        <v>1.645</v>
      </c>
      <c r="L61" s="28">
        <f t="shared" si="1"/>
        <v>1.645</v>
      </c>
      <c r="M61" s="28">
        <v>1.55</v>
      </c>
      <c r="N61" s="28">
        <v>1.645</v>
      </c>
      <c r="O61" s="28">
        <f t="shared" si="2"/>
        <v>1.645</v>
      </c>
      <c r="P61" s="28">
        <f t="shared" si="3"/>
        <v>1.645</v>
      </c>
    </row>
    <row r="62" spans="1:16">
      <c r="C62" s="184">
        <v>999</v>
      </c>
      <c r="D62" s="185"/>
      <c r="E62" s="191">
        <v>1.085</v>
      </c>
      <c r="F62" s="191">
        <v>1.1515</v>
      </c>
      <c r="G62" s="191">
        <f t="shared" si="0"/>
        <v>1.1515</v>
      </c>
      <c r="H62" s="192">
        <f t="shared" si="0"/>
        <v>1.1515</v>
      </c>
      <c r="I62" s="191">
        <v>1.55</v>
      </c>
      <c r="J62" s="191">
        <v>1.645</v>
      </c>
      <c r="K62" s="191">
        <f t="shared" si="1"/>
        <v>1.645</v>
      </c>
      <c r="L62" s="191">
        <f t="shared" si="1"/>
        <v>1.645</v>
      </c>
      <c r="M62" s="191">
        <v>1.55</v>
      </c>
      <c r="N62" s="191">
        <v>1.645</v>
      </c>
      <c r="O62" s="191">
        <f t="shared" si="2"/>
        <v>1.645</v>
      </c>
      <c r="P62" s="191">
        <f t="shared" si="3"/>
        <v>1.645</v>
      </c>
    </row>
    <row r="63" spans="1:16" ht="45">
      <c r="A63" s="291" t="s">
        <v>544</v>
      </c>
      <c r="B63" s="168"/>
      <c r="C63" s="286"/>
      <c r="D63" s="287"/>
      <c r="E63" s="288">
        <v>0.98</v>
      </c>
      <c r="F63" s="288">
        <v>1.0521</v>
      </c>
      <c r="G63" s="288">
        <f t="shared" ref="G63:H63" si="4">MAX(E63,F63)</f>
        <v>1.0521</v>
      </c>
      <c r="H63" s="289">
        <f t="shared" si="4"/>
        <v>1.0521</v>
      </c>
      <c r="I63" s="290">
        <v>1.4</v>
      </c>
      <c r="J63" s="290">
        <v>1.5030000000000001</v>
      </c>
      <c r="K63" s="290">
        <f t="shared" ref="K63:L63" si="5" xml:space="preserve"> MAX(I63,J63)</f>
        <v>1.5030000000000001</v>
      </c>
      <c r="L63" s="290">
        <f t="shared" si="5"/>
        <v>1.5030000000000001</v>
      </c>
      <c r="M63" s="290">
        <v>1.4</v>
      </c>
      <c r="N63" s="290">
        <v>1.5030000000000001</v>
      </c>
      <c r="O63" s="290">
        <f t="shared" si="2"/>
        <v>1.5030000000000001</v>
      </c>
      <c r="P63" s="290">
        <f t="shared" si="3"/>
        <v>1.5030000000000001</v>
      </c>
    </row>
    <row r="64" spans="1:16" s="168" customFormat="1"/>
    <row r="65" spans="3:5" s="168" customFormat="1"/>
    <row r="67" spans="3:5" ht="15.75">
      <c r="C67" s="351" t="s">
        <v>291</v>
      </c>
      <c r="D67" s="351"/>
    </row>
    <row r="68" spans="3:5">
      <c r="C68" s="63" t="s">
        <v>12</v>
      </c>
      <c r="D68" s="134" t="s">
        <v>35</v>
      </c>
    </row>
    <row r="69" spans="3:5">
      <c r="C69" s="135" t="s">
        <v>3</v>
      </c>
      <c r="D69" s="58">
        <v>0.95</v>
      </c>
    </row>
    <row r="70" spans="3:5">
      <c r="C70" s="135" t="s">
        <v>2</v>
      </c>
      <c r="D70" s="58">
        <f xml:space="preserve"> 0.95/0.7</f>
        <v>1.3571428571428572</v>
      </c>
    </row>
    <row r="71" spans="3:5">
      <c r="C71" s="133" t="s">
        <v>14</v>
      </c>
      <c r="D71" s="119">
        <v>1.1535714285714285</v>
      </c>
    </row>
    <row r="75" spans="3:5">
      <c r="C75" s="344" t="s">
        <v>767</v>
      </c>
      <c r="D75" s="344"/>
      <c r="E75" s="344"/>
    </row>
    <row r="76" spans="3:5">
      <c r="C76" s="264" t="s">
        <v>52</v>
      </c>
      <c r="D76" s="264" t="s">
        <v>12</v>
      </c>
      <c r="E76" s="265" t="s">
        <v>35</v>
      </c>
    </row>
    <row r="77" spans="3:5">
      <c r="C77" s="328" t="s">
        <v>768</v>
      </c>
      <c r="D77" s="345" t="s">
        <v>769</v>
      </c>
      <c r="E77" s="37">
        <v>1.2</v>
      </c>
    </row>
    <row r="78" spans="3:5">
      <c r="C78" s="328" t="s">
        <v>770</v>
      </c>
      <c r="D78" s="345"/>
      <c r="E78" s="37">
        <v>1.1499999999999999</v>
      </c>
    </row>
    <row r="79" spans="3:5">
      <c r="C79" s="328" t="s">
        <v>771</v>
      </c>
      <c r="D79" s="345"/>
      <c r="E79" s="37">
        <v>1.1000000000000001</v>
      </c>
    </row>
    <row r="80" spans="3:5">
      <c r="C80" s="328" t="s">
        <v>772</v>
      </c>
      <c r="D80" s="345"/>
      <c r="E80" s="37">
        <v>1.05</v>
      </c>
    </row>
    <row r="81" spans="3:5">
      <c r="C81" s="329" t="s">
        <v>773</v>
      </c>
      <c r="D81" s="346"/>
      <c r="E81" s="266">
        <v>1</v>
      </c>
    </row>
    <row r="82" spans="3:5" ht="15">
      <c r="C82" s="330"/>
      <c r="D82" s="330"/>
      <c r="E82" s="331">
        <v>1</v>
      </c>
    </row>
  </sheetData>
  <mergeCells count="12">
    <mergeCell ref="C75:E75"/>
    <mergeCell ref="D77:D81"/>
    <mergeCell ref="C3:D3"/>
    <mergeCell ref="C13:D13"/>
    <mergeCell ref="M39:P39"/>
    <mergeCell ref="C35:P35"/>
    <mergeCell ref="I39:L39"/>
    <mergeCell ref="C67:D67"/>
    <mergeCell ref="C21:D21"/>
    <mergeCell ref="C39:C40"/>
    <mergeCell ref="D39:D40"/>
    <mergeCell ref="E39:H3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0"/>
  <sheetViews>
    <sheetView zoomScaleNormal="100" workbookViewId="0">
      <selection activeCell="B3" sqref="B3:E3"/>
    </sheetView>
  </sheetViews>
  <sheetFormatPr defaultColWidth="53.5703125" defaultRowHeight="15"/>
  <cols>
    <col min="1" max="1" width="15.28515625" customWidth="1"/>
    <col min="2" max="5" width="35.28515625" customWidth="1"/>
  </cols>
  <sheetData>
    <row r="1" spans="2:6" s="101" customFormat="1"/>
    <row r="2" spans="2:6" s="101" customFormat="1"/>
    <row r="3" spans="2:6" ht="15.75">
      <c r="B3" s="337" t="s">
        <v>441</v>
      </c>
      <c r="C3" s="337"/>
      <c r="D3" s="337"/>
      <c r="E3" s="337"/>
      <c r="F3" s="167"/>
    </row>
    <row r="4" spans="2:6">
      <c r="B4" s="50" t="s">
        <v>15</v>
      </c>
      <c r="C4" s="50" t="s">
        <v>16</v>
      </c>
      <c r="D4" s="25" t="s">
        <v>20</v>
      </c>
      <c r="E4" s="23" t="s">
        <v>17</v>
      </c>
      <c r="F4" s="167"/>
    </row>
    <row r="5" spans="2:6">
      <c r="B5" s="21" t="s">
        <v>190</v>
      </c>
      <c r="C5" s="20" t="s">
        <v>191</v>
      </c>
      <c r="D5" s="24" t="s">
        <v>69</v>
      </c>
      <c r="E5" s="25" t="s">
        <v>193</v>
      </c>
      <c r="F5" s="167"/>
    </row>
    <row r="6" spans="2:6">
      <c r="B6" s="21" t="s">
        <v>162</v>
      </c>
      <c r="C6" s="20" t="s">
        <v>163</v>
      </c>
      <c r="D6" s="182" t="s">
        <v>70</v>
      </c>
      <c r="E6" s="183" t="s">
        <v>31</v>
      </c>
      <c r="F6" s="167"/>
    </row>
    <row r="7" spans="2:6">
      <c r="B7" s="179" t="s">
        <v>67</v>
      </c>
      <c r="C7" s="56" t="s">
        <v>68</v>
      </c>
      <c r="D7" s="54" t="s">
        <v>3</v>
      </c>
      <c r="E7" s="54" t="s">
        <v>14</v>
      </c>
      <c r="F7" s="167"/>
    </row>
    <row r="8" spans="2:6" ht="15.75" customHeight="1">
      <c r="B8" s="29">
        <v>0</v>
      </c>
      <c r="C8" s="55">
        <v>5000</v>
      </c>
      <c r="D8" s="52">
        <v>1</v>
      </c>
      <c r="E8" s="52">
        <v>1</v>
      </c>
      <c r="F8" s="167"/>
    </row>
    <row r="9" spans="2:6" ht="15.75" customHeight="1">
      <c r="B9" s="29">
        <v>5000</v>
      </c>
      <c r="C9" s="55">
        <v>10000</v>
      </c>
      <c r="D9" s="52">
        <v>2</v>
      </c>
      <c r="E9" s="52">
        <v>2</v>
      </c>
      <c r="F9" s="167"/>
    </row>
    <row r="10" spans="2:6" ht="15.75" customHeight="1">
      <c r="B10" s="29">
        <v>10000</v>
      </c>
      <c r="C10" s="55">
        <v>20000</v>
      </c>
      <c r="D10" s="52">
        <v>2.52</v>
      </c>
      <c r="E10" s="52">
        <v>2.52</v>
      </c>
      <c r="F10" s="167"/>
    </row>
    <row r="11" spans="2:6" ht="15.75" customHeight="1">
      <c r="B11" s="29">
        <v>20000</v>
      </c>
      <c r="C11" s="55">
        <v>40000</v>
      </c>
      <c r="D11" s="52">
        <v>3.3264</v>
      </c>
      <c r="E11" s="52">
        <v>3.3264</v>
      </c>
      <c r="F11" s="167"/>
    </row>
    <row r="12" spans="2:6" ht="15.75" customHeight="1">
      <c r="B12" s="29">
        <v>40000</v>
      </c>
      <c r="C12" s="55">
        <v>80000</v>
      </c>
      <c r="D12" s="52">
        <v>4.2577920000000002</v>
      </c>
      <c r="E12" s="52">
        <v>4.2577920000000002</v>
      </c>
      <c r="F12" s="167"/>
    </row>
    <row r="13" spans="2:6" ht="15.75" customHeight="1">
      <c r="B13" s="29">
        <v>80000</v>
      </c>
      <c r="C13" s="55">
        <v>100000</v>
      </c>
      <c r="D13" s="52">
        <v>5.49255168</v>
      </c>
      <c r="E13" s="52">
        <v>5.49255168</v>
      </c>
      <c r="F13" s="167"/>
    </row>
    <row r="14" spans="2:6" ht="15.75" customHeight="1">
      <c r="B14" s="29">
        <v>100000</v>
      </c>
      <c r="C14" s="55">
        <v>120000</v>
      </c>
      <c r="D14" s="52">
        <v>6.3164344319999994</v>
      </c>
      <c r="E14" s="52">
        <v>6.3164344319999994</v>
      </c>
      <c r="F14" s="167"/>
    </row>
    <row r="15" spans="2:6" ht="15.75" customHeight="1">
      <c r="B15" s="29">
        <v>120000</v>
      </c>
      <c r="C15" s="55">
        <v>300000</v>
      </c>
      <c r="D15" s="52">
        <v>7.1059887359999996</v>
      </c>
      <c r="E15" s="52">
        <v>7.1059887359999996</v>
      </c>
      <c r="F15" s="167"/>
    </row>
    <row r="16" spans="2:6" ht="15.75" customHeight="1">
      <c r="B16" s="29">
        <v>300000</v>
      </c>
      <c r="C16" s="55">
        <v>600000</v>
      </c>
      <c r="D16" s="52">
        <v>12.0801808512</v>
      </c>
      <c r="E16" s="52">
        <v>12.0801808512</v>
      </c>
      <c r="F16" s="167"/>
    </row>
    <row r="17" spans="2:13" ht="15.75" customHeight="1">
      <c r="B17" s="29">
        <v>600000</v>
      </c>
      <c r="C17" s="55">
        <v>1000000</v>
      </c>
      <c r="D17" s="52">
        <v>24.160361702399999</v>
      </c>
      <c r="E17" s="52">
        <v>24.160361702399999</v>
      </c>
      <c r="F17" s="167"/>
    </row>
    <row r="18" spans="2:13" ht="15.75" customHeight="1">
      <c r="B18" s="100">
        <v>1000000</v>
      </c>
      <c r="C18" s="57"/>
      <c r="D18" s="53">
        <v>50.736759575040004</v>
      </c>
      <c r="E18" s="53">
        <v>50.736759575040004</v>
      </c>
      <c r="F18" s="167"/>
    </row>
    <row r="19" spans="2:13"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</row>
    <row r="20" spans="2:13">
      <c r="F20" s="167"/>
    </row>
    <row r="22" spans="2:13" ht="15" customHeight="1">
      <c r="B22" s="357" t="s">
        <v>451</v>
      </c>
      <c r="C22" s="357"/>
    </row>
    <row r="23" spans="2:13">
      <c r="B23" s="33" t="s">
        <v>4</v>
      </c>
      <c r="C23" s="19" t="s">
        <v>5</v>
      </c>
    </row>
    <row r="24" spans="2:13" ht="27">
      <c r="B24" s="11" t="s">
        <v>25</v>
      </c>
      <c r="C24" s="46" t="s">
        <v>452</v>
      </c>
    </row>
    <row r="25" spans="2:13">
      <c r="B25" s="11" t="s">
        <v>30</v>
      </c>
      <c r="C25" s="17" t="s">
        <v>166</v>
      </c>
    </row>
    <row r="26" spans="2:13">
      <c r="B26" s="11" t="s">
        <v>111</v>
      </c>
      <c r="C26" s="17" t="s">
        <v>167</v>
      </c>
    </row>
    <row r="27" spans="2:13">
      <c r="B27" s="11" t="s">
        <v>32</v>
      </c>
      <c r="C27" s="17" t="s">
        <v>26</v>
      </c>
    </row>
    <row r="28" spans="2:13" ht="27">
      <c r="B28" s="11" t="s">
        <v>109</v>
      </c>
      <c r="C28" s="17" t="s">
        <v>438</v>
      </c>
    </row>
    <row r="29" spans="2:13" ht="27">
      <c r="B29" s="11" t="s">
        <v>27</v>
      </c>
      <c r="C29" s="17" t="s">
        <v>456</v>
      </c>
    </row>
    <row r="30" spans="2:13" ht="40.5">
      <c r="B30" s="181" t="s">
        <v>24</v>
      </c>
      <c r="C30" s="115" t="s">
        <v>110</v>
      </c>
    </row>
  </sheetData>
  <mergeCells count="2">
    <mergeCell ref="B22:C22"/>
    <mergeCell ref="B3:E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opLeftCell="B37" zoomScaleNormal="100" workbookViewId="0">
      <selection activeCell="D14" sqref="D14"/>
    </sheetView>
  </sheetViews>
  <sheetFormatPr defaultColWidth="36.85546875" defaultRowHeight="15"/>
  <cols>
    <col min="1" max="1" width="36.85546875" style="101"/>
    <col min="4" max="4" width="91.140625" customWidth="1"/>
  </cols>
  <sheetData>
    <row r="1" spans="3:7" s="101" customFormat="1"/>
    <row r="2" spans="3:7" s="101" customFormat="1"/>
    <row r="3" spans="3:7" s="101" customFormat="1"/>
    <row r="4" spans="3:7" s="101" customFormat="1">
      <c r="C4" s="360" t="s">
        <v>501</v>
      </c>
      <c r="D4" s="360"/>
      <c r="F4" s="168"/>
    </row>
    <row r="5" spans="3:7" s="101" customFormat="1">
      <c r="C5" s="18" t="s">
        <v>4</v>
      </c>
      <c r="D5" s="19" t="s">
        <v>5</v>
      </c>
      <c r="F5" s="168"/>
    </row>
    <row r="6" spans="3:7" s="167" customFormat="1">
      <c r="C6" s="7" t="s">
        <v>493</v>
      </c>
      <c r="D6" s="17" t="s">
        <v>494</v>
      </c>
      <c r="F6" s="168"/>
    </row>
    <row r="7" spans="3:7" s="101" customFormat="1">
      <c r="C7" s="7" t="s">
        <v>325</v>
      </c>
      <c r="D7" s="17" t="s">
        <v>495</v>
      </c>
      <c r="F7" s="168"/>
    </row>
    <row r="8" spans="3:7" s="101" customFormat="1">
      <c r="C8" s="7" t="s">
        <v>326</v>
      </c>
      <c r="D8" s="17" t="s">
        <v>496</v>
      </c>
      <c r="F8" s="168"/>
    </row>
    <row r="9" spans="3:7" s="101" customFormat="1">
      <c r="C9" s="7" t="s">
        <v>327</v>
      </c>
      <c r="D9" s="17" t="s">
        <v>497</v>
      </c>
      <c r="F9" s="168"/>
    </row>
    <row r="10" spans="3:7" s="101" customFormat="1">
      <c r="C10" s="7" t="s">
        <v>316</v>
      </c>
      <c r="D10" s="273" t="s">
        <v>671</v>
      </c>
      <c r="F10" s="168"/>
    </row>
    <row r="11" spans="3:7" s="101" customFormat="1">
      <c r="C11" s="7" t="s">
        <v>317</v>
      </c>
      <c r="D11" s="274" t="s">
        <v>672</v>
      </c>
    </row>
    <row r="12" spans="3:7" s="101" customFormat="1">
      <c r="C12" s="116" t="s">
        <v>24</v>
      </c>
      <c r="D12" s="115" t="s">
        <v>318</v>
      </c>
    </row>
    <row r="13" spans="3:7" s="101" customFormat="1"/>
    <row r="14" spans="3:7" s="101" customFormat="1"/>
    <row r="15" spans="3:7">
      <c r="C15" s="358" t="s">
        <v>329</v>
      </c>
      <c r="D15" s="358"/>
      <c r="E15" s="10"/>
      <c r="F15" s="10"/>
      <c r="G15" s="10"/>
    </row>
    <row r="16" spans="3:7">
      <c r="C16" s="33" t="s">
        <v>4</v>
      </c>
      <c r="D16" s="19" t="s">
        <v>5</v>
      </c>
      <c r="E16" s="10"/>
      <c r="F16" s="10"/>
      <c r="G16" s="10"/>
    </row>
    <row r="17" spans="3:7">
      <c r="C17" s="11" t="s">
        <v>25</v>
      </c>
      <c r="D17" s="17" t="s">
        <v>330</v>
      </c>
      <c r="E17" s="10"/>
      <c r="F17" s="10"/>
      <c r="G17" s="10"/>
    </row>
    <row r="18" spans="3:7">
      <c r="C18" s="11" t="s">
        <v>320</v>
      </c>
      <c r="D18" s="17" t="s">
        <v>166</v>
      </c>
      <c r="E18" s="10"/>
      <c r="F18" s="10"/>
      <c r="G18" s="10"/>
    </row>
    <row r="19" spans="3:7">
      <c r="C19" s="11" t="s">
        <v>321</v>
      </c>
      <c r="D19" s="17" t="s">
        <v>167</v>
      </c>
      <c r="E19" s="10"/>
      <c r="F19" s="10"/>
      <c r="G19" s="10"/>
    </row>
    <row r="20" spans="3:7">
      <c r="C20" s="11" t="s">
        <v>323</v>
      </c>
      <c r="D20" s="17" t="s">
        <v>26</v>
      </c>
      <c r="E20" s="10"/>
      <c r="F20" s="10"/>
      <c r="G20" s="10"/>
    </row>
    <row r="21" spans="3:7">
      <c r="C21" s="11" t="s">
        <v>324</v>
      </c>
      <c r="D21" s="17" t="s">
        <v>332</v>
      </c>
      <c r="E21" s="10"/>
      <c r="F21" s="10"/>
      <c r="G21" s="10"/>
    </row>
    <row r="22" spans="3:7">
      <c r="C22" s="11" t="s">
        <v>27</v>
      </c>
      <c r="D22" s="17" t="s">
        <v>322</v>
      </c>
      <c r="E22" s="10"/>
      <c r="F22" s="10"/>
      <c r="G22" s="10"/>
    </row>
    <row r="23" spans="3:7">
      <c r="C23" s="147" t="s">
        <v>24</v>
      </c>
      <c r="D23" s="148" t="s">
        <v>328</v>
      </c>
      <c r="E23" s="10"/>
      <c r="F23" s="10"/>
      <c r="G23" s="10"/>
    </row>
    <row r="24" spans="3:7">
      <c r="C24" s="10"/>
      <c r="D24" s="10"/>
      <c r="E24" s="10"/>
      <c r="F24" s="10"/>
      <c r="G24" s="10"/>
    </row>
    <row r="25" spans="3:7" s="101" customFormat="1">
      <c r="C25" s="10"/>
      <c r="D25" s="10"/>
      <c r="E25" s="10"/>
      <c r="F25" s="10"/>
      <c r="G25" s="10"/>
    </row>
    <row r="26" spans="3:7" ht="15.75">
      <c r="C26" s="359" t="s">
        <v>331</v>
      </c>
      <c r="D26" s="359"/>
      <c r="E26" s="359"/>
      <c r="F26" s="10"/>
      <c r="G26" s="10"/>
    </row>
    <row r="27" spans="3:7">
      <c r="C27" s="50" t="s">
        <v>15</v>
      </c>
      <c r="D27" s="50" t="s">
        <v>16</v>
      </c>
      <c r="E27" s="23" t="s">
        <v>17</v>
      </c>
      <c r="F27" s="10"/>
    </row>
    <row r="28" spans="3:7">
      <c r="C28" s="21" t="s">
        <v>311</v>
      </c>
      <c r="D28" s="21" t="s">
        <v>313</v>
      </c>
      <c r="E28" s="25" t="s">
        <v>315</v>
      </c>
      <c r="F28" s="10"/>
    </row>
    <row r="29" spans="3:7">
      <c r="C29" s="21" t="s">
        <v>312</v>
      </c>
      <c r="D29" s="21" t="s">
        <v>314</v>
      </c>
      <c r="E29" s="26" t="s">
        <v>31</v>
      </c>
      <c r="F29" s="10"/>
    </row>
    <row r="30" spans="3:7">
      <c r="C30" s="138" t="s">
        <v>308</v>
      </c>
      <c r="D30" s="138" t="s">
        <v>309</v>
      </c>
      <c r="E30" s="155" t="s">
        <v>310</v>
      </c>
      <c r="F30" s="10"/>
    </row>
    <row r="31" spans="3:7">
      <c r="C31" s="152">
        <v>0</v>
      </c>
      <c r="D31" s="153">
        <v>1</v>
      </c>
      <c r="E31" s="332">
        <v>0.4</v>
      </c>
      <c r="F31" s="10"/>
    </row>
    <row r="32" spans="3:7">
      <c r="C32" s="152">
        <v>1</v>
      </c>
      <c r="D32" s="153">
        <v>2</v>
      </c>
      <c r="E32" s="332">
        <v>0.55000000000000004</v>
      </c>
      <c r="F32" s="10"/>
    </row>
    <row r="33" spans="2:7">
      <c r="C33" s="152">
        <v>2</v>
      </c>
      <c r="D33" s="153">
        <v>3</v>
      </c>
      <c r="E33" s="333">
        <v>0.7</v>
      </c>
      <c r="F33" s="10"/>
    </row>
    <row r="34" spans="2:7">
      <c r="C34" s="152">
        <v>3</v>
      </c>
      <c r="D34" s="153">
        <v>4</v>
      </c>
      <c r="E34" s="333">
        <v>0.85</v>
      </c>
      <c r="F34" s="10"/>
    </row>
    <row r="35" spans="2:7">
      <c r="C35" s="334">
        <v>4</v>
      </c>
      <c r="D35" s="154"/>
      <c r="E35" s="335">
        <v>1.1000000000000001</v>
      </c>
      <c r="F35" s="10"/>
    </row>
    <row r="36" spans="2:7">
      <c r="C36" s="101"/>
      <c r="D36" s="101"/>
      <c r="E36" s="151"/>
      <c r="F36" s="10"/>
    </row>
    <row r="37" spans="2:7">
      <c r="B37" s="101"/>
      <c r="C37" s="101"/>
      <c r="D37" s="101"/>
      <c r="E37" s="101"/>
      <c r="F37" s="10"/>
    </row>
    <row r="38" spans="2:7">
      <c r="B38" s="101"/>
      <c r="C38" s="101"/>
      <c r="D38" s="101"/>
      <c r="E38" s="101"/>
      <c r="F38" s="101"/>
    </row>
    <row r="39" spans="2:7" ht="15.75">
      <c r="B39" s="101"/>
      <c r="C39" s="336" t="s">
        <v>484</v>
      </c>
      <c r="D39" s="336"/>
      <c r="E39" s="101"/>
      <c r="F39" s="101"/>
    </row>
    <row r="40" spans="2:7">
      <c r="B40" s="101"/>
      <c r="C40" s="18" t="s">
        <v>4</v>
      </c>
      <c r="D40" s="19" t="s">
        <v>5</v>
      </c>
      <c r="E40" s="101"/>
      <c r="F40" s="101"/>
    </row>
    <row r="41" spans="2:7">
      <c r="B41" s="101"/>
      <c r="C41" s="7" t="s">
        <v>485</v>
      </c>
      <c r="D41" s="206" t="s">
        <v>486</v>
      </c>
      <c r="E41" s="101"/>
      <c r="F41" s="101"/>
      <c r="G41" s="10"/>
    </row>
    <row r="42" spans="2:7">
      <c r="C42" s="7" t="s">
        <v>487</v>
      </c>
      <c r="D42" s="206" t="s">
        <v>488</v>
      </c>
      <c r="E42" s="101"/>
      <c r="F42" s="101"/>
      <c r="G42" s="101"/>
    </row>
    <row r="43" spans="2:7">
      <c r="C43" s="116" t="s">
        <v>489</v>
      </c>
      <c r="D43" s="207" t="s">
        <v>490</v>
      </c>
    </row>
  </sheetData>
  <mergeCells count="4">
    <mergeCell ref="C15:D15"/>
    <mergeCell ref="C26:E26"/>
    <mergeCell ref="C4:D4"/>
    <mergeCell ref="C39:D3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9"/>
  <sheetViews>
    <sheetView zoomScaleNormal="100" workbookViewId="0">
      <selection activeCell="D21" sqref="D21"/>
    </sheetView>
  </sheetViews>
  <sheetFormatPr defaultRowHeight="15"/>
  <cols>
    <col min="3" max="4" width="33.42578125" customWidth="1"/>
    <col min="5" max="5" width="12.42578125" customWidth="1"/>
  </cols>
  <sheetData>
    <row r="3" spans="3:4" ht="15.75">
      <c r="C3" s="361" t="s">
        <v>71</v>
      </c>
      <c r="D3" s="361"/>
    </row>
    <row r="4" spans="3:4">
      <c r="C4" s="14" t="s">
        <v>12</v>
      </c>
      <c r="D4" s="15" t="s">
        <v>13</v>
      </c>
    </row>
    <row r="5" spans="3:4">
      <c r="C5" s="11" t="s">
        <v>3</v>
      </c>
      <c r="D5" s="16">
        <v>175</v>
      </c>
    </row>
    <row r="6" spans="3:4">
      <c r="C6" s="11" t="s">
        <v>14</v>
      </c>
      <c r="D6" s="16">
        <v>75</v>
      </c>
    </row>
    <row r="7" spans="3:4">
      <c r="C7" s="34" t="s">
        <v>2</v>
      </c>
      <c r="D7" s="87">
        <v>225</v>
      </c>
    </row>
    <row r="8" spans="3:4">
      <c r="C8" s="10"/>
      <c r="D8" s="10"/>
    </row>
    <row r="9" spans="3:4" s="101" customFormat="1">
      <c r="C9" s="10"/>
      <c r="D9" s="10"/>
    </row>
  </sheetData>
  <mergeCells count="1">
    <mergeCell ref="C3:D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topLeftCell="A37" zoomScale="85" zoomScaleNormal="85" workbookViewId="0">
      <selection activeCell="C50" sqref="C50:E57"/>
    </sheetView>
  </sheetViews>
  <sheetFormatPr defaultRowHeight="15"/>
  <cols>
    <col min="3" max="3" width="22.140625" customWidth="1"/>
    <col min="4" max="4" width="67" customWidth="1"/>
    <col min="5" max="5" width="23.28515625" customWidth="1"/>
    <col min="6" max="6" width="24.42578125" customWidth="1"/>
    <col min="7" max="7" width="48.5703125" customWidth="1"/>
    <col min="8" max="8" width="13.140625" customWidth="1"/>
    <col min="9" max="9" width="23.28515625" customWidth="1"/>
    <col min="10" max="10" width="17.7109375" customWidth="1"/>
    <col min="11" max="11" width="12.5703125" customWidth="1"/>
    <col min="12" max="12" width="15.5703125" customWidth="1"/>
    <col min="13" max="13" width="29.28515625" customWidth="1"/>
    <col min="14" max="14" width="39.42578125" customWidth="1"/>
    <col min="15" max="15" width="15.85546875" customWidth="1"/>
    <col min="17" max="17" width="24.42578125" customWidth="1"/>
    <col min="18" max="18" width="20.85546875" customWidth="1"/>
    <col min="20" max="20" width="14" customWidth="1"/>
    <col min="21" max="21" width="34.5703125" customWidth="1"/>
    <col min="22" max="22" width="16.42578125" customWidth="1"/>
    <col min="24" max="24" width="23.7109375" customWidth="1"/>
    <col min="25" max="25" width="24.85546875" customWidth="1"/>
  </cols>
  <sheetData>
    <row r="1" spans="3:8" s="101" customFormat="1"/>
    <row r="2" spans="3:8" s="101" customFormat="1"/>
    <row r="3" spans="3:8" s="101" customFormat="1"/>
    <row r="4" spans="3:8" s="101" customFormat="1" ht="29.25" customHeight="1">
      <c r="C4" s="366" t="s">
        <v>459</v>
      </c>
      <c r="D4" s="366"/>
    </row>
    <row r="5" spans="3:8" s="101" customFormat="1">
      <c r="C5" s="33" t="s">
        <v>4</v>
      </c>
      <c r="D5" s="19" t="s">
        <v>5</v>
      </c>
    </row>
    <row r="6" spans="3:8" s="101" customFormat="1">
      <c r="C6" s="11" t="s">
        <v>55</v>
      </c>
      <c r="D6" s="46" t="s">
        <v>450</v>
      </c>
      <c r="G6" s="218"/>
    </row>
    <row r="7" spans="3:8" s="101" customFormat="1">
      <c r="C7" s="11" t="s">
        <v>56</v>
      </c>
      <c r="D7" s="46" t="s">
        <v>724</v>
      </c>
      <c r="G7" s="218"/>
    </row>
    <row r="8" spans="3:8" s="167" customFormat="1">
      <c r="C8" s="11" t="s">
        <v>210</v>
      </c>
      <c r="D8" s="17" t="s">
        <v>217</v>
      </c>
      <c r="G8" s="218"/>
    </row>
    <row r="9" spans="3:8" s="101" customFormat="1">
      <c r="C9" s="34" t="s">
        <v>24</v>
      </c>
      <c r="D9" s="35" t="s">
        <v>457</v>
      </c>
      <c r="F9" s="218"/>
      <c r="G9" s="218"/>
    </row>
    <row r="10" spans="3:8" s="101" customFormat="1">
      <c r="C10" s="167"/>
      <c r="D10" s="167" t="s">
        <v>719</v>
      </c>
      <c r="E10" s="167"/>
      <c r="F10" s="218"/>
      <c r="G10" s="218"/>
      <c r="H10" s="167"/>
    </row>
    <row r="11" spans="3:8" s="218" customFormat="1"/>
    <row r="12" spans="3:8" s="218" customFormat="1" ht="15" customHeight="1">
      <c r="C12" s="362" t="s">
        <v>723</v>
      </c>
      <c r="D12" s="362"/>
      <c r="E12" s="362"/>
    </row>
    <row r="13" spans="3:8" s="218" customFormat="1">
      <c r="C13" s="264" t="s">
        <v>50</v>
      </c>
      <c r="D13" s="264" t="s">
        <v>36</v>
      </c>
      <c r="E13" s="265" t="s">
        <v>35</v>
      </c>
      <c r="H13"/>
    </row>
    <row r="14" spans="3:8" s="218" customFormat="1">
      <c r="C14" s="367" t="s">
        <v>286</v>
      </c>
      <c r="D14" s="103" t="s">
        <v>287</v>
      </c>
      <c r="E14" s="37">
        <v>1</v>
      </c>
      <c r="H14"/>
    </row>
    <row r="15" spans="3:8" s="218" customFormat="1">
      <c r="C15" s="365"/>
      <c r="D15" s="104" t="s">
        <v>288</v>
      </c>
      <c r="E15" s="37">
        <v>1</v>
      </c>
      <c r="H15"/>
    </row>
    <row r="16" spans="3:8" s="218" customFormat="1">
      <c r="C16" s="365"/>
      <c r="D16" s="292"/>
      <c r="E16" s="37">
        <v>1</v>
      </c>
      <c r="H16"/>
    </row>
    <row r="17" spans="3:8" s="218" customFormat="1">
      <c r="C17" s="364" t="s">
        <v>657</v>
      </c>
      <c r="D17" s="267" t="s">
        <v>287</v>
      </c>
      <c r="E17" s="268">
        <v>1.0249999999999999</v>
      </c>
      <c r="H17"/>
    </row>
    <row r="18" spans="3:8" s="218" customFormat="1">
      <c r="C18" s="365"/>
      <c r="D18" s="104" t="s">
        <v>288</v>
      </c>
      <c r="E18" s="37">
        <v>1.0249999999999999</v>
      </c>
      <c r="H18"/>
    </row>
    <row r="19" spans="3:8" s="218" customFormat="1">
      <c r="C19" s="365"/>
      <c r="D19" s="292"/>
      <c r="E19" s="37">
        <v>1.0249999999999999</v>
      </c>
      <c r="H19"/>
    </row>
    <row r="20" spans="3:8" s="218" customFormat="1">
      <c r="C20" s="364" t="s">
        <v>658</v>
      </c>
      <c r="D20" s="267" t="s">
        <v>287</v>
      </c>
      <c r="E20" s="269">
        <v>1.03</v>
      </c>
      <c r="H20"/>
    </row>
    <row r="21" spans="3:8" s="218" customFormat="1">
      <c r="C21" s="365"/>
      <c r="D21" s="104" t="s">
        <v>288</v>
      </c>
      <c r="E21" s="37">
        <v>1.03</v>
      </c>
      <c r="H21"/>
    </row>
    <row r="22" spans="3:8" s="218" customFormat="1">
      <c r="C22" s="365"/>
      <c r="D22" s="292"/>
      <c r="E22" s="37">
        <v>1.03</v>
      </c>
      <c r="H22"/>
    </row>
    <row r="23" spans="3:8" s="218" customFormat="1">
      <c r="C23" s="364" t="s">
        <v>659</v>
      </c>
      <c r="D23" s="267" t="s">
        <v>287</v>
      </c>
      <c r="E23" s="269">
        <v>1.1000000000000001</v>
      </c>
      <c r="H23"/>
    </row>
    <row r="24" spans="3:8" s="218" customFormat="1">
      <c r="C24" s="365"/>
      <c r="D24" s="104" t="s">
        <v>288</v>
      </c>
      <c r="E24" s="37">
        <v>1.1000000000000001</v>
      </c>
      <c r="H24"/>
    </row>
    <row r="25" spans="3:8" s="218" customFormat="1">
      <c r="C25" s="365"/>
      <c r="D25" s="292"/>
      <c r="E25" s="37">
        <v>1.1000000000000001</v>
      </c>
      <c r="H25"/>
    </row>
    <row r="26" spans="3:8" s="218" customFormat="1">
      <c r="C26" s="364" t="s">
        <v>660</v>
      </c>
      <c r="D26" s="267" t="s">
        <v>287</v>
      </c>
      <c r="E26" s="269">
        <v>1.05</v>
      </c>
    </row>
    <row r="27" spans="3:8" s="218" customFormat="1">
      <c r="C27" s="365"/>
      <c r="D27" s="104" t="s">
        <v>288</v>
      </c>
      <c r="E27" s="37">
        <v>1.05</v>
      </c>
    </row>
    <row r="28" spans="3:8" s="218" customFormat="1">
      <c r="C28" s="365"/>
      <c r="D28" s="292"/>
      <c r="E28" s="37">
        <v>1.05</v>
      </c>
    </row>
    <row r="29" spans="3:8" s="218" customFormat="1">
      <c r="C29" s="364" t="s">
        <v>661</v>
      </c>
      <c r="D29" s="267" t="s">
        <v>287</v>
      </c>
      <c r="E29" s="269">
        <v>1.0249999999999999</v>
      </c>
    </row>
    <row r="30" spans="3:8" s="218" customFormat="1">
      <c r="C30" s="365"/>
      <c r="D30" s="104" t="s">
        <v>288</v>
      </c>
      <c r="E30" s="37">
        <v>1.0249999999999999</v>
      </c>
    </row>
    <row r="31" spans="3:8" s="218" customFormat="1">
      <c r="C31" s="365"/>
      <c r="D31" s="292"/>
      <c r="E31" s="37">
        <v>1.0249999999999999</v>
      </c>
    </row>
    <row r="32" spans="3:8" s="218" customFormat="1">
      <c r="C32" s="261"/>
      <c r="D32" s="261"/>
      <c r="E32" s="266">
        <v>1</v>
      </c>
    </row>
    <row r="33" spans="1:6" s="101" customFormat="1"/>
    <row r="34" spans="1:6" s="218" customFormat="1"/>
    <row r="35" spans="1:6">
      <c r="A35" s="298" t="s">
        <v>722</v>
      </c>
      <c r="B35" s="218"/>
      <c r="C35" s="363" t="s">
        <v>449</v>
      </c>
      <c r="D35" s="363"/>
      <c r="E35" s="363"/>
    </row>
    <row r="36" spans="1:6">
      <c r="C36" s="188" t="s">
        <v>36</v>
      </c>
      <c r="D36" s="188" t="s">
        <v>12</v>
      </c>
      <c r="E36" s="169" t="s">
        <v>35</v>
      </c>
    </row>
    <row r="37" spans="1:6">
      <c r="C37" s="194" t="s">
        <v>287</v>
      </c>
      <c r="D37" s="110" t="s">
        <v>3</v>
      </c>
      <c r="E37" s="111">
        <v>1</v>
      </c>
    </row>
    <row r="38" spans="1:6">
      <c r="C38" s="112"/>
      <c r="D38" s="113"/>
      <c r="E38" s="114">
        <v>1</v>
      </c>
    </row>
    <row r="41" spans="1:6" ht="15" customHeight="1">
      <c r="C41" s="362" t="s">
        <v>709</v>
      </c>
      <c r="D41" s="362"/>
      <c r="E41" s="362"/>
      <c r="F41" s="362"/>
    </row>
    <row r="42" spans="1:6">
      <c r="C42" s="177" t="s">
        <v>429</v>
      </c>
      <c r="D42" s="265" t="s">
        <v>3</v>
      </c>
      <c r="E42" s="265" t="s">
        <v>14</v>
      </c>
      <c r="F42" s="265" t="s">
        <v>2</v>
      </c>
    </row>
    <row r="43" spans="1:6">
      <c r="C43" s="175">
        <v>2500</v>
      </c>
      <c r="D43" s="170">
        <v>1</v>
      </c>
      <c r="E43" s="170">
        <v>1</v>
      </c>
      <c r="F43" s="170">
        <v>1</v>
      </c>
    </row>
    <row r="44" spans="1:6">
      <c r="C44" s="175">
        <v>7500</v>
      </c>
      <c r="D44" s="171">
        <v>1.05</v>
      </c>
      <c r="E44" s="171">
        <v>1.05</v>
      </c>
      <c r="F44" s="171">
        <v>1.05</v>
      </c>
    </row>
    <row r="45" spans="1:6">
      <c r="C45" s="175">
        <v>15000</v>
      </c>
      <c r="D45" s="171">
        <v>1.125</v>
      </c>
      <c r="E45" s="171">
        <v>1.125</v>
      </c>
      <c r="F45" s="171">
        <v>1.125</v>
      </c>
    </row>
    <row r="46" spans="1:6">
      <c r="C46" s="176">
        <v>25000</v>
      </c>
      <c r="D46" s="172">
        <v>1.2</v>
      </c>
      <c r="E46" s="172">
        <v>1.2</v>
      </c>
      <c r="F46" s="172">
        <v>1.2</v>
      </c>
    </row>
    <row r="47" spans="1:6">
      <c r="C47" s="174"/>
      <c r="D47" s="173">
        <v>1</v>
      </c>
      <c r="E47" s="173">
        <v>1</v>
      </c>
      <c r="F47" s="173">
        <v>1</v>
      </c>
    </row>
  </sheetData>
  <mergeCells count="10">
    <mergeCell ref="C4:D4"/>
    <mergeCell ref="C14:C16"/>
    <mergeCell ref="C17:C19"/>
    <mergeCell ref="C20:C22"/>
    <mergeCell ref="C23:C25"/>
    <mergeCell ref="C41:F41"/>
    <mergeCell ref="C12:E12"/>
    <mergeCell ref="C35:E35"/>
    <mergeCell ref="C26:C28"/>
    <mergeCell ref="C29:C3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E19"/>
  <sheetViews>
    <sheetView zoomScaleNormal="100" workbookViewId="0">
      <selection activeCell="C36" sqref="C36"/>
    </sheetView>
  </sheetViews>
  <sheetFormatPr defaultRowHeight="15"/>
  <cols>
    <col min="3" max="3" width="63.28515625" customWidth="1"/>
    <col min="4" max="4" width="28.28515625" customWidth="1"/>
    <col min="5" max="5" width="14.140625" bestFit="1" customWidth="1"/>
    <col min="6" max="6" width="38.42578125" customWidth="1"/>
    <col min="7" max="7" width="29.28515625" bestFit="1" customWidth="1"/>
  </cols>
  <sheetData>
    <row r="3" spans="3:5">
      <c r="C3" s="363" t="s">
        <v>554</v>
      </c>
      <c r="D3" s="363"/>
    </row>
    <row r="4" spans="3:5" s="167" customFormat="1">
      <c r="C4" s="50" t="s">
        <v>15</v>
      </c>
      <c r="D4" s="23" t="s">
        <v>17</v>
      </c>
    </row>
    <row r="5" spans="3:5" s="167" customFormat="1">
      <c r="C5" s="21" t="s">
        <v>503</v>
      </c>
      <c r="D5" s="25"/>
    </row>
    <row r="6" spans="3:5" s="167" customFormat="1">
      <c r="C6" s="21" t="s">
        <v>208</v>
      </c>
      <c r="D6" s="26"/>
    </row>
    <row r="7" spans="3:5">
      <c r="C7" s="201" t="s">
        <v>448</v>
      </c>
      <c r="D7" s="169" t="s">
        <v>35</v>
      </c>
    </row>
    <row r="8" spans="3:5">
      <c r="C8" s="29" t="s">
        <v>48</v>
      </c>
      <c r="D8" s="58">
        <v>100</v>
      </c>
    </row>
    <row r="9" spans="3:5">
      <c r="C9" s="202" t="s">
        <v>49</v>
      </c>
      <c r="D9" s="119">
        <v>0</v>
      </c>
    </row>
    <row r="12" spans="3:5">
      <c r="C12" s="344" t="s">
        <v>555</v>
      </c>
      <c r="D12" s="344"/>
      <c r="E12" s="344"/>
    </row>
    <row r="13" spans="3:5">
      <c r="C13" s="238" t="s">
        <v>15</v>
      </c>
      <c r="D13" s="237" t="s">
        <v>16</v>
      </c>
      <c r="E13" s="237" t="s">
        <v>17</v>
      </c>
    </row>
    <row r="14" spans="3:5">
      <c r="C14" s="238" t="s">
        <v>556</v>
      </c>
      <c r="D14" s="238" t="s">
        <v>557</v>
      </c>
      <c r="E14" s="238"/>
    </row>
    <row r="15" spans="3:5">
      <c r="C15" s="238" t="s">
        <v>208</v>
      </c>
      <c r="D15" s="238" t="s">
        <v>558</v>
      </c>
      <c r="E15" s="238"/>
    </row>
    <row r="16" spans="3:5">
      <c r="C16" s="235" t="s">
        <v>559</v>
      </c>
      <c r="D16" s="235" t="s">
        <v>560</v>
      </c>
      <c r="E16" s="236" t="s">
        <v>35</v>
      </c>
    </row>
    <row r="17" spans="3:5">
      <c r="C17" s="368" t="s">
        <v>48</v>
      </c>
      <c r="D17" s="241">
        <v>2000</v>
      </c>
      <c r="E17" s="242">
        <v>50</v>
      </c>
    </row>
    <row r="18" spans="3:5">
      <c r="C18" s="368"/>
      <c r="D18" s="241">
        <v>5000</v>
      </c>
      <c r="E18" s="242">
        <v>60</v>
      </c>
    </row>
    <row r="19" spans="3:5">
      <c r="C19" s="239"/>
      <c r="D19" s="239"/>
      <c r="E19" s="240">
        <v>0</v>
      </c>
    </row>
  </sheetData>
  <mergeCells count="3">
    <mergeCell ref="C3:D3"/>
    <mergeCell ref="C12:E12"/>
    <mergeCell ref="C17:C18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H83"/>
  <sheetViews>
    <sheetView topLeftCell="A73" workbookViewId="0">
      <selection activeCell="C24" sqref="C24:F24"/>
    </sheetView>
  </sheetViews>
  <sheetFormatPr defaultRowHeight="15"/>
  <cols>
    <col min="3" max="3" width="43" customWidth="1"/>
    <col min="4" max="4" width="121.85546875" customWidth="1"/>
    <col min="5" max="5" width="32.5703125" customWidth="1"/>
    <col min="6" max="6" width="76.42578125" customWidth="1"/>
  </cols>
  <sheetData>
    <row r="1" spans="3:4" s="216" customFormat="1"/>
    <row r="2" spans="3:4" s="216" customFormat="1"/>
    <row r="3" spans="3:4" s="216" customFormat="1" ht="15.75">
      <c r="C3" s="375" t="s">
        <v>525</v>
      </c>
      <c r="D3" s="375"/>
    </row>
    <row r="4" spans="3:4" s="216" customFormat="1">
      <c r="C4" s="220" t="s">
        <v>4</v>
      </c>
      <c r="D4" s="221" t="s">
        <v>5</v>
      </c>
    </row>
    <row r="5" spans="3:4" s="216" customFormat="1">
      <c r="C5" s="222" t="s">
        <v>235</v>
      </c>
      <c r="D5" s="224" t="s">
        <v>526</v>
      </c>
    </row>
    <row r="6" spans="3:4" s="216" customFormat="1">
      <c r="C6" s="222" t="s">
        <v>250</v>
      </c>
      <c r="D6" s="224" t="s">
        <v>527</v>
      </c>
    </row>
    <row r="7" spans="3:4" s="216" customFormat="1">
      <c r="C7" s="222" t="s">
        <v>248</v>
      </c>
      <c r="D7" s="224" t="s">
        <v>528</v>
      </c>
    </row>
    <row r="8" spans="3:4" s="216" customFormat="1">
      <c r="C8" s="222" t="s">
        <v>252</v>
      </c>
      <c r="D8" s="224" t="s">
        <v>529</v>
      </c>
    </row>
    <row r="9" spans="3:4" s="216" customFormat="1">
      <c r="C9" s="222" t="s">
        <v>253</v>
      </c>
      <c r="D9" s="224" t="s">
        <v>530</v>
      </c>
    </row>
    <row r="10" spans="3:4" s="216" customFormat="1">
      <c r="C10" s="225" t="s">
        <v>360</v>
      </c>
      <c r="D10" s="227" t="s">
        <v>531</v>
      </c>
    </row>
    <row r="11" spans="3:4" s="216" customFormat="1">
      <c r="C11" s="218"/>
      <c r="D11" s="218"/>
    </row>
    <row r="12" spans="3:4" s="216" customFormat="1">
      <c r="C12" s="219"/>
      <c r="D12" s="223"/>
    </row>
    <row r="13" spans="3:4" s="216" customFormat="1" ht="15.75">
      <c r="C13" s="375" t="s">
        <v>532</v>
      </c>
      <c r="D13" s="375"/>
    </row>
    <row r="14" spans="3:4" s="216" customFormat="1">
      <c r="C14" s="220" t="s">
        <v>4</v>
      </c>
      <c r="D14" s="221" t="s">
        <v>5</v>
      </c>
    </row>
    <row r="15" spans="3:4" s="216" customFormat="1">
      <c r="C15" s="222" t="s">
        <v>237</v>
      </c>
      <c r="D15" s="224" t="s">
        <v>533</v>
      </c>
    </row>
    <row r="16" spans="3:4" s="216" customFormat="1">
      <c r="C16" s="222" t="s">
        <v>238</v>
      </c>
      <c r="D16" s="224" t="s">
        <v>534</v>
      </c>
    </row>
    <row r="17" spans="3:8" s="216" customFormat="1">
      <c r="C17" s="222" t="s">
        <v>240</v>
      </c>
      <c r="D17" s="226" t="s">
        <v>535</v>
      </c>
    </row>
    <row r="18" spans="3:8" s="216" customFormat="1">
      <c r="C18" s="222" t="s">
        <v>242</v>
      </c>
      <c r="D18" s="226" t="s">
        <v>536</v>
      </c>
    </row>
    <row r="19" spans="3:8" s="216" customFormat="1">
      <c r="C19" s="222" t="s">
        <v>244</v>
      </c>
      <c r="D19" s="226" t="s">
        <v>537</v>
      </c>
    </row>
    <row r="20" spans="3:8" s="216" customFormat="1">
      <c r="C20" s="222" t="s">
        <v>246</v>
      </c>
      <c r="D20" s="226" t="s">
        <v>538</v>
      </c>
    </row>
    <row r="21" spans="3:8" s="216" customFormat="1">
      <c r="C21" s="228" t="s">
        <v>24</v>
      </c>
      <c r="D21" s="229" t="s">
        <v>539</v>
      </c>
    </row>
    <row r="23" spans="3:8">
      <c r="C23" s="3"/>
      <c r="D23" s="3"/>
      <c r="E23" s="3"/>
      <c r="F23" s="3"/>
    </row>
    <row r="24" spans="3:8">
      <c r="C24" s="374" t="s">
        <v>754</v>
      </c>
      <c r="D24" s="374"/>
      <c r="E24" s="374"/>
      <c r="F24" s="374"/>
    </row>
    <row r="25" spans="3:8">
      <c r="C25" s="158" t="s">
        <v>692</v>
      </c>
      <c r="D25" s="158" t="s">
        <v>695</v>
      </c>
      <c r="E25" s="158" t="s">
        <v>694</v>
      </c>
      <c r="F25" s="15" t="s">
        <v>35</v>
      </c>
    </row>
    <row r="26" spans="3:8">
      <c r="C26" s="371">
        <v>0</v>
      </c>
      <c r="D26" s="324">
        <v>0</v>
      </c>
      <c r="E26" s="324"/>
      <c r="F26" s="281" t="s">
        <v>693</v>
      </c>
    </row>
    <row r="27" spans="3:8">
      <c r="C27" s="369"/>
      <c r="D27" s="325"/>
      <c r="E27" s="325"/>
      <c r="F27" s="282" t="s">
        <v>425</v>
      </c>
    </row>
    <row r="28" spans="3:8">
      <c r="C28" s="369"/>
      <c r="D28" s="372"/>
      <c r="E28" s="326" t="s">
        <v>702</v>
      </c>
      <c r="F28" s="283" t="s">
        <v>426</v>
      </c>
    </row>
    <row r="29" spans="3:8" ht="27">
      <c r="C29" s="370"/>
      <c r="D29" s="373"/>
      <c r="E29" s="327"/>
      <c r="F29" s="284" t="s">
        <v>424</v>
      </c>
    </row>
    <row r="32" spans="3:8">
      <c r="C32" s="363" t="s">
        <v>255</v>
      </c>
      <c r="D32" s="363"/>
      <c r="E32" s="363"/>
      <c r="F32" s="363"/>
      <c r="G32" s="363"/>
      <c r="H32" s="363"/>
    </row>
    <row r="33" spans="3:8">
      <c r="C33" s="43" t="s">
        <v>256</v>
      </c>
      <c r="D33" s="43" t="s">
        <v>257</v>
      </c>
      <c r="E33" s="169" t="s">
        <v>258</v>
      </c>
      <c r="F33" s="169" t="s">
        <v>259</v>
      </c>
      <c r="G33" s="169" t="s">
        <v>260</v>
      </c>
      <c r="H33" s="169" t="s">
        <v>261</v>
      </c>
    </row>
    <row r="34" spans="3:8" ht="15.75">
      <c r="C34" s="123" t="s">
        <v>262</v>
      </c>
      <c r="D34" s="376" t="s">
        <v>263</v>
      </c>
      <c r="E34" s="196">
        <v>-99999</v>
      </c>
      <c r="F34" s="196">
        <v>-750</v>
      </c>
      <c r="G34" s="197">
        <v>-99999</v>
      </c>
      <c r="H34" s="197">
        <v>-750</v>
      </c>
    </row>
    <row r="35" spans="3:8" ht="15.75">
      <c r="C35" s="124" t="s">
        <v>264</v>
      </c>
      <c r="D35" s="377"/>
      <c r="E35" s="196">
        <v>-750</v>
      </c>
      <c r="F35" s="196">
        <v>-500</v>
      </c>
      <c r="G35" s="197">
        <v>-750</v>
      </c>
      <c r="H35" s="197">
        <v>-500</v>
      </c>
    </row>
    <row r="36" spans="3:8" ht="15.75">
      <c r="C36" s="124" t="s">
        <v>265</v>
      </c>
      <c r="D36" s="377"/>
      <c r="E36" s="196">
        <v>-500</v>
      </c>
      <c r="F36" s="196">
        <v>-200</v>
      </c>
      <c r="G36" s="197">
        <v>-500</v>
      </c>
      <c r="H36" s="197">
        <v>-200</v>
      </c>
    </row>
    <row r="37" spans="3:8" ht="15.75">
      <c r="C37" s="124" t="s">
        <v>266</v>
      </c>
      <c r="D37" s="377"/>
      <c r="E37" s="196">
        <v>-200</v>
      </c>
      <c r="F37" s="196">
        <v>-31</v>
      </c>
      <c r="G37" s="197">
        <v>-200</v>
      </c>
      <c r="H37" s="197">
        <v>-31</v>
      </c>
    </row>
    <row r="38" spans="3:8" ht="15.75">
      <c r="C38" s="124" t="s">
        <v>267</v>
      </c>
      <c r="D38" s="377"/>
      <c r="E38" s="196">
        <v>-31</v>
      </c>
      <c r="F38" s="196">
        <v>-10</v>
      </c>
      <c r="G38" s="197">
        <v>0</v>
      </c>
      <c r="H38" s="197">
        <v>0</v>
      </c>
    </row>
    <row r="39" spans="3:8" ht="15.75">
      <c r="C39" s="124" t="s">
        <v>268</v>
      </c>
      <c r="D39" s="377"/>
      <c r="E39" s="196">
        <v>-10</v>
      </c>
      <c r="F39" s="196">
        <v>25</v>
      </c>
      <c r="G39" s="197">
        <v>30</v>
      </c>
      <c r="H39" s="197">
        <v>30</v>
      </c>
    </row>
    <row r="40" spans="3:8" ht="15.75">
      <c r="C40" s="124" t="s">
        <v>269</v>
      </c>
      <c r="D40" s="377"/>
      <c r="E40" s="196">
        <v>25</v>
      </c>
      <c r="F40" s="196">
        <v>200</v>
      </c>
      <c r="G40" s="197">
        <v>30</v>
      </c>
      <c r="H40" s="197">
        <v>200</v>
      </c>
    </row>
    <row r="41" spans="3:8" ht="15.75">
      <c r="C41" s="124" t="s">
        <v>270</v>
      </c>
      <c r="D41" s="377"/>
      <c r="E41" s="196">
        <v>200</v>
      </c>
      <c r="F41" s="196">
        <v>500</v>
      </c>
      <c r="G41" s="197">
        <v>200</v>
      </c>
      <c r="H41" s="197">
        <v>500</v>
      </c>
    </row>
    <row r="42" spans="3:8" ht="15.75">
      <c r="C42" s="124" t="s">
        <v>271</v>
      </c>
      <c r="D42" s="377"/>
      <c r="E42" s="196">
        <v>500</v>
      </c>
      <c r="F42" s="196">
        <v>750</v>
      </c>
      <c r="G42" s="197">
        <v>500</v>
      </c>
      <c r="H42" s="197">
        <v>750</v>
      </c>
    </row>
    <row r="43" spans="3:8" ht="15.75">
      <c r="C43" s="124" t="s">
        <v>272</v>
      </c>
      <c r="D43" s="377"/>
      <c r="E43" s="196">
        <v>750</v>
      </c>
      <c r="F43" s="196">
        <v>99999</v>
      </c>
      <c r="G43" s="197">
        <v>750</v>
      </c>
      <c r="H43" s="197">
        <v>99999</v>
      </c>
    </row>
    <row r="44" spans="3:8" ht="15.75">
      <c r="C44" s="123" t="s">
        <v>262</v>
      </c>
      <c r="D44" s="376" t="s">
        <v>273</v>
      </c>
      <c r="E44" s="196">
        <v>-99999</v>
      </c>
      <c r="F44" s="196">
        <v>-750</v>
      </c>
      <c r="G44" s="197">
        <v>-5000</v>
      </c>
      <c r="H44" s="197">
        <v>-325</v>
      </c>
    </row>
    <row r="45" spans="3:8" ht="15.75">
      <c r="C45" s="124" t="s">
        <v>264</v>
      </c>
      <c r="D45" s="377"/>
      <c r="E45" s="196">
        <v>-750</v>
      </c>
      <c r="F45" s="196">
        <v>-500</v>
      </c>
      <c r="G45" s="197">
        <v>-325</v>
      </c>
      <c r="H45" s="197">
        <v>-250</v>
      </c>
    </row>
    <row r="46" spans="3:8" ht="15.75">
      <c r="C46" s="124" t="s">
        <v>265</v>
      </c>
      <c r="D46" s="377"/>
      <c r="E46" s="196">
        <v>-500</v>
      </c>
      <c r="F46" s="196">
        <v>-200</v>
      </c>
      <c r="G46" s="197">
        <v>-250</v>
      </c>
      <c r="H46" s="197">
        <v>-100</v>
      </c>
    </row>
    <row r="47" spans="3:8" ht="15.75">
      <c r="C47" s="124" t="s">
        <v>266</v>
      </c>
      <c r="D47" s="377"/>
      <c r="E47" s="196">
        <v>-200</v>
      </c>
      <c r="F47" s="196">
        <v>-31</v>
      </c>
      <c r="G47" s="197">
        <v>-100</v>
      </c>
      <c r="H47" s="197">
        <v>-25</v>
      </c>
    </row>
    <row r="48" spans="3:8" ht="15.75">
      <c r="C48" s="124" t="s">
        <v>267</v>
      </c>
      <c r="D48" s="377"/>
      <c r="E48" s="196">
        <v>-31</v>
      </c>
      <c r="F48" s="196">
        <v>-10</v>
      </c>
      <c r="G48" s="197">
        <v>0</v>
      </c>
      <c r="H48" s="197">
        <v>0</v>
      </c>
    </row>
    <row r="49" spans="3:8" ht="15.75">
      <c r="C49" s="124" t="s">
        <v>268</v>
      </c>
      <c r="D49" s="377"/>
      <c r="E49" s="196">
        <v>-10</v>
      </c>
      <c r="F49" s="196">
        <v>25</v>
      </c>
      <c r="G49" s="197">
        <v>30</v>
      </c>
      <c r="H49" s="197">
        <v>30</v>
      </c>
    </row>
    <row r="50" spans="3:8" ht="15.75">
      <c r="C50" s="124" t="s">
        <v>269</v>
      </c>
      <c r="D50" s="377"/>
      <c r="E50" s="196">
        <v>25</v>
      </c>
      <c r="F50" s="196">
        <v>200</v>
      </c>
      <c r="G50" s="197">
        <v>30</v>
      </c>
      <c r="H50" s="197">
        <v>100</v>
      </c>
    </row>
    <row r="51" spans="3:8" ht="15.75">
      <c r="C51" s="124" t="s">
        <v>270</v>
      </c>
      <c r="D51" s="377"/>
      <c r="E51" s="196">
        <v>200</v>
      </c>
      <c r="F51" s="196">
        <v>500</v>
      </c>
      <c r="G51" s="197">
        <v>100</v>
      </c>
      <c r="H51" s="197">
        <v>250</v>
      </c>
    </row>
    <row r="52" spans="3:8" ht="15.75">
      <c r="C52" s="124" t="s">
        <v>271</v>
      </c>
      <c r="D52" s="377"/>
      <c r="E52" s="196">
        <v>500</v>
      </c>
      <c r="F52" s="196">
        <v>750</v>
      </c>
      <c r="G52" s="197">
        <v>250</v>
      </c>
      <c r="H52" s="197">
        <v>325</v>
      </c>
    </row>
    <row r="53" spans="3:8" ht="15.75">
      <c r="C53" s="124" t="s">
        <v>272</v>
      </c>
      <c r="D53" s="377"/>
      <c r="E53" s="196">
        <v>750</v>
      </c>
      <c r="F53" s="196">
        <v>99999</v>
      </c>
      <c r="G53" s="197">
        <v>325</v>
      </c>
      <c r="H53" s="197">
        <v>5000</v>
      </c>
    </row>
    <row r="54" spans="3:8" ht="15.75">
      <c r="C54" s="123" t="s">
        <v>262</v>
      </c>
      <c r="D54" s="376" t="s">
        <v>274</v>
      </c>
      <c r="E54" s="196">
        <v>-99999</v>
      </c>
      <c r="F54" s="196">
        <v>-750</v>
      </c>
      <c r="G54" s="197">
        <v>-5000</v>
      </c>
      <c r="H54" s="197">
        <v>-300</v>
      </c>
    </row>
    <row r="55" spans="3:8" ht="15.75">
      <c r="C55" s="124" t="s">
        <v>264</v>
      </c>
      <c r="D55" s="377"/>
      <c r="E55" s="196">
        <v>-750</v>
      </c>
      <c r="F55" s="196">
        <v>-500</v>
      </c>
      <c r="G55" s="197">
        <v>-300</v>
      </c>
      <c r="H55" s="197">
        <v>-225</v>
      </c>
    </row>
    <row r="56" spans="3:8" ht="15.75">
      <c r="C56" s="124" t="s">
        <v>265</v>
      </c>
      <c r="D56" s="377"/>
      <c r="E56" s="196">
        <v>-500</v>
      </c>
      <c r="F56" s="196">
        <v>-200</v>
      </c>
      <c r="G56" s="197">
        <v>-225</v>
      </c>
      <c r="H56" s="197">
        <v>-100</v>
      </c>
    </row>
    <row r="57" spans="3:8" ht="15.75">
      <c r="C57" s="124" t="s">
        <v>266</v>
      </c>
      <c r="D57" s="377"/>
      <c r="E57" s="196">
        <v>-200</v>
      </c>
      <c r="F57" s="196">
        <v>-31</v>
      </c>
      <c r="G57" s="197">
        <v>-100</v>
      </c>
      <c r="H57" s="197">
        <v>-10</v>
      </c>
    </row>
    <row r="58" spans="3:8" ht="15.75">
      <c r="C58" s="124" t="s">
        <v>267</v>
      </c>
      <c r="D58" s="377"/>
      <c r="E58" s="196">
        <v>-31</v>
      </c>
      <c r="F58" s="196">
        <v>-10</v>
      </c>
      <c r="G58" s="197">
        <v>0</v>
      </c>
      <c r="H58" s="197">
        <v>0</v>
      </c>
    </row>
    <row r="59" spans="3:8" ht="15.75">
      <c r="C59" s="124" t="s">
        <v>268</v>
      </c>
      <c r="D59" s="377"/>
      <c r="E59" s="196">
        <v>-10</v>
      </c>
      <c r="F59" s="196">
        <v>25</v>
      </c>
      <c r="G59" s="197">
        <v>30</v>
      </c>
      <c r="H59" s="197">
        <v>30</v>
      </c>
    </row>
    <row r="60" spans="3:8" ht="15.75">
      <c r="C60" s="124" t="s">
        <v>269</v>
      </c>
      <c r="D60" s="377"/>
      <c r="E60" s="196">
        <v>25</v>
      </c>
      <c r="F60" s="196">
        <v>200</v>
      </c>
      <c r="G60" s="197">
        <v>30</v>
      </c>
      <c r="H60" s="197">
        <v>100</v>
      </c>
    </row>
    <row r="61" spans="3:8" ht="15.75">
      <c r="C61" s="124" t="s">
        <v>270</v>
      </c>
      <c r="D61" s="377"/>
      <c r="E61" s="196">
        <v>200</v>
      </c>
      <c r="F61" s="196">
        <v>500</v>
      </c>
      <c r="G61" s="197">
        <v>100</v>
      </c>
      <c r="H61" s="197">
        <v>250</v>
      </c>
    </row>
    <row r="62" spans="3:8" ht="15.75">
      <c r="C62" s="124" t="s">
        <v>271</v>
      </c>
      <c r="D62" s="377"/>
      <c r="E62" s="196">
        <v>500</v>
      </c>
      <c r="F62" s="196">
        <v>750</v>
      </c>
      <c r="G62" s="197">
        <v>250</v>
      </c>
      <c r="H62" s="197">
        <v>325</v>
      </c>
    </row>
    <row r="63" spans="3:8" ht="15.75">
      <c r="C63" s="124" t="s">
        <v>272</v>
      </c>
      <c r="D63" s="377"/>
      <c r="E63" s="196">
        <v>750</v>
      </c>
      <c r="F63" s="196">
        <v>99999</v>
      </c>
      <c r="G63" s="197">
        <v>325</v>
      </c>
      <c r="H63" s="197">
        <v>5000</v>
      </c>
    </row>
    <row r="64" spans="3:8" ht="15.75">
      <c r="C64" s="123" t="s">
        <v>262</v>
      </c>
      <c r="D64" s="376" t="s">
        <v>275</v>
      </c>
      <c r="E64" s="196">
        <v>-99999</v>
      </c>
      <c r="F64" s="196">
        <v>-750</v>
      </c>
      <c r="G64" s="197">
        <v>0</v>
      </c>
      <c r="H64" s="197">
        <v>0</v>
      </c>
    </row>
    <row r="65" spans="3:8" ht="15.75">
      <c r="C65" s="124" t="s">
        <v>264</v>
      </c>
      <c r="D65" s="377"/>
      <c r="E65" s="196">
        <v>-750</v>
      </c>
      <c r="F65" s="196">
        <v>-500</v>
      </c>
      <c r="G65" s="197">
        <v>0</v>
      </c>
      <c r="H65" s="197">
        <v>0</v>
      </c>
    </row>
    <row r="66" spans="3:8" ht="15.75">
      <c r="C66" s="124" t="s">
        <v>265</v>
      </c>
      <c r="D66" s="377"/>
      <c r="E66" s="196">
        <v>-500</v>
      </c>
      <c r="F66" s="196">
        <v>-200</v>
      </c>
      <c r="G66" s="197">
        <v>0</v>
      </c>
      <c r="H66" s="197">
        <v>0</v>
      </c>
    </row>
    <row r="67" spans="3:8" ht="15.75">
      <c r="C67" s="124" t="s">
        <v>266</v>
      </c>
      <c r="D67" s="377"/>
      <c r="E67" s="196">
        <v>-200</v>
      </c>
      <c r="F67" s="196">
        <v>-31</v>
      </c>
      <c r="G67" s="197">
        <v>0</v>
      </c>
      <c r="H67" s="197">
        <v>0</v>
      </c>
    </row>
    <row r="68" spans="3:8" ht="15.75">
      <c r="C68" s="124" t="s">
        <v>267</v>
      </c>
      <c r="D68" s="377"/>
      <c r="E68" s="196">
        <v>-31</v>
      </c>
      <c r="F68" s="196">
        <v>-10</v>
      </c>
      <c r="G68" s="197">
        <v>0</v>
      </c>
      <c r="H68" s="197">
        <v>0</v>
      </c>
    </row>
    <row r="69" spans="3:8" ht="15.75">
      <c r="C69" s="124" t="s">
        <v>268</v>
      </c>
      <c r="D69" s="377"/>
      <c r="E69" s="196">
        <v>-10</v>
      </c>
      <c r="F69" s="196">
        <v>25</v>
      </c>
      <c r="G69" s="197">
        <v>25</v>
      </c>
      <c r="H69" s="197">
        <v>25</v>
      </c>
    </row>
    <row r="70" spans="3:8" ht="15.75">
      <c r="C70" s="124" t="s">
        <v>269</v>
      </c>
      <c r="D70" s="377"/>
      <c r="E70" s="196">
        <v>25</v>
      </c>
      <c r="F70" s="196">
        <v>200</v>
      </c>
      <c r="G70" s="197">
        <v>25</v>
      </c>
      <c r="H70" s="197">
        <v>35</v>
      </c>
    </row>
    <row r="71" spans="3:8" ht="15.75">
      <c r="C71" s="124" t="s">
        <v>270</v>
      </c>
      <c r="D71" s="377"/>
      <c r="E71" s="196">
        <v>200</v>
      </c>
      <c r="F71" s="196">
        <v>500</v>
      </c>
      <c r="G71" s="197">
        <v>35</v>
      </c>
      <c r="H71" s="197">
        <v>50</v>
      </c>
    </row>
    <row r="72" spans="3:8" ht="15.75">
      <c r="C72" s="124" t="s">
        <v>271</v>
      </c>
      <c r="D72" s="377"/>
      <c r="E72" s="196">
        <v>500</v>
      </c>
      <c r="F72" s="196">
        <v>750</v>
      </c>
      <c r="G72" s="197">
        <v>50</v>
      </c>
      <c r="H72" s="197">
        <v>100</v>
      </c>
    </row>
    <row r="73" spans="3:8" ht="15.75">
      <c r="C73" s="124" t="s">
        <v>272</v>
      </c>
      <c r="D73" s="377"/>
      <c r="E73" s="196">
        <v>750</v>
      </c>
      <c r="F73" s="196">
        <v>99999</v>
      </c>
      <c r="G73" s="197">
        <v>100</v>
      </c>
      <c r="H73" s="197">
        <v>5000</v>
      </c>
    </row>
    <row r="74" spans="3:8" ht="15.75">
      <c r="C74" s="123" t="s">
        <v>262</v>
      </c>
      <c r="D74" s="376" t="s">
        <v>276</v>
      </c>
      <c r="E74" s="196">
        <v>-99999</v>
      </c>
      <c r="F74" s="196">
        <v>-750</v>
      </c>
      <c r="G74" s="197">
        <v>0</v>
      </c>
      <c r="H74" s="197">
        <v>0</v>
      </c>
    </row>
    <row r="75" spans="3:8" ht="15.75">
      <c r="C75" s="124" t="s">
        <v>264</v>
      </c>
      <c r="D75" s="377"/>
      <c r="E75" s="196">
        <v>-750</v>
      </c>
      <c r="F75" s="196">
        <v>-500</v>
      </c>
      <c r="G75" s="197">
        <v>0</v>
      </c>
      <c r="H75" s="197">
        <v>0</v>
      </c>
    </row>
    <row r="76" spans="3:8" ht="15.75">
      <c r="C76" s="124" t="s">
        <v>265</v>
      </c>
      <c r="D76" s="377"/>
      <c r="E76" s="196">
        <v>-500</v>
      </c>
      <c r="F76" s="196">
        <v>-200</v>
      </c>
      <c r="G76" s="197">
        <v>0</v>
      </c>
      <c r="H76" s="197">
        <v>0</v>
      </c>
    </row>
    <row r="77" spans="3:8" ht="15.75">
      <c r="C77" s="124" t="s">
        <v>266</v>
      </c>
      <c r="D77" s="377"/>
      <c r="E77" s="196">
        <v>-200</v>
      </c>
      <c r="F77" s="196">
        <v>-31</v>
      </c>
      <c r="G77" s="197">
        <v>0</v>
      </c>
      <c r="H77" s="197">
        <v>0</v>
      </c>
    </row>
    <row r="78" spans="3:8" ht="15.75">
      <c r="C78" s="124" t="s">
        <v>267</v>
      </c>
      <c r="D78" s="377"/>
      <c r="E78" s="196">
        <v>-31</v>
      </c>
      <c r="F78" s="196">
        <v>-10</v>
      </c>
      <c r="G78" s="197">
        <v>0</v>
      </c>
      <c r="H78" s="197">
        <v>0</v>
      </c>
    </row>
    <row r="79" spans="3:8" ht="15.75">
      <c r="C79" s="124" t="s">
        <v>268</v>
      </c>
      <c r="D79" s="377"/>
      <c r="E79" s="196">
        <v>-10</v>
      </c>
      <c r="F79" s="196">
        <v>25</v>
      </c>
      <c r="G79" s="197">
        <v>25</v>
      </c>
      <c r="H79" s="197">
        <v>25</v>
      </c>
    </row>
    <row r="80" spans="3:8" ht="15.75">
      <c r="C80" s="124" t="s">
        <v>269</v>
      </c>
      <c r="D80" s="377"/>
      <c r="E80" s="196">
        <v>25</v>
      </c>
      <c r="F80" s="196">
        <v>200</v>
      </c>
      <c r="G80" s="197">
        <v>25</v>
      </c>
      <c r="H80" s="197">
        <v>25</v>
      </c>
    </row>
    <row r="81" spans="3:8" ht="15.75">
      <c r="C81" s="124" t="s">
        <v>270</v>
      </c>
      <c r="D81" s="377"/>
      <c r="E81" s="196">
        <v>200</v>
      </c>
      <c r="F81" s="196">
        <v>500</v>
      </c>
      <c r="G81" s="197">
        <v>25</v>
      </c>
      <c r="H81" s="197">
        <v>50</v>
      </c>
    </row>
    <row r="82" spans="3:8" ht="15.75">
      <c r="C82" s="124" t="s">
        <v>271</v>
      </c>
      <c r="D82" s="377"/>
      <c r="E82" s="196">
        <v>500</v>
      </c>
      <c r="F82" s="196">
        <v>750</v>
      </c>
      <c r="G82" s="197">
        <v>50</v>
      </c>
      <c r="H82" s="197">
        <v>100</v>
      </c>
    </row>
    <row r="83" spans="3:8" ht="15.75">
      <c r="C83" s="125" t="s">
        <v>272</v>
      </c>
      <c r="D83" s="378"/>
      <c r="E83" s="198">
        <v>750</v>
      </c>
      <c r="F83" s="198">
        <v>99999</v>
      </c>
      <c r="G83" s="199">
        <v>100</v>
      </c>
      <c r="H83" s="199">
        <v>5000</v>
      </c>
    </row>
  </sheetData>
  <mergeCells count="12">
    <mergeCell ref="D54:D63"/>
    <mergeCell ref="D64:D73"/>
    <mergeCell ref="D74:D83"/>
    <mergeCell ref="C32:H32"/>
    <mergeCell ref="D34:D43"/>
    <mergeCell ref="D44:D53"/>
    <mergeCell ref="C28:C29"/>
    <mergeCell ref="C26:C27"/>
    <mergeCell ref="D28:D29"/>
    <mergeCell ref="C24:F24"/>
    <mergeCell ref="C3:D3"/>
    <mergeCell ref="C13:D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81"/>
  <sheetViews>
    <sheetView zoomScaleNormal="100" workbookViewId="0">
      <selection activeCell="D19" sqref="D19"/>
    </sheetView>
  </sheetViews>
  <sheetFormatPr defaultColWidth="60.42578125" defaultRowHeight="15.75"/>
  <cols>
    <col min="1" max="1" width="19.7109375" style="178" customWidth="1"/>
    <col min="2" max="2" width="32.5703125" style="178" bestFit="1" customWidth="1"/>
    <col min="3" max="3" width="47.5703125" style="178" bestFit="1" customWidth="1"/>
    <col min="4" max="4" width="50.42578125" style="178" customWidth="1"/>
    <col min="5" max="7" width="12.42578125" style="178" customWidth="1"/>
    <col min="8" max="9" width="7.140625" style="178" bestFit="1" customWidth="1"/>
    <col min="10" max="16384" width="60.42578125" style="178"/>
  </cols>
  <sheetData>
    <row r="3" spans="2:6">
      <c r="B3" s="379" t="s">
        <v>205</v>
      </c>
      <c r="C3" s="379"/>
    </row>
    <row r="4" spans="2:6">
      <c r="B4" s="33" t="s">
        <v>4</v>
      </c>
      <c r="C4" s="19" t="s">
        <v>5</v>
      </c>
    </row>
    <row r="5" spans="2:6">
      <c r="B5" s="11" t="s">
        <v>78</v>
      </c>
      <c r="C5" s="46" t="s">
        <v>221</v>
      </c>
    </row>
    <row r="6" spans="2:6">
      <c r="B6" s="34" t="s">
        <v>24</v>
      </c>
      <c r="C6" s="67" t="s">
        <v>80</v>
      </c>
    </row>
    <row r="9" spans="2:6">
      <c r="B9" s="380" t="s">
        <v>189</v>
      </c>
      <c r="C9" s="380"/>
    </row>
    <row r="10" spans="2:6">
      <c r="B10" s="63" t="s">
        <v>81</v>
      </c>
      <c r="C10" s="64" t="s">
        <v>35</v>
      </c>
    </row>
    <row r="11" spans="2:6">
      <c r="B11" s="65" t="s">
        <v>478</v>
      </c>
      <c r="C11" s="58">
        <v>1.1000000000000001</v>
      </c>
    </row>
    <row r="12" spans="2:6">
      <c r="B12" s="66" t="s">
        <v>477</v>
      </c>
      <c r="C12" s="119">
        <v>1</v>
      </c>
    </row>
    <row r="15" spans="2:6">
      <c r="B15" s="263" t="s">
        <v>469</v>
      </c>
      <c r="C15" s="263"/>
      <c r="D15" s="263"/>
    </row>
    <row r="16" spans="2:6">
      <c r="B16" s="251" t="s">
        <v>85</v>
      </c>
      <c r="C16" s="252" t="s">
        <v>470</v>
      </c>
      <c r="D16" s="252" t="s">
        <v>471</v>
      </c>
      <c r="F16" s="252" t="s">
        <v>594</v>
      </c>
    </row>
    <row r="17" spans="2:6">
      <c r="B17" s="253" t="s">
        <v>472</v>
      </c>
      <c r="C17" s="254">
        <v>0.1</v>
      </c>
      <c r="D17" s="58">
        <v>0</v>
      </c>
      <c r="F17" s="58"/>
    </row>
    <row r="18" spans="2:6">
      <c r="B18" s="253" t="s">
        <v>473</v>
      </c>
      <c r="C18" s="203">
        <v>0</v>
      </c>
      <c r="D18" s="255">
        <v>0.1</v>
      </c>
      <c r="F18" s="203" t="s">
        <v>595</v>
      </c>
    </row>
    <row r="19" spans="2:6">
      <c r="B19" s="253" t="s">
        <v>596</v>
      </c>
      <c r="C19" s="203">
        <v>0</v>
      </c>
      <c r="D19" s="255">
        <v>0.19</v>
      </c>
      <c r="F19" s="203" t="s">
        <v>597</v>
      </c>
    </row>
    <row r="20" spans="2:6">
      <c r="B20" s="253" t="s">
        <v>598</v>
      </c>
      <c r="C20" s="256">
        <v>0</v>
      </c>
      <c r="D20" s="256">
        <v>0</v>
      </c>
      <c r="F20" s="257"/>
    </row>
    <row r="21" spans="2:6">
      <c r="B21" s="253" t="s">
        <v>599</v>
      </c>
      <c r="C21" s="256">
        <v>0</v>
      </c>
      <c r="D21" s="256">
        <v>0</v>
      </c>
      <c r="F21" s="256"/>
    </row>
    <row r="22" spans="2:6">
      <c r="B22" s="253" t="s">
        <v>600</v>
      </c>
      <c r="C22" s="256">
        <v>0</v>
      </c>
      <c r="D22" s="256">
        <v>0</v>
      </c>
      <c r="F22" s="256"/>
    </row>
    <row r="23" spans="2:6">
      <c r="B23" s="258" t="s">
        <v>601</v>
      </c>
      <c r="C23" s="259">
        <v>-0.05</v>
      </c>
      <c r="D23" s="256">
        <v>0</v>
      </c>
      <c r="F23" s="256"/>
    </row>
    <row r="24" spans="2:6">
      <c r="B24" s="258" t="s">
        <v>602</v>
      </c>
      <c r="C24" s="256">
        <v>0</v>
      </c>
      <c r="D24" s="256">
        <v>0</v>
      </c>
      <c r="F24" s="260"/>
    </row>
    <row r="25" spans="2:6">
      <c r="B25" s="253" t="s">
        <v>603</v>
      </c>
      <c r="C25" s="256">
        <v>0</v>
      </c>
      <c r="D25" s="256">
        <v>0</v>
      </c>
      <c r="F25" s="257"/>
    </row>
    <row r="26" spans="2:6">
      <c r="B26" s="253" t="s">
        <v>604</v>
      </c>
      <c r="C26" s="256">
        <v>0</v>
      </c>
      <c r="D26" s="256">
        <v>0</v>
      </c>
      <c r="F26" s="257"/>
    </row>
    <row r="27" spans="2:6">
      <c r="B27" s="253" t="s">
        <v>605</v>
      </c>
      <c r="C27" s="256">
        <v>0</v>
      </c>
      <c r="D27" s="256">
        <v>0</v>
      </c>
      <c r="F27" s="257"/>
    </row>
    <row r="28" spans="2:6">
      <c r="B28" s="253" t="s">
        <v>606</v>
      </c>
      <c r="C28" s="256">
        <v>0</v>
      </c>
      <c r="D28" s="256">
        <v>0</v>
      </c>
      <c r="F28" s="257"/>
    </row>
    <row r="29" spans="2:6">
      <c r="B29" s="253" t="s">
        <v>607</v>
      </c>
      <c r="C29" s="256">
        <v>0</v>
      </c>
      <c r="D29" s="256">
        <v>0</v>
      </c>
      <c r="F29" s="257"/>
    </row>
    <row r="30" spans="2:6">
      <c r="B30" s="253" t="s">
        <v>608</v>
      </c>
      <c r="C30" s="256">
        <v>0</v>
      </c>
      <c r="D30" s="256">
        <v>0</v>
      </c>
      <c r="F30" s="257"/>
    </row>
    <row r="31" spans="2:6">
      <c r="B31" s="253" t="s">
        <v>609</v>
      </c>
      <c r="C31" s="256">
        <v>0</v>
      </c>
      <c r="D31" s="256">
        <v>0</v>
      </c>
      <c r="F31" s="257"/>
    </row>
    <row r="32" spans="2:6">
      <c r="B32" s="253" t="s">
        <v>610</v>
      </c>
      <c r="C32" s="256">
        <v>0</v>
      </c>
      <c r="D32" s="256">
        <v>0</v>
      </c>
      <c r="F32" s="257"/>
    </row>
    <row r="33" spans="2:6">
      <c r="B33" s="253" t="s">
        <v>611</v>
      </c>
      <c r="C33" s="256">
        <v>0</v>
      </c>
      <c r="D33" s="256">
        <v>0</v>
      </c>
      <c r="F33" s="257"/>
    </row>
    <row r="34" spans="2:6">
      <c r="B34" s="253" t="s">
        <v>612</v>
      </c>
      <c r="C34" s="256">
        <v>0</v>
      </c>
      <c r="D34" s="256">
        <v>0</v>
      </c>
      <c r="F34" s="257"/>
    </row>
    <row r="35" spans="2:6">
      <c r="B35" s="253" t="s">
        <v>613</v>
      </c>
      <c r="C35" s="256">
        <v>0</v>
      </c>
      <c r="D35" s="256">
        <v>0</v>
      </c>
      <c r="F35" s="257"/>
    </row>
    <row r="36" spans="2:6">
      <c r="B36" s="253" t="s">
        <v>614</v>
      </c>
      <c r="C36" s="256">
        <v>0</v>
      </c>
      <c r="D36" s="256">
        <v>0</v>
      </c>
      <c r="F36" s="257"/>
    </row>
    <row r="37" spans="2:6">
      <c r="B37" s="253" t="s">
        <v>615</v>
      </c>
      <c r="C37" s="256">
        <v>0</v>
      </c>
      <c r="D37" s="256">
        <v>0</v>
      </c>
      <c r="F37" s="257"/>
    </row>
    <row r="38" spans="2:6">
      <c r="B38" s="253" t="s">
        <v>616</v>
      </c>
      <c r="C38" s="256">
        <v>0</v>
      </c>
      <c r="D38" s="256">
        <v>0</v>
      </c>
      <c r="F38" s="257"/>
    </row>
    <row r="39" spans="2:6">
      <c r="B39" s="253" t="s">
        <v>617</v>
      </c>
      <c r="C39" s="256">
        <v>0</v>
      </c>
      <c r="D39" s="256">
        <v>0</v>
      </c>
      <c r="F39" s="257"/>
    </row>
    <row r="40" spans="2:6">
      <c r="B40" s="253" t="s">
        <v>618</v>
      </c>
      <c r="C40" s="256">
        <v>0</v>
      </c>
      <c r="D40" s="256">
        <v>0</v>
      </c>
      <c r="F40" s="257"/>
    </row>
    <row r="41" spans="2:6">
      <c r="B41" s="253" t="s">
        <v>619</v>
      </c>
      <c r="C41" s="256">
        <v>0</v>
      </c>
      <c r="D41" s="256">
        <v>0</v>
      </c>
      <c r="F41" s="257"/>
    </row>
    <row r="42" spans="2:6">
      <c r="B42" s="253" t="s">
        <v>620</v>
      </c>
      <c r="C42" s="256">
        <v>0</v>
      </c>
      <c r="D42" s="256">
        <v>0</v>
      </c>
      <c r="F42" s="257"/>
    </row>
    <row r="43" spans="2:6">
      <c r="B43" s="253" t="s">
        <v>621</v>
      </c>
      <c r="C43" s="256">
        <v>0</v>
      </c>
      <c r="D43" s="256">
        <v>0</v>
      </c>
      <c r="F43" s="257"/>
    </row>
    <row r="44" spans="2:6">
      <c r="B44" s="253" t="s">
        <v>622</v>
      </c>
      <c r="C44" s="256">
        <v>0</v>
      </c>
      <c r="D44" s="256">
        <v>0</v>
      </c>
      <c r="F44" s="257"/>
    </row>
    <row r="45" spans="2:6">
      <c r="B45" s="253" t="s">
        <v>623</v>
      </c>
      <c r="C45" s="256">
        <v>0</v>
      </c>
      <c r="D45" s="256">
        <v>0</v>
      </c>
      <c r="F45" s="257"/>
    </row>
    <row r="46" spans="2:6">
      <c r="B46" s="253" t="s">
        <v>624</v>
      </c>
      <c r="C46" s="256">
        <v>0</v>
      </c>
      <c r="D46" s="256">
        <v>0</v>
      </c>
      <c r="F46" s="257"/>
    </row>
    <row r="47" spans="2:6">
      <c r="B47" s="253" t="s">
        <v>625</v>
      </c>
      <c r="C47" s="256">
        <v>0</v>
      </c>
      <c r="D47" s="256">
        <v>0</v>
      </c>
      <c r="F47" s="257"/>
    </row>
    <row r="48" spans="2:6">
      <c r="B48" s="253" t="s">
        <v>626</v>
      </c>
      <c r="C48" s="256">
        <v>0</v>
      </c>
      <c r="D48" s="256">
        <v>0</v>
      </c>
      <c r="F48" s="257"/>
    </row>
    <row r="49" spans="2:6">
      <c r="B49" s="253" t="s">
        <v>627</v>
      </c>
      <c r="C49" s="256">
        <v>0</v>
      </c>
      <c r="D49" s="256">
        <v>0</v>
      </c>
      <c r="F49" s="257"/>
    </row>
    <row r="50" spans="2:6" ht="18.75" customHeight="1">
      <c r="B50" s="253" t="s">
        <v>628</v>
      </c>
      <c r="C50" s="256">
        <v>0</v>
      </c>
      <c r="D50" s="256">
        <v>0</v>
      </c>
      <c r="F50" s="257"/>
    </row>
    <row r="51" spans="2:6">
      <c r="B51" s="253" t="s">
        <v>629</v>
      </c>
      <c r="C51" s="256">
        <v>0</v>
      </c>
      <c r="D51" s="256">
        <v>0</v>
      </c>
      <c r="F51" s="257"/>
    </row>
    <row r="52" spans="2:6">
      <c r="B52" s="253" t="s">
        <v>630</v>
      </c>
      <c r="C52" s="256">
        <v>0</v>
      </c>
      <c r="D52" s="256">
        <v>0</v>
      </c>
      <c r="F52" s="257"/>
    </row>
    <row r="53" spans="2:6">
      <c r="B53" s="253" t="s">
        <v>631</v>
      </c>
      <c r="C53" s="256">
        <v>0</v>
      </c>
      <c r="D53" s="256">
        <v>0</v>
      </c>
      <c r="F53" s="257"/>
    </row>
    <row r="54" spans="2:6">
      <c r="B54" s="253" t="s">
        <v>632</v>
      </c>
      <c r="C54" s="256">
        <v>0</v>
      </c>
      <c r="D54" s="256">
        <v>0</v>
      </c>
      <c r="F54" s="257"/>
    </row>
    <row r="55" spans="2:6">
      <c r="B55" s="253" t="s">
        <v>633</v>
      </c>
      <c r="C55" s="256">
        <v>0</v>
      </c>
      <c r="D55" s="256">
        <v>0</v>
      </c>
      <c r="F55" s="257"/>
    </row>
    <row r="56" spans="2:6">
      <c r="B56" s="253" t="s">
        <v>634</v>
      </c>
      <c r="C56" s="256">
        <v>0</v>
      </c>
      <c r="D56" s="256">
        <v>0</v>
      </c>
      <c r="F56" s="257"/>
    </row>
    <row r="57" spans="2:6">
      <c r="B57" s="253" t="s">
        <v>635</v>
      </c>
      <c r="C57" s="256">
        <v>0</v>
      </c>
      <c r="D57" s="256">
        <v>0</v>
      </c>
      <c r="F57" s="257"/>
    </row>
    <row r="58" spans="2:6">
      <c r="B58" s="253" t="s">
        <v>636</v>
      </c>
      <c r="C58" s="256">
        <v>0</v>
      </c>
      <c r="D58" s="256">
        <v>0</v>
      </c>
      <c r="F58" s="257"/>
    </row>
    <row r="59" spans="2:6">
      <c r="B59" s="253" t="s">
        <v>637</v>
      </c>
      <c r="C59" s="256">
        <v>0</v>
      </c>
      <c r="D59" s="256">
        <v>0</v>
      </c>
      <c r="F59" s="257"/>
    </row>
    <row r="60" spans="2:6">
      <c r="B60" s="253" t="s">
        <v>638</v>
      </c>
      <c r="C60" s="256">
        <v>0</v>
      </c>
      <c r="D60" s="256">
        <v>0</v>
      </c>
      <c r="F60" s="257"/>
    </row>
    <row r="61" spans="2:6">
      <c r="B61" s="253" t="s">
        <v>639</v>
      </c>
      <c r="C61" s="256">
        <v>0</v>
      </c>
      <c r="D61" s="256">
        <v>0</v>
      </c>
      <c r="F61" s="257"/>
    </row>
    <row r="62" spans="2:6">
      <c r="B62" s="253" t="s">
        <v>640</v>
      </c>
      <c r="C62" s="256">
        <v>0</v>
      </c>
      <c r="D62" s="256">
        <v>0</v>
      </c>
      <c r="F62" s="257"/>
    </row>
    <row r="63" spans="2:6">
      <c r="B63" s="253" t="s">
        <v>474</v>
      </c>
      <c r="C63" s="256">
        <v>0</v>
      </c>
      <c r="D63" s="256">
        <v>0</v>
      </c>
      <c r="F63" s="257"/>
    </row>
    <row r="64" spans="2:6">
      <c r="B64" s="253" t="s">
        <v>641</v>
      </c>
      <c r="C64" s="256">
        <v>0</v>
      </c>
      <c r="D64" s="256">
        <v>0</v>
      </c>
      <c r="F64" s="257"/>
    </row>
    <row r="65" spans="2:6">
      <c r="B65" s="253" t="s">
        <v>642</v>
      </c>
      <c r="C65" s="256">
        <v>0</v>
      </c>
      <c r="D65" s="256">
        <v>0</v>
      </c>
      <c r="F65" s="257"/>
    </row>
    <row r="66" spans="2:6">
      <c r="B66" s="253" t="s">
        <v>643</v>
      </c>
      <c r="C66" s="256">
        <v>0</v>
      </c>
      <c r="D66" s="256">
        <v>0</v>
      </c>
      <c r="F66" s="257"/>
    </row>
    <row r="67" spans="2:6">
      <c r="B67" s="253" t="s">
        <v>644</v>
      </c>
      <c r="C67" s="256">
        <v>0</v>
      </c>
      <c r="D67" s="256">
        <v>0</v>
      </c>
      <c r="F67" s="257"/>
    </row>
    <row r="68" spans="2:6">
      <c r="B68" s="253" t="s">
        <v>645</v>
      </c>
      <c r="C68" s="256">
        <v>0</v>
      </c>
      <c r="D68" s="256">
        <v>0</v>
      </c>
      <c r="F68" s="257"/>
    </row>
    <row r="69" spans="2:6">
      <c r="B69" s="253" t="s">
        <v>646</v>
      </c>
      <c r="C69" s="256">
        <v>0</v>
      </c>
      <c r="D69" s="256">
        <v>0</v>
      </c>
      <c r="F69" s="257"/>
    </row>
    <row r="70" spans="2:6">
      <c r="B70" s="253" t="s">
        <v>647</v>
      </c>
      <c r="C70" s="256">
        <v>0</v>
      </c>
      <c r="D70" s="256">
        <v>0</v>
      </c>
      <c r="F70" s="257"/>
    </row>
    <row r="71" spans="2:6">
      <c r="B71" s="253" t="s">
        <v>648</v>
      </c>
      <c r="C71" s="256">
        <v>0</v>
      </c>
      <c r="D71" s="256">
        <v>0</v>
      </c>
      <c r="F71" s="257"/>
    </row>
    <row r="72" spans="2:6">
      <c r="B72" s="253" t="s">
        <v>649</v>
      </c>
      <c r="C72" s="256">
        <v>0</v>
      </c>
      <c r="D72" s="256">
        <v>0</v>
      </c>
      <c r="F72" s="257"/>
    </row>
    <row r="73" spans="2:6">
      <c r="B73" s="253" t="s">
        <v>650</v>
      </c>
      <c r="C73" s="256">
        <v>0</v>
      </c>
      <c r="D73" s="256">
        <v>0</v>
      </c>
      <c r="F73" s="257"/>
    </row>
    <row r="74" spans="2:6">
      <c r="B74" s="253" t="s">
        <v>651</v>
      </c>
      <c r="C74" s="256">
        <v>0</v>
      </c>
      <c r="D74" s="256">
        <v>0</v>
      </c>
      <c r="F74" s="257"/>
    </row>
    <row r="75" spans="2:6">
      <c r="B75" s="253" t="s">
        <v>652</v>
      </c>
      <c r="C75" s="256">
        <v>0</v>
      </c>
      <c r="D75" s="256">
        <v>0</v>
      </c>
      <c r="F75" s="257"/>
    </row>
    <row r="76" spans="2:6">
      <c r="B76" s="253" t="s">
        <v>653</v>
      </c>
      <c r="C76" s="256">
        <v>0</v>
      </c>
      <c r="D76" s="256">
        <v>0</v>
      </c>
      <c r="F76" s="257"/>
    </row>
    <row r="77" spans="2:6">
      <c r="B77" s="253" t="s">
        <v>654</v>
      </c>
      <c r="C77" s="256">
        <v>0</v>
      </c>
      <c r="D77" s="256">
        <v>0</v>
      </c>
      <c r="F77" s="257"/>
    </row>
    <row r="78" spans="2:6">
      <c r="B78" s="253" t="s">
        <v>655</v>
      </c>
      <c r="C78" s="256">
        <v>0</v>
      </c>
      <c r="D78" s="256">
        <v>0</v>
      </c>
      <c r="F78" s="257"/>
    </row>
    <row r="79" spans="2:6">
      <c r="B79" s="261"/>
      <c r="C79" s="204">
        <v>0</v>
      </c>
      <c r="D79" s="204">
        <v>0</v>
      </c>
      <c r="F79" s="262"/>
    </row>
    <row r="80" spans="2:6">
      <c r="B80" s="218"/>
      <c r="C80" s="218"/>
      <c r="D80" s="218"/>
      <c r="E80" s="218"/>
    </row>
    <row r="81" spans="2:5" ht="30.75">
      <c r="B81" s="218"/>
      <c r="C81" s="231" t="s">
        <v>656</v>
      </c>
      <c r="D81" s="231" t="s">
        <v>689</v>
      </c>
      <c r="E81" s="218"/>
    </row>
  </sheetData>
  <mergeCells count="2">
    <mergeCell ref="B3:C3"/>
    <mergeCell ref="B9:C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4"/>
  <sheetViews>
    <sheetView topLeftCell="A13" zoomScaleNormal="100" workbookViewId="0">
      <selection activeCell="K32" sqref="K32"/>
    </sheetView>
  </sheetViews>
  <sheetFormatPr defaultColWidth="36.140625" defaultRowHeight="15"/>
  <cols>
    <col min="1" max="1" width="11.140625" customWidth="1"/>
    <col min="2" max="2" width="23.42578125" customWidth="1"/>
    <col min="3" max="3" width="77" customWidth="1"/>
    <col min="4" max="4" width="30.140625" style="62" customWidth="1"/>
  </cols>
  <sheetData>
    <row r="1" spans="2:3" s="62" customFormat="1">
      <c r="B1" s="90"/>
    </row>
    <row r="2" spans="2:3">
      <c r="B2" s="90"/>
    </row>
    <row r="4" spans="2:3" ht="15" customHeight="1">
      <c r="B4" s="381" t="s">
        <v>442</v>
      </c>
      <c r="C4" s="381"/>
    </row>
    <row r="5" spans="2:3" s="62" customFormat="1">
      <c r="B5" s="33" t="s">
        <v>4</v>
      </c>
      <c r="C5" s="19" t="s">
        <v>5</v>
      </c>
    </row>
    <row r="6" spans="2:3" s="62" customFormat="1">
      <c r="B6" s="11" t="s">
        <v>25</v>
      </c>
      <c r="C6" s="17" t="s">
        <v>443</v>
      </c>
    </row>
    <row r="7" spans="2:3">
      <c r="B7" s="11" t="s">
        <v>139</v>
      </c>
      <c r="C7" s="17" t="s">
        <v>166</v>
      </c>
    </row>
    <row r="8" spans="2:3" s="62" customFormat="1">
      <c r="B8" s="11" t="s">
        <v>140</v>
      </c>
      <c r="C8" s="17" t="s">
        <v>167</v>
      </c>
    </row>
    <row r="9" spans="2:3">
      <c r="B9" s="11" t="s">
        <v>145</v>
      </c>
      <c r="C9" s="17" t="s">
        <v>168</v>
      </c>
    </row>
    <row r="10" spans="2:3">
      <c r="B10" s="11" t="s">
        <v>146</v>
      </c>
      <c r="C10" s="17" t="s">
        <v>169</v>
      </c>
    </row>
    <row r="11" spans="2:3">
      <c r="B11" s="11" t="s">
        <v>141</v>
      </c>
      <c r="C11" s="17" t="s">
        <v>26</v>
      </c>
    </row>
    <row r="12" spans="2:3">
      <c r="B12" s="11" t="s">
        <v>142</v>
      </c>
      <c r="C12" s="17" t="s">
        <v>444</v>
      </c>
    </row>
    <row r="13" spans="2:3">
      <c r="B13" s="11" t="s">
        <v>143</v>
      </c>
      <c r="C13" s="17" t="s">
        <v>445</v>
      </c>
    </row>
    <row r="14" spans="2:3">
      <c r="B14" s="11" t="s">
        <v>144</v>
      </c>
      <c r="C14" s="17" t="s">
        <v>446</v>
      </c>
    </row>
    <row r="15" spans="2:3" ht="27">
      <c r="B15" s="11" t="s">
        <v>147</v>
      </c>
      <c r="C15" s="17" t="s">
        <v>149</v>
      </c>
    </row>
    <row r="16" spans="2:3">
      <c r="B16" s="11" t="s">
        <v>148</v>
      </c>
      <c r="C16" s="17" t="s">
        <v>150</v>
      </c>
    </row>
    <row r="17" spans="2:11">
      <c r="B17" s="11" t="s">
        <v>151</v>
      </c>
      <c r="C17" s="17" t="s">
        <v>154</v>
      </c>
    </row>
    <row r="18" spans="2:11">
      <c r="B18" s="11" t="s">
        <v>152</v>
      </c>
      <c r="C18" s="17" t="s">
        <v>153</v>
      </c>
    </row>
    <row r="19" spans="2:11">
      <c r="B19" s="181" t="s">
        <v>24</v>
      </c>
      <c r="C19" s="115" t="s">
        <v>155</v>
      </c>
    </row>
    <row r="20" spans="2:11">
      <c r="K20" s="167"/>
    </row>
    <row r="21" spans="2:11">
      <c r="K21" s="167"/>
    </row>
    <row r="22" spans="2:11">
      <c r="B22" s="351" t="s">
        <v>447</v>
      </c>
      <c r="C22" s="351"/>
      <c r="D22" s="351"/>
      <c r="E22" s="351"/>
      <c r="F22" s="351"/>
      <c r="G22" s="351"/>
      <c r="H22" s="351"/>
      <c r="I22" s="351"/>
      <c r="J22" s="351"/>
      <c r="K22" s="218"/>
    </row>
    <row r="23" spans="2:11">
      <c r="B23" s="187" t="s">
        <v>15</v>
      </c>
      <c r="C23" s="187" t="s">
        <v>16</v>
      </c>
      <c r="D23" s="187" t="s">
        <v>20</v>
      </c>
      <c r="E23" s="187" t="s">
        <v>21</v>
      </c>
      <c r="F23" s="91" t="s">
        <v>17</v>
      </c>
      <c r="G23" s="91"/>
      <c r="H23" s="91"/>
      <c r="I23" s="91"/>
      <c r="J23" s="91"/>
    </row>
    <row r="24" spans="2:11">
      <c r="B24" s="91" t="s">
        <v>156</v>
      </c>
      <c r="C24" s="91" t="s">
        <v>159</v>
      </c>
      <c r="D24" s="91" t="s">
        <v>157</v>
      </c>
      <c r="E24" s="91" t="s">
        <v>158</v>
      </c>
      <c r="F24" s="91" t="s">
        <v>194</v>
      </c>
      <c r="G24" s="91"/>
      <c r="H24" s="91"/>
      <c r="I24" s="91"/>
      <c r="J24" s="91"/>
    </row>
    <row r="25" spans="2:11">
      <c r="B25" s="186" t="s">
        <v>161</v>
      </c>
      <c r="C25" s="186" t="s">
        <v>160</v>
      </c>
      <c r="D25" s="186" t="s">
        <v>164</v>
      </c>
      <c r="E25" s="186" t="s">
        <v>165</v>
      </c>
      <c r="F25" s="186" t="s">
        <v>31</v>
      </c>
      <c r="G25" s="186"/>
      <c r="H25" s="186"/>
      <c r="I25" s="186"/>
      <c r="J25" s="186"/>
    </row>
    <row r="26" spans="2:11">
      <c r="B26" s="382" t="s">
        <v>138</v>
      </c>
      <c r="C26" s="382" t="s">
        <v>138</v>
      </c>
      <c r="D26" s="88">
        <v>400</v>
      </c>
      <c r="E26" s="88">
        <v>500</v>
      </c>
      <c r="F26" s="88">
        <v>750</v>
      </c>
      <c r="G26" s="88">
        <v>1000</v>
      </c>
      <c r="H26" s="88">
        <v>2000</v>
      </c>
      <c r="I26" s="88">
        <v>3000</v>
      </c>
      <c r="J26" s="88">
        <v>4000</v>
      </c>
    </row>
    <row r="27" spans="2:11">
      <c r="B27" s="382"/>
      <c r="C27" s="382"/>
      <c r="D27" s="88">
        <v>500</v>
      </c>
      <c r="E27" s="88">
        <v>750</v>
      </c>
      <c r="F27" s="88">
        <v>1000</v>
      </c>
      <c r="G27" s="88">
        <v>2000</v>
      </c>
      <c r="H27" s="88">
        <v>3000</v>
      </c>
      <c r="I27" s="88">
        <v>4000</v>
      </c>
      <c r="J27" s="88"/>
    </row>
    <row r="28" spans="2:11" ht="15.75" customHeight="1">
      <c r="B28" s="29">
        <v>0</v>
      </c>
      <c r="C28" s="29">
        <v>5000</v>
      </c>
      <c r="D28" s="85">
        <v>0</v>
      </c>
      <c r="E28" s="85">
        <v>0.05</v>
      </c>
      <c r="F28" s="85">
        <v>0.15</v>
      </c>
      <c r="G28" s="85">
        <v>0.23</v>
      </c>
      <c r="H28" s="85">
        <v>0.28000000000000003</v>
      </c>
      <c r="I28" s="85">
        <v>0.32</v>
      </c>
      <c r="J28" s="85">
        <v>0.37</v>
      </c>
    </row>
    <row r="29" spans="2:11" ht="15.75" customHeight="1">
      <c r="B29" s="29">
        <v>5000</v>
      </c>
      <c r="C29" s="29">
        <v>10000</v>
      </c>
      <c r="D29" s="85">
        <v>0</v>
      </c>
      <c r="E29" s="85">
        <v>0.05</v>
      </c>
      <c r="F29" s="85">
        <v>0.15</v>
      </c>
      <c r="G29" s="85">
        <v>0.23</v>
      </c>
      <c r="H29" s="85">
        <v>0.28000000000000003</v>
      </c>
      <c r="I29" s="85">
        <v>0.32</v>
      </c>
      <c r="J29" s="85">
        <v>0.37</v>
      </c>
    </row>
    <row r="30" spans="2:11" ht="15.75" customHeight="1">
      <c r="B30" s="29">
        <v>10000</v>
      </c>
      <c r="C30" s="29">
        <v>15000</v>
      </c>
      <c r="D30" s="85">
        <v>0</v>
      </c>
      <c r="E30" s="85">
        <v>0.05</v>
      </c>
      <c r="F30" s="85">
        <v>0.15</v>
      </c>
      <c r="G30" s="85">
        <v>0.23</v>
      </c>
      <c r="H30" s="85">
        <v>0.28000000000000003</v>
      </c>
      <c r="I30" s="85">
        <v>0.32</v>
      </c>
      <c r="J30" s="85">
        <v>0.37</v>
      </c>
    </row>
    <row r="31" spans="2:11" ht="15.75" customHeight="1">
      <c r="B31" s="29">
        <v>15000</v>
      </c>
      <c r="C31" s="29">
        <v>20000</v>
      </c>
      <c r="D31" s="85">
        <v>0</v>
      </c>
      <c r="E31" s="85">
        <v>0.05</v>
      </c>
      <c r="F31" s="85">
        <v>0.15</v>
      </c>
      <c r="G31" s="85">
        <v>0.23</v>
      </c>
      <c r="H31" s="85">
        <v>0.28000000000000003</v>
      </c>
      <c r="I31" s="85">
        <v>0.32</v>
      </c>
      <c r="J31" s="85">
        <v>0.37</v>
      </c>
    </row>
    <row r="32" spans="2:11" ht="15.75" customHeight="1">
      <c r="B32" s="29">
        <v>20000</v>
      </c>
      <c r="C32" s="29">
        <v>30000</v>
      </c>
      <c r="D32" s="85">
        <v>0</v>
      </c>
      <c r="E32" s="85">
        <v>0.05</v>
      </c>
      <c r="F32" s="85">
        <v>0.15</v>
      </c>
      <c r="G32" s="85">
        <v>0.23</v>
      </c>
      <c r="H32" s="85">
        <v>0.28000000000000003</v>
      </c>
      <c r="I32" s="85">
        <v>0.32</v>
      </c>
      <c r="J32" s="85">
        <v>0.37</v>
      </c>
    </row>
    <row r="33" spans="2:10" ht="15.75" customHeight="1">
      <c r="B33" s="29">
        <v>30000</v>
      </c>
      <c r="C33" s="29">
        <v>50000</v>
      </c>
      <c r="D33" s="85">
        <v>0</v>
      </c>
      <c r="E33" s="85">
        <v>0.05</v>
      </c>
      <c r="F33" s="85">
        <v>0.15</v>
      </c>
      <c r="G33" s="85">
        <v>0.23</v>
      </c>
      <c r="H33" s="85">
        <v>0.28000000000000003</v>
      </c>
      <c r="I33" s="85">
        <v>0.32</v>
      </c>
      <c r="J33" s="85">
        <v>0.37</v>
      </c>
    </row>
    <row r="34" spans="2:10" ht="15.75" customHeight="1">
      <c r="B34" s="29">
        <v>50000</v>
      </c>
      <c r="C34" s="29">
        <v>80000</v>
      </c>
      <c r="D34" s="85">
        <v>-0.05</v>
      </c>
      <c r="E34" s="85">
        <v>0</v>
      </c>
      <c r="F34" s="85">
        <v>0.05</v>
      </c>
      <c r="G34" s="85">
        <v>0.12</v>
      </c>
      <c r="H34" s="85">
        <v>0.17</v>
      </c>
      <c r="I34" s="85">
        <v>0.21</v>
      </c>
      <c r="J34" s="85">
        <v>0.25</v>
      </c>
    </row>
    <row r="35" spans="2:10" ht="15.75" customHeight="1">
      <c r="B35" s="29">
        <v>80000</v>
      </c>
      <c r="C35" s="29">
        <v>100000</v>
      </c>
      <c r="D35" s="85">
        <v>-0.15</v>
      </c>
      <c r="E35" s="85">
        <v>-0.05</v>
      </c>
      <c r="F35" s="85">
        <v>0</v>
      </c>
      <c r="G35" s="85">
        <v>0.05</v>
      </c>
      <c r="H35" s="85">
        <v>0.1</v>
      </c>
      <c r="I35" s="85">
        <v>0.12</v>
      </c>
      <c r="J35" s="85">
        <v>0.17</v>
      </c>
    </row>
    <row r="36" spans="2:10" ht="15.75" customHeight="1">
      <c r="B36" s="29">
        <v>100000</v>
      </c>
      <c r="C36" s="29">
        <v>200000</v>
      </c>
      <c r="D36" s="85">
        <v>-0.25</v>
      </c>
      <c r="E36" s="85">
        <v>-0.15</v>
      </c>
      <c r="F36" s="85">
        <v>-0.05</v>
      </c>
      <c r="G36" s="85">
        <v>0</v>
      </c>
      <c r="H36" s="85">
        <v>0.03</v>
      </c>
      <c r="I36" s="85">
        <v>0.05</v>
      </c>
      <c r="J36" s="85">
        <v>0.09</v>
      </c>
    </row>
    <row r="37" spans="2:10" ht="15.75" customHeight="1">
      <c r="B37" s="180">
        <v>200000</v>
      </c>
      <c r="C37" s="180"/>
      <c r="D37" s="86">
        <v>-0.35</v>
      </c>
      <c r="E37" s="86">
        <v>-0.25</v>
      </c>
      <c r="F37" s="86">
        <v>-0.1</v>
      </c>
      <c r="G37" s="86">
        <v>-0.05</v>
      </c>
      <c r="H37" s="86">
        <v>0</v>
      </c>
      <c r="I37" s="86">
        <v>0</v>
      </c>
      <c r="J37" s="86">
        <v>0.05</v>
      </c>
    </row>
    <row r="38" spans="2:10">
      <c r="B38" s="62"/>
      <c r="D38"/>
    </row>
    <row r="43" spans="2:10" s="62" customFormat="1"/>
    <row r="44" spans="2:10" s="62" customFormat="1"/>
  </sheetData>
  <mergeCells count="4">
    <mergeCell ref="B4:C4"/>
    <mergeCell ref="B26:B27"/>
    <mergeCell ref="C26:C27"/>
    <mergeCell ref="B22:J2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K25"/>
  <sheetViews>
    <sheetView topLeftCell="C4" zoomScale="85" zoomScaleNormal="85" workbookViewId="0">
      <selection activeCell="H28" sqref="H28"/>
    </sheetView>
  </sheetViews>
  <sheetFormatPr defaultRowHeight="15"/>
  <cols>
    <col min="1" max="2" width="9.140625" style="218"/>
    <col min="3" max="3" width="26.28515625" style="218" customWidth="1"/>
    <col min="4" max="4" width="27.140625" style="218" customWidth="1"/>
    <col min="5" max="5" width="20.5703125" style="218" customWidth="1"/>
    <col min="6" max="6" width="18.85546875" style="218" customWidth="1"/>
    <col min="7" max="7" width="19.7109375" style="218" customWidth="1"/>
    <col min="8" max="8" width="40.140625" style="218" customWidth="1"/>
    <col min="9" max="9" width="38.140625" style="218" customWidth="1"/>
    <col min="10" max="16384" width="9.140625" style="218"/>
  </cols>
  <sheetData>
    <row r="3" spans="3:11">
      <c r="F3" s="219"/>
      <c r="G3" s="219"/>
    </row>
    <row r="4" spans="3:11">
      <c r="C4" s="339" t="s">
        <v>741</v>
      </c>
      <c r="D4" s="339"/>
      <c r="E4" s="339"/>
      <c r="F4" s="340"/>
      <c r="G4" s="340"/>
      <c r="H4" s="340"/>
      <c r="I4" s="340"/>
    </row>
    <row r="5" spans="3:11">
      <c r="C5" s="299" t="s">
        <v>15</v>
      </c>
      <c r="D5" s="299" t="s">
        <v>16</v>
      </c>
      <c r="E5" s="299" t="s">
        <v>42</v>
      </c>
      <c r="F5" s="300" t="s">
        <v>725</v>
      </c>
      <c r="G5" s="300" t="s">
        <v>726</v>
      </c>
      <c r="H5" s="300" t="s">
        <v>20</v>
      </c>
      <c r="I5" s="300" t="s">
        <v>17</v>
      </c>
    </row>
    <row r="6" spans="3:11">
      <c r="C6" s="300" t="s">
        <v>727</v>
      </c>
      <c r="D6" s="301" t="s">
        <v>728</v>
      </c>
      <c r="E6" s="301" t="s">
        <v>729</v>
      </c>
      <c r="F6" s="300" t="s">
        <v>43</v>
      </c>
      <c r="G6" s="300" t="s">
        <v>730</v>
      </c>
      <c r="H6" s="300" t="s">
        <v>731</v>
      </c>
      <c r="I6" s="300"/>
    </row>
    <row r="7" spans="3:11">
      <c r="C7" s="300" t="s">
        <v>732</v>
      </c>
      <c r="D7" s="300" t="s">
        <v>733</v>
      </c>
      <c r="E7" s="300" t="s">
        <v>732</v>
      </c>
      <c r="F7" s="300" t="s">
        <v>44</v>
      </c>
      <c r="G7" s="300" t="s">
        <v>208</v>
      </c>
      <c r="H7" s="300" t="s">
        <v>734</v>
      </c>
      <c r="I7" s="300"/>
    </row>
    <row r="8" spans="3:11">
      <c r="C8" s="302" t="s">
        <v>420</v>
      </c>
      <c r="D8" s="302" t="s">
        <v>735</v>
      </c>
      <c r="E8" s="302" t="s">
        <v>736</v>
      </c>
      <c r="F8" s="302" t="s">
        <v>36</v>
      </c>
      <c r="G8" s="302"/>
      <c r="H8" s="303">
        <v>43466</v>
      </c>
      <c r="I8" s="304"/>
    </row>
    <row r="9" spans="3:11" ht="27">
      <c r="C9" s="341" t="s">
        <v>737</v>
      </c>
      <c r="D9" s="305" t="s">
        <v>738</v>
      </c>
      <c r="E9" s="305" t="s">
        <v>505</v>
      </c>
      <c r="F9" s="305"/>
      <c r="G9" s="306"/>
      <c r="H9" s="307" t="s">
        <v>752</v>
      </c>
      <c r="I9" s="307" t="s">
        <v>753</v>
      </c>
      <c r="K9" s="90" t="s">
        <v>751</v>
      </c>
    </row>
    <row r="10" spans="3:11">
      <c r="C10" s="341"/>
      <c r="D10" s="308"/>
      <c r="E10" s="308"/>
      <c r="F10" s="308" t="s">
        <v>428</v>
      </c>
      <c r="G10" s="309"/>
      <c r="H10" s="310">
        <v>0</v>
      </c>
      <c r="I10" s="310">
        <v>0</v>
      </c>
      <c r="K10" s="90"/>
    </row>
    <row r="11" spans="3:11">
      <c r="C11" s="341"/>
      <c r="D11" s="308"/>
      <c r="E11" s="308"/>
      <c r="F11" s="309"/>
      <c r="G11" s="309" t="s">
        <v>48</v>
      </c>
      <c r="H11" s="311">
        <v>16.899999999999999</v>
      </c>
      <c r="I11" s="311">
        <v>16.899999999999999</v>
      </c>
    </row>
    <row r="12" spans="3:11">
      <c r="C12" s="342"/>
      <c r="D12" s="305"/>
      <c r="E12" s="305"/>
      <c r="F12" s="312"/>
      <c r="G12" s="312"/>
      <c r="H12" s="313">
        <v>8.4499999999999993</v>
      </c>
      <c r="I12" s="313">
        <v>8.4499999999999993</v>
      </c>
    </row>
    <row r="13" spans="3:11">
      <c r="C13" s="314" t="s">
        <v>128</v>
      </c>
      <c r="D13" s="314"/>
      <c r="E13" s="314"/>
      <c r="F13" s="315"/>
      <c r="G13" s="315"/>
      <c r="H13" s="316">
        <v>0.15</v>
      </c>
      <c r="I13" s="316">
        <v>0.15</v>
      </c>
    </row>
    <row r="14" spans="3:11">
      <c r="F14" s="219"/>
      <c r="G14" s="219"/>
    </row>
    <row r="15" spans="3:11">
      <c r="F15" s="219"/>
      <c r="G15" s="219"/>
    </row>
    <row r="16" spans="3:11">
      <c r="F16" s="219"/>
      <c r="G16" s="219"/>
    </row>
    <row r="17" spans="3:7">
      <c r="C17" s="343" t="s">
        <v>739</v>
      </c>
      <c r="D17" s="343"/>
      <c r="F17" s="219"/>
      <c r="G17" s="219"/>
    </row>
    <row r="18" spans="3:7">
      <c r="C18" s="317" t="s">
        <v>15</v>
      </c>
      <c r="D18" s="318" t="s">
        <v>17</v>
      </c>
      <c r="F18" s="219"/>
      <c r="G18" s="219"/>
    </row>
    <row r="19" spans="3:7">
      <c r="C19" s="238" t="s">
        <v>465</v>
      </c>
      <c r="D19" s="25"/>
      <c r="F19" s="219"/>
      <c r="G19" s="219"/>
    </row>
    <row r="20" spans="3:7">
      <c r="C20" s="238" t="s">
        <v>463</v>
      </c>
      <c r="D20" s="25"/>
      <c r="F20" s="219"/>
      <c r="G20" s="219"/>
    </row>
    <row r="21" spans="3:7">
      <c r="C21" s="264" t="s">
        <v>464</v>
      </c>
      <c r="D21" s="319" t="s">
        <v>740</v>
      </c>
      <c r="F21" s="219"/>
      <c r="G21" s="219"/>
    </row>
    <row r="22" spans="3:7">
      <c r="C22" s="320">
        <v>43282</v>
      </c>
      <c r="D22" s="256">
        <v>10.6</v>
      </c>
      <c r="F22" s="219"/>
      <c r="G22" s="219"/>
    </row>
    <row r="23" spans="3:7">
      <c r="C23" s="321">
        <v>1</v>
      </c>
      <c r="D23" s="204">
        <v>7.6</v>
      </c>
      <c r="F23" s="219"/>
      <c r="G23" s="219"/>
    </row>
    <row r="24" spans="3:7">
      <c r="F24" s="219"/>
      <c r="G24" s="219"/>
    </row>
    <row r="25" spans="3:7">
      <c r="F25" s="219"/>
      <c r="G25" s="219"/>
    </row>
  </sheetData>
  <mergeCells count="3">
    <mergeCell ref="C4:I4"/>
    <mergeCell ref="C9:C12"/>
    <mergeCell ref="C17:D1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6"/>
  <sheetViews>
    <sheetView workbookViewId="0">
      <selection activeCell="E19" sqref="E19"/>
    </sheetView>
  </sheetViews>
  <sheetFormatPr defaultRowHeight="15"/>
  <cols>
    <col min="2" max="2" width="35.7109375" customWidth="1"/>
    <col min="3" max="3" width="69" customWidth="1"/>
  </cols>
  <sheetData>
    <row r="1" spans="2:4" s="101" customFormat="1"/>
    <row r="3" spans="2:4" ht="15.75">
      <c r="B3" s="351" t="s">
        <v>294</v>
      </c>
      <c r="C3" s="351"/>
    </row>
    <row r="4" spans="2:4">
      <c r="B4" s="63" t="s">
        <v>277</v>
      </c>
      <c r="C4" s="64" t="s">
        <v>305</v>
      </c>
    </row>
    <row r="5" spans="2:4">
      <c r="B5" s="126" t="s">
        <v>279</v>
      </c>
      <c r="C5" s="139">
        <v>0.1</v>
      </c>
    </row>
    <row r="6" spans="2:4">
      <c r="B6" s="126" t="s">
        <v>280</v>
      </c>
      <c r="C6" s="139">
        <v>0.05</v>
      </c>
    </row>
    <row r="7" spans="2:4">
      <c r="B7" s="127"/>
      <c r="C7" s="140">
        <v>0</v>
      </c>
    </row>
    <row r="8" spans="2:4">
      <c r="B8" s="101"/>
      <c r="C8" s="101"/>
    </row>
    <row r="9" spans="2:4">
      <c r="B9" s="101"/>
      <c r="C9" s="101"/>
    </row>
    <row r="10" spans="2:4" ht="15.75">
      <c r="B10" s="351" t="s">
        <v>297</v>
      </c>
      <c r="C10" s="351"/>
    </row>
    <row r="11" spans="2:4">
      <c r="B11" s="63" t="s">
        <v>277</v>
      </c>
      <c r="C11" s="64" t="s">
        <v>306</v>
      </c>
    </row>
    <row r="12" spans="2:4">
      <c r="B12" s="126" t="s">
        <v>296</v>
      </c>
      <c r="C12" s="143">
        <v>25</v>
      </c>
    </row>
    <row r="13" spans="2:4">
      <c r="B13" s="127"/>
      <c r="C13" s="144">
        <v>0</v>
      </c>
    </row>
    <row r="15" spans="2:4">
      <c r="D15" s="167"/>
    </row>
    <row r="16" spans="2:4" ht="15.75">
      <c r="B16" s="351" t="s">
        <v>439</v>
      </c>
      <c r="C16" s="351"/>
      <c r="D16" s="167"/>
    </row>
    <row r="17" spans="2:8">
      <c r="B17" s="63" t="s">
        <v>281</v>
      </c>
      <c r="C17" s="64" t="s">
        <v>35</v>
      </c>
      <c r="D17" s="167"/>
    </row>
    <row r="18" spans="2:8" ht="15.75" customHeight="1">
      <c r="B18" s="128">
        <v>1</v>
      </c>
      <c r="C18" s="58">
        <v>1</v>
      </c>
      <c r="D18" s="167"/>
    </row>
    <row r="19" spans="2:8" ht="15.75" customHeight="1">
      <c r="B19" s="128">
        <v>2</v>
      </c>
      <c r="C19" s="58">
        <v>0.9</v>
      </c>
      <c r="D19" s="167"/>
    </row>
    <row r="20" spans="2:8" ht="15.75" customHeight="1">
      <c r="B20" s="128" t="s">
        <v>282</v>
      </c>
      <c r="C20" s="58">
        <v>0.8</v>
      </c>
      <c r="D20" s="167"/>
    </row>
    <row r="21" spans="2:8">
      <c r="B21" s="127"/>
      <c r="C21" s="189">
        <v>1</v>
      </c>
      <c r="D21" s="167"/>
    </row>
    <row r="22" spans="2:8">
      <c r="D22" s="167"/>
    </row>
    <row r="23" spans="2:8">
      <c r="D23" s="167"/>
    </row>
    <row r="24" spans="2:8" ht="15.75">
      <c r="B24" s="384" t="s">
        <v>681</v>
      </c>
      <c r="C24" s="384"/>
      <c r="D24" s="218"/>
      <c r="E24" s="218"/>
      <c r="F24" s="218"/>
      <c r="G24" s="218"/>
      <c r="H24" s="218"/>
    </row>
    <row r="25" spans="2:8">
      <c r="B25" s="33" t="s">
        <v>4</v>
      </c>
      <c r="C25" s="221" t="s">
        <v>5</v>
      </c>
      <c r="D25" s="218"/>
      <c r="E25" s="218"/>
      <c r="F25" s="218"/>
      <c r="G25" s="218"/>
      <c r="H25" s="218"/>
    </row>
    <row r="26" spans="2:8">
      <c r="B26" s="11" t="s">
        <v>563</v>
      </c>
      <c r="C26" s="46" t="s">
        <v>696</v>
      </c>
      <c r="D26" s="218"/>
      <c r="E26" s="90"/>
      <c r="F26" s="218"/>
      <c r="G26" s="218"/>
      <c r="H26" s="218"/>
    </row>
    <row r="27" spans="2:8">
      <c r="B27" s="11" t="s">
        <v>564</v>
      </c>
      <c r="C27" s="46" t="s">
        <v>697</v>
      </c>
      <c r="D27" s="218"/>
      <c r="E27" s="218"/>
      <c r="F27" s="218"/>
      <c r="G27" s="218"/>
      <c r="H27" s="218"/>
    </row>
    <row r="28" spans="2:8">
      <c r="B28" s="244" t="s">
        <v>565</v>
      </c>
      <c r="C28" s="46" t="s">
        <v>698</v>
      </c>
      <c r="D28" s="218"/>
      <c r="E28" s="275"/>
      <c r="F28" s="218"/>
      <c r="G28" s="218"/>
      <c r="H28" s="218"/>
    </row>
    <row r="29" spans="2:8" ht="15" customHeight="1">
      <c r="B29" s="244" t="s">
        <v>566</v>
      </c>
      <c r="C29" s="46" t="s">
        <v>699</v>
      </c>
      <c r="D29" s="218"/>
      <c r="E29" s="90"/>
      <c r="F29" s="218"/>
      <c r="G29" s="218"/>
      <c r="H29" s="218"/>
    </row>
    <row r="30" spans="2:8">
      <c r="B30" s="244" t="s">
        <v>567</v>
      </c>
      <c r="C30" s="46" t="s">
        <v>700</v>
      </c>
      <c r="D30" s="218"/>
      <c r="E30" s="218"/>
      <c r="F30" s="218"/>
      <c r="G30" s="218"/>
      <c r="H30" s="218"/>
    </row>
    <row r="31" spans="2:8">
      <c r="B31" s="11" t="s">
        <v>568</v>
      </c>
      <c r="C31" s="46" t="s">
        <v>664</v>
      </c>
      <c r="D31" s="218"/>
      <c r="E31" s="218"/>
      <c r="F31" s="218"/>
      <c r="G31" s="218"/>
      <c r="H31" s="218"/>
    </row>
    <row r="32" spans="2:8">
      <c r="B32" s="11" t="s">
        <v>569</v>
      </c>
      <c r="C32" s="46" t="s">
        <v>665</v>
      </c>
      <c r="D32" s="218"/>
      <c r="E32" s="218"/>
      <c r="F32" s="218"/>
      <c r="G32" s="218"/>
      <c r="H32" s="218"/>
    </row>
    <row r="33" spans="2:8" ht="27">
      <c r="B33" s="11" t="s">
        <v>570</v>
      </c>
      <c r="C33" s="46" t="s">
        <v>682</v>
      </c>
      <c r="D33" s="218"/>
      <c r="E33" s="218"/>
      <c r="F33" s="218"/>
      <c r="G33" s="218"/>
      <c r="H33" s="218"/>
    </row>
    <row r="34" spans="2:8">
      <c r="B34" s="11" t="s">
        <v>571</v>
      </c>
      <c r="C34" s="46" t="s">
        <v>666</v>
      </c>
      <c r="D34" s="218"/>
      <c r="E34" s="218"/>
      <c r="F34" s="218"/>
      <c r="G34" s="218"/>
      <c r="H34" s="218"/>
    </row>
    <row r="35" spans="2:8" ht="27">
      <c r="B35" s="11" t="s">
        <v>572</v>
      </c>
      <c r="C35" s="46" t="s">
        <v>667</v>
      </c>
      <c r="D35" s="218"/>
      <c r="E35" s="218"/>
      <c r="F35" s="218"/>
      <c r="G35" s="218"/>
      <c r="H35" s="218"/>
    </row>
    <row r="36" spans="2:8">
      <c r="B36" s="249" t="s">
        <v>24</v>
      </c>
      <c r="C36" s="250" t="s">
        <v>593</v>
      </c>
      <c r="D36" s="218"/>
      <c r="E36" s="218"/>
      <c r="F36" s="218"/>
      <c r="G36" s="218"/>
      <c r="H36" s="218"/>
    </row>
    <row r="37" spans="2:8">
      <c r="B37" s="218"/>
      <c r="C37" s="218"/>
      <c r="D37" s="218"/>
      <c r="E37" s="218"/>
      <c r="F37" s="218"/>
      <c r="G37" s="218"/>
      <c r="H37" s="218"/>
    </row>
    <row r="38" spans="2:8">
      <c r="B38" s="218"/>
      <c r="C38" s="218"/>
      <c r="D38" s="218"/>
      <c r="E38" s="218"/>
      <c r="F38" s="218"/>
      <c r="G38" s="218"/>
      <c r="H38" s="218"/>
    </row>
    <row r="39" spans="2:8">
      <c r="B39" s="218"/>
      <c r="C39" s="218"/>
      <c r="D39" s="218"/>
      <c r="E39" s="218"/>
      <c r="F39" s="218"/>
      <c r="G39" s="218"/>
      <c r="H39" s="218"/>
    </row>
    <row r="40" spans="2:8">
      <c r="B40" s="218"/>
      <c r="C40" s="218"/>
      <c r="D40" s="218"/>
      <c r="E40" s="218"/>
      <c r="F40" s="218"/>
      <c r="G40" s="218"/>
      <c r="H40" s="218"/>
    </row>
    <row r="41" spans="2:8" ht="15.75">
      <c r="B41" s="383" t="s">
        <v>683</v>
      </c>
      <c r="C41" s="383"/>
      <c r="D41" s="218"/>
      <c r="E41" s="218"/>
      <c r="F41" s="218"/>
      <c r="G41" s="218"/>
      <c r="H41" s="218"/>
    </row>
    <row r="42" spans="2:8">
      <c r="B42" s="251" t="s">
        <v>684</v>
      </c>
      <c r="C42" s="252" t="s">
        <v>594</v>
      </c>
      <c r="D42" s="218"/>
      <c r="E42" s="218"/>
      <c r="F42" s="218"/>
      <c r="G42" s="218"/>
      <c r="H42" s="218"/>
    </row>
    <row r="43" spans="2:8">
      <c r="B43" s="244" t="s">
        <v>279</v>
      </c>
      <c r="C43" s="271" t="s">
        <v>687</v>
      </c>
      <c r="D43" s="218"/>
      <c r="E43" s="218"/>
      <c r="F43" s="218"/>
      <c r="G43" s="218"/>
      <c r="H43" s="218"/>
    </row>
    <row r="44" spans="2:8">
      <c r="B44" s="11" t="s">
        <v>280</v>
      </c>
      <c r="C44" s="271" t="s">
        <v>686</v>
      </c>
      <c r="D44" s="218"/>
      <c r="E44" s="218"/>
      <c r="F44" s="218"/>
      <c r="G44" s="218"/>
      <c r="H44" s="218"/>
    </row>
    <row r="45" spans="2:8">
      <c r="B45" s="11" t="s">
        <v>296</v>
      </c>
      <c r="C45" s="272" t="s">
        <v>688</v>
      </c>
      <c r="D45" s="218"/>
      <c r="E45" s="218"/>
      <c r="F45" s="218"/>
      <c r="G45" s="218"/>
      <c r="H45" s="218"/>
    </row>
    <row r="46" spans="2:8">
      <c r="B46" s="127"/>
      <c r="C46" s="119" t="s">
        <v>130</v>
      </c>
      <c r="D46" s="218"/>
      <c r="E46" s="90" t="s">
        <v>668</v>
      </c>
      <c r="F46" s="218"/>
      <c r="G46" s="218"/>
      <c r="H46" s="218"/>
    </row>
  </sheetData>
  <mergeCells count="5">
    <mergeCell ref="B41:C41"/>
    <mergeCell ref="B3:C3"/>
    <mergeCell ref="B10:C10"/>
    <mergeCell ref="B16:C16"/>
    <mergeCell ref="B24:C2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5:F58"/>
  <sheetViews>
    <sheetView topLeftCell="A25" zoomScaleNormal="100" workbookViewId="0">
      <selection activeCell="H59" sqref="H59"/>
    </sheetView>
  </sheetViews>
  <sheetFormatPr defaultRowHeight="15"/>
  <cols>
    <col min="1" max="1" width="27.140625" customWidth="1"/>
    <col min="2" max="2" width="16.5703125" customWidth="1"/>
    <col min="3" max="3" width="47.140625" customWidth="1"/>
    <col min="4" max="4" width="26.7109375" customWidth="1"/>
    <col min="5" max="5" width="25.85546875" customWidth="1"/>
    <col min="6" max="6" width="31.140625" customWidth="1"/>
  </cols>
  <sheetData>
    <row r="5" spans="1:6" ht="34.5" customHeight="1">
      <c r="C5" s="48" t="s">
        <v>66</v>
      </c>
      <c r="D5" s="51" t="s">
        <v>57</v>
      </c>
      <c r="E5" s="51" t="s">
        <v>58</v>
      </c>
      <c r="F5" s="71" t="s">
        <v>113</v>
      </c>
    </row>
    <row r="6" spans="1:6" ht="15.75">
      <c r="A6" s="49" t="s">
        <v>62</v>
      </c>
      <c r="C6" s="51" t="s">
        <v>37</v>
      </c>
      <c r="D6" s="47" t="s">
        <v>61</v>
      </c>
      <c r="E6" s="47" t="s">
        <v>61</v>
      </c>
      <c r="F6" s="47" t="s">
        <v>61</v>
      </c>
    </row>
    <row r="7" spans="1:6" ht="15.75">
      <c r="A7" s="49" t="s">
        <v>63</v>
      </c>
      <c r="C7" s="51" t="s">
        <v>59</v>
      </c>
      <c r="D7" s="47" t="s">
        <v>61</v>
      </c>
      <c r="E7" s="47"/>
      <c r="F7" s="47"/>
    </row>
    <row r="8" spans="1:6" ht="15.75">
      <c r="A8" s="49" t="s">
        <v>64</v>
      </c>
      <c r="C8" s="51" t="s">
        <v>51</v>
      </c>
      <c r="D8" s="47" t="s">
        <v>61</v>
      </c>
      <c r="E8" s="47" t="s">
        <v>61</v>
      </c>
      <c r="F8" s="47" t="s">
        <v>61</v>
      </c>
    </row>
    <row r="9" spans="1:6" ht="15.75">
      <c r="A9" s="49" t="s">
        <v>65</v>
      </c>
      <c r="C9" s="51" t="s">
        <v>60</v>
      </c>
      <c r="D9" s="47" t="s">
        <v>61</v>
      </c>
      <c r="E9" s="47" t="s">
        <v>61</v>
      </c>
      <c r="F9" s="47"/>
    </row>
    <row r="17" spans="2:6" ht="31.5">
      <c r="C17" s="48" t="s">
        <v>114</v>
      </c>
      <c r="D17" s="51" t="s">
        <v>57</v>
      </c>
      <c r="E17" s="51" t="s">
        <v>58</v>
      </c>
      <c r="F17" s="71" t="s">
        <v>113</v>
      </c>
    </row>
    <row r="18" spans="2:6" ht="15.75">
      <c r="C18" s="51" t="s">
        <v>115</v>
      </c>
      <c r="D18" s="70" t="s">
        <v>61</v>
      </c>
      <c r="E18" s="70" t="s">
        <v>61</v>
      </c>
      <c r="F18" s="70" t="s">
        <v>61</v>
      </c>
    </row>
    <row r="19" spans="2:6" ht="15.75">
      <c r="C19" s="51" t="s">
        <v>118</v>
      </c>
      <c r="D19" s="70"/>
      <c r="E19" s="70" t="s">
        <v>61</v>
      </c>
      <c r="F19" s="70" t="s">
        <v>61</v>
      </c>
    </row>
    <row r="20" spans="2:6" ht="15.75">
      <c r="C20" s="51" t="s">
        <v>116</v>
      </c>
      <c r="D20" s="70" t="s">
        <v>61</v>
      </c>
      <c r="E20" s="70"/>
      <c r="F20" s="70" t="s">
        <v>61</v>
      </c>
    </row>
    <row r="21" spans="2:6" ht="15.75">
      <c r="C21" s="51" t="s">
        <v>117</v>
      </c>
      <c r="D21" s="70" t="s">
        <v>61</v>
      </c>
      <c r="E21" s="70" t="s">
        <v>61</v>
      </c>
      <c r="F21" s="70" t="s">
        <v>61</v>
      </c>
    </row>
    <row r="23" spans="2:6" s="62" customFormat="1"/>
    <row r="24" spans="2:6" s="62" customFormat="1"/>
    <row r="25" spans="2:6" s="62" customFormat="1"/>
    <row r="26" spans="2:6" s="62" customFormat="1"/>
    <row r="27" spans="2:6" s="62" customFormat="1"/>
    <row r="28" spans="2:6" s="62" customFormat="1">
      <c r="B28" s="385">
        <v>1</v>
      </c>
      <c r="C28" s="72" t="s">
        <v>57</v>
      </c>
      <c r="D28" s="4"/>
      <c r="E28" s="76" t="s">
        <v>135</v>
      </c>
      <c r="F28" s="77" t="s">
        <v>126</v>
      </c>
    </row>
    <row r="29" spans="2:6" s="62" customFormat="1">
      <c r="B29" s="386"/>
      <c r="C29" s="73" t="s">
        <v>58</v>
      </c>
      <c r="D29" s="4"/>
      <c r="E29" s="75"/>
      <c r="F29" s="79"/>
    </row>
    <row r="30" spans="2:6" s="62" customFormat="1">
      <c r="B30" s="387"/>
      <c r="C30" s="74" t="s">
        <v>112</v>
      </c>
      <c r="D30" s="4"/>
      <c r="E30" s="83">
        <v>7</v>
      </c>
      <c r="F30" s="77" t="s">
        <v>127</v>
      </c>
    </row>
    <row r="31" spans="2:6">
      <c r="B31" s="75"/>
      <c r="C31" s="75"/>
      <c r="D31" s="4"/>
      <c r="E31" s="84"/>
      <c r="F31" s="79"/>
    </row>
    <row r="32" spans="2:6">
      <c r="B32" s="76">
        <v>2</v>
      </c>
      <c r="C32" s="77" t="s">
        <v>119</v>
      </c>
      <c r="D32" s="4"/>
      <c r="E32" s="83">
        <v>8</v>
      </c>
      <c r="F32" s="77" t="s">
        <v>128</v>
      </c>
    </row>
    <row r="33" spans="2:6" s="62" customFormat="1">
      <c r="B33" s="78"/>
      <c r="C33" s="79"/>
      <c r="D33" s="4"/>
      <c r="E33" s="75"/>
      <c r="F33" s="75"/>
    </row>
    <row r="34" spans="2:6">
      <c r="B34" s="76">
        <v>3</v>
      </c>
      <c r="C34" s="77" t="s">
        <v>120</v>
      </c>
      <c r="D34" s="4"/>
      <c r="E34" s="83" t="s">
        <v>136</v>
      </c>
      <c r="F34" s="77" t="s">
        <v>129</v>
      </c>
    </row>
    <row r="35" spans="2:6">
      <c r="B35" s="75"/>
      <c r="C35" s="75"/>
      <c r="D35" s="4"/>
      <c r="E35" s="75"/>
      <c r="F35" s="75"/>
    </row>
    <row r="36" spans="2:6">
      <c r="B36" s="76" t="s">
        <v>134</v>
      </c>
      <c r="C36" s="77" t="s">
        <v>121</v>
      </c>
      <c r="D36" s="4"/>
      <c r="E36" s="385">
        <v>10</v>
      </c>
      <c r="F36" s="80" t="s">
        <v>130</v>
      </c>
    </row>
    <row r="37" spans="2:6">
      <c r="B37" s="75"/>
      <c r="C37" s="75"/>
      <c r="D37" s="4"/>
      <c r="E37" s="386"/>
      <c r="F37" s="81" t="s">
        <v>131</v>
      </c>
    </row>
    <row r="38" spans="2:6">
      <c r="B38" s="385">
        <v>5</v>
      </c>
      <c r="C38" s="80" t="s">
        <v>79</v>
      </c>
      <c r="D38" s="4"/>
      <c r="E38" s="387"/>
      <c r="F38" s="82" t="s">
        <v>132</v>
      </c>
    </row>
    <row r="39" spans="2:6">
      <c r="B39" s="386"/>
      <c r="C39" s="81" t="s">
        <v>83</v>
      </c>
      <c r="D39" s="4"/>
      <c r="E39" s="75"/>
      <c r="F39" s="75"/>
    </row>
    <row r="40" spans="2:6">
      <c r="B40" s="386"/>
      <c r="C40" s="81" t="s">
        <v>108</v>
      </c>
      <c r="D40" s="4"/>
      <c r="E40" s="83" t="s">
        <v>137</v>
      </c>
      <c r="F40" s="77" t="s">
        <v>133</v>
      </c>
    </row>
    <row r="41" spans="2:6">
      <c r="B41" s="386"/>
      <c r="C41" s="81" t="s">
        <v>122</v>
      </c>
      <c r="D41" s="4"/>
      <c r="E41" s="4"/>
    </row>
    <row r="42" spans="2:6">
      <c r="B42" s="386"/>
      <c r="C42" s="81" t="s">
        <v>123</v>
      </c>
      <c r="D42" s="4"/>
      <c r="E42" s="4"/>
    </row>
    <row r="43" spans="2:6">
      <c r="B43" s="386"/>
      <c r="C43" s="81" t="s">
        <v>124</v>
      </c>
      <c r="D43" s="4"/>
      <c r="E43" s="4"/>
    </row>
    <row r="44" spans="2:6">
      <c r="B44" s="387"/>
      <c r="C44" s="82" t="s">
        <v>125</v>
      </c>
      <c r="D44" s="4"/>
      <c r="E44" s="4"/>
    </row>
    <row r="45" spans="2:6">
      <c r="B45" s="62"/>
      <c r="C45" s="62"/>
      <c r="D45" s="4"/>
      <c r="E45" s="4"/>
    </row>
    <row r="46" spans="2:6">
      <c r="B46" s="62"/>
      <c r="C46" s="62"/>
      <c r="D46" s="4"/>
      <c r="E46" s="4"/>
    </row>
    <row r="47" spans="2:6">
      <c r="D47" s="4"/>
      <c r="E47" s="4"/>
    </row>
    <row r="48" spans="2:6">
      <c r="D48" s="4"/>
      <c r="E48" s="4"/>
    </row>
    <row r="49" spans="4:5">
      <c r="D49" s="4"/>
      <c r="E49" s="4"/>
    </row>
    <row r="50" spans="4:5">
      <c r="D50" s="4"/>
      <c r="E50" s="4"/>
    </row>
    <row r="51" spans="4:5">
      <c r="D51" s="4"/>
      <c r="E51" s="4"/>
    </row>
    <row r="52" spans="4:5">
      <c r="D52" s="4"/>
      <c r="E52" s="4"/>
    </row>
    <row r="53" spans="4:5">
      <c r="D53" s="4"/>
      <c r="E53" s="4"/>
    </row>
    <row r="54" spans="4:5">
      <c r="D54" s="4"/>
      <c r="E54" s="4"/>
    </row>
    <row r="55" spans="4:5">
      <c r="D55" s="4"/>
      <c r="E55" s="4"/>
    </row>
    <row r="56" spans="4:5">
      <c r="D56" s="4"/>
      <c r="E56" s="4"/>
    </row>
    <row r="57" spans="4:5">
      <c r="D57" s="4"/>
      <c r="E57" s="4"/>
    </row>
    <row r="58" spans="4:5">
      <c r="D58" s="4"/>
      <c r="E58" s="4"/>
    </row>
  </sheetData>
  <mergeCells count="3">
    <mergeCell ref="B28:B30"/>
    <mergeCell ref="B38:B44"/>
    <mergeCell ref="E36:E38"/>
  </mergeCells>
  <pageMargins left="0.7" right="0.7" top="0.75" bottom="0.75" header="0.3" footer="0.3"/>
  <pageSetup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Y281"/>
  <sheetViews>
    <sheetView topLeftCell="A157" workbookViewId="0">
      <selection activeCell="A266" sqref="A266:XFD267"/>
    </sheetView>
  </sheetViews>
  <sheetFormatPr defaultRowHeight="15"/>
  <cols>
    <col min="2" max="2" width="37.42578125" customWidth="1"/>
    <col min="3" max="3" width="102.5703125" customWidth="1"/>
    <col min="4" max="4" width="48.85546875" bestFit="1" customWidth="1"/>
    <col min="5" max="6" width="33.5703125" customWidth="1"/>
  </cols>
  <sheetData>
    <row r="3" spans="2:25" ht="15" customHeight="1"/>
    <row r="4" spans="2:25">
      <c r="B4" s="36"/>
      <c r="C4" s="36"/>
    </row>
    <row r="5" spans="2:25">
      <c r="B5" s="36"/>
      <c r="C5" s="36"/>
    </row>
    <row r="6" spans="2:25">
      <c r="B6" s="363" t="s">
        <v>214</v>
      </c>
      <c r="C6" s="363"/>
      <c r="D6" s="363"/>
      <c r="E6" s="363"/>
    </row>
    <row r="7" spans="2:25" s="101" customFormat="1">
      <c r="B7" s="21" t="s">
        <v>15</v>
      </c>
      <c r="C7" s="20" t="s">
        <v>16</v>
      </c>
      <c r="D7" s="21" t="s">
        <v>42</v>
      </c>
      <c r="E7" s="21" t="s">
        <v>17</v>
      </c>
      <c r="F7"/>
      <c r="R7"/>
      <c r="S7"/>
      <c r="T7"/>
      <c r="U7"/>
      <c r="V7"/>
      <c r="W7"/>
      <c r="X7"/>
      <c r="Y7"/>
    </row>
    <row r="8" spans="2:25">
      <c r="B8" s="21" t="s">
        <v>43</v>
      </c>
      <c r="C8" s="21" t="s">
        <v>39</v>
      </c>
      <c r="D8" s="20" t="s">
        <v>40</v>
      </c>
      <c r="E8" s="21"/>
    </row>
    <row r="9" spans="2:25" ht="15" customHeight="1">
      <c r="B9" s="21" t="s">
        <v>44</v>
      </c>
      <c r="C9" s="21" t="s">
        <v>45</v>
      </c>
      <c r="D9" s="20" t="s">
        <v>46</v>
      </c>
      <c r="E9" s="21"/>
    </row>
    <row r="10" spans="2:25">
      <c r="B10" s="41" t="s">
        <v>36</v>
      </c>
      <c r="C10" s="43" t="s">
        <v>38</v>
      </c>
      <c r="D10" s="42" t="s">
        <v>41</v>
      </c>
      <c r="E10" s="15" t="s">
        <v>35</v>
      </c>
    </row>
    <row r="11" spans="2:25">
      <c r="B11" s="368" t="s">
        <v>37</v>
      </c>
      <c r="C11" s="44">
        <v>-999</v>
      </c>
      <c r="D11" s="44">
        <v>1</v>
      </c>
      <c r="E11" s="37">
        <v>1.05</v>
      </c>
    </row>
    <row r="12" spans="2:25">
      <c r="B12" s="368"/>
      <c r="C12" s="44">
        <v>1</v>
      </c>
      <c r="D12" s="44">
        <v>1.02</v>
      </c>
      <c r="E12" s="37">
        <v>1.07</v>
      </c>
    </row>
    <row r="13" spans="2:25">
      <c r="B13" s="368"/>
      <c r="C13" s="44">
        <v>1.02</v>
      </c>
      <c r="D13" s="44">
        <v>1.04</v>
      </c>
      <c r="E13" s="37">
        <v>1.0900000000000001</v>
      </c>
    </row>
    <row r="14" spans="2:25">
      <c r="B14" s="368"/>
      <c r="C14" s="44">
        <v>1.04</v>
      </c>
      <c r="D14" s="44">
        <v>1.06</v>
      </c>
      <c r="E14" s="37">
        <v>1.1100000000000001</v>
      </c>
    </row>
    <row r="15" spans="2:25">
      <c r="B15" s="368"/>
      <c r="C15" s="44">
        <v>1.06</v>
      </c>
      <c r="D15" s="44">
        <v>1.08</v>
      </c>
      <c r="E15" s="37">
        <v>1.1299999999999999</v>
      </c>
    </row>
    <row r="16" spans="2:25">
      <c r="B16" s="368"/>
      <c r="C16" s="44">
        <v>1.08</v>
      </c>
      <c r="D16" s="44">
        <v>999</v>
      </c>
      <c r="E16" s="37">
        <v>1.1499999999999999</v>
      </c>
    </row>
    <row r="17" spans="2:6">
      <c r="B17" s="39"/>
      <c r="C17" s="39"/>
      <c r="D17" s="39"/>
      <c r="E17" s="40">
        <v>1</v>
      </c>
    </row>
    <row r="20" spans="2:6">
      <c r="B20" s="338" t="s">
        <v>213</v>
      </c>
      <c r="C20" s="338"/>
    </row>
    <row r="21" spans="2:6">
      <c r="B21" s="41" t="s">
        <v>47</v>
      </c>
      <c r="C21" s="15" t="s">
        <v>35</v>
      </c>
    </row>
    <row r="22" spans="2:6">
      <c r="B22" s="29" t="s">
        <v>48</v>
      </c>
      <c r="C22" s="37">
        <v>0.9</v>
      </c>
    </row>
    <row r="23" spans="2:6">
      <c r="B23" s="30" t="s">
        <v>49</v>
      </c>
      <c r="C23" s="38">
        <v>1</v>
      </c>
    </row>
    <row r="27" spans="2:6">
      <c r="B27" s="338" t="s">
        <v>212</v>
      </c>
      <c r="C27" s="338"/>
      <c r="D27" s="338"/>
      <c r="F27" s="36"/>
    </row>
    <row r="28" spans="2:6">
      <c r="B28" s="41" t="s">
        <v>50</v>
      </c>
      <c r="C28" s="41" t="s">
        <v>36</v>
      </c>
      <c r="D28" s="15" t="s">
        <v>35</v>
      </c>
    </row>
    <row r="29" spans="2:6">
      <c r="B29" s="368" t="s">
        <v>188</v>
      </c>
      <c r="C29" s="29" t="s">
        <v>37</v>
      </c>
      <c r="D29" s="37">
        <v>0.95240000000000002</v>
      </c>
    </row>
    <row r="30" spans="2:6">
      <c r="B30" s="389"/>
      <c r="C30" s="30" t="s">
        <v>51</v>
      </c>
      <c r="D30" s="38">
        <v>0.95240000000000002</v>
      </c>
    </row>
    <row r="31" spans="2:6">
      <c r="B31" s="39"/>
      <c r="C31" s="39"/>
      <c r="D31" s="40">
        <v>1</v>
      </c>
    </row>
    <row r="34" spans="2:4">
      <c r="B34" s="12" t="s">
        <v>53</v>
      </c>
    </row>
    <row r="36" spans="2:4">
      <c r="B36" s="338" t="s">
        <v>211</v>
      </c>
      <c r="C36" s="338"/>
    </row>
    <row r="37" spans="2:4">
      <c r="B37" s="41" t="s">
        <v>52</v>
      </c>
      <c r="C37" s="15" t="s">
        <v>35</v>
      </c>
    </row>
    <row r="38" spans="2:4">
      <c r="B38" s="44">
        <v>0</v>
      </c>
      <c r="C38" s="37">
        <v>1.2</v>
      </c>
    </row>
    <row r="39" spans="2:4">
      <c r="B39" s="44">
        <v>1</v>
      </c>
      <c r="C39" s="37">
        <v>1.1499999999999999</v>
      </c>
    </row>
    <row r="40" spans="2:4">
      <c r="B40" s="44">
        <v>2</v>
      </c>
      <c r="C40" s="37">
        <v>1.1000000000000001</v>
      </c>
    </row>
    <row r="41" spans="2:4">
      <c r="B41" s="44">
        <v>3</v>
      </c>
      <c r="C41" s="37">
        <v>1.05</v>
      </c>
    </row>
    <row r="42" spans="2:4">
      <c r="B42" s="45" t="s">
        <v>54</v>
      </c>
      <c r="C42" s="38">
        <v>1</v>
      </c>
    </row>
    <row r="44" spans="2:4">
      <c r="C44" s="62" t="s">
        <v>187</v>
      </c>
    </row>
    <row r="45" spans="2:4">
      <c r="B45" t="s">
        <v>184</v>
      </c>
      <c r="C45" s="99">
        <v>3</v>
      </c>
      <c r="D45" s="99">
        <v>1.05</v>
      </c>
    </row>
    <row r="46" spans="2:4">
      <c r="B46" t="s">
        <v>185</v>
      </c>
      <c r="C46" s="99">
        <v>4</v>
      </c>
      <c r="D46" s="99">
        <v>1</v>
      </c>
    </row>
    <row r="47" spans="2:4">
      <c r="B47" t="s">
        <v>186</v>
      </c>
      <c r="C47" s="99">
        <v>1</v>
      </c>
      <c r="D47" s="99">
        <v>1.1499999999999999</v>
      </c>
    </row>
    <row r="51" spans="2:3">
      <c r="B51" s="338" t="s">
        <v>283</v>
      </c>
      <c r="C51" s="338"/>
    </row>
    <row r="52" spans="2:3">
      <c r="B52" s="22" t="s">
        <v>33</v>
      </c>
      <c r="C52" s="15" t="s">
        <v>35</v>
      </c>
    </row>
    <row r="53" spans="2:3">
      <c r="B53" s="29" t="s">
        <v>34</v>
      </c>
      <c r="C53" s="37">
        <v>1</v>
      </c>
    </row>
    <row r="54" spans="2:3">
      <c r="B54" s="29">
        <v>45</v>
      </c>
      <c r="C54" s="37">
        <v>1.1000000000000001</v>
      </c>
    </row>
    <row r="55" spans="2:3">
      <c r="B55" s="29">
        <v>46</v>
      </c>
      <c r="C55" s="37">
        <v>1.1000000000000001</v>
      </c>
    </row>
    <row r="56" spans="2:3">
      <c r="B56" s="29">
        <v>47</v>
      </c>
      <c r="C56" s="37">
        <v>1.1000000000000001</v>
      </c>
    </row>
    <row r="57" spans="2:3">
      <c r="B57" s="29">
        <v>48</v>
      </c>
      <c r="C57" s="37">
        <v>1.1000000000000001</v>
      </c>
    </row>
    <row r="58" spans="2:3">
      <c r="B58" s="29">
        <v>49</v>
      </c>
      <c r="C58" s="37">
        <v>1.1000000000000001</v>
      </c>
    </row>
    <row r="59" spans="2:3">
      <c r="B59" s="29">
        <v>50</v>
      </c>
      <c r="C59" s="37">
        <v>1.1000000000000001</v>
      </c>
    </row>
    <row r="60" spans="2:3">
      <c r="B60" s="29">
        <v>51</v>
      </c>
      <c r="C60" s="37">
        <v>1.1000000000000001</v>
      </c>
    </row>
    <row r="61" spans="2:3">
      <c r="B61" s="29">
        <v>52</v>
      </c>
      <c r="C61" s="37">
        <v>1.1000000000000001</v>
      </c>
    </row>
    <row r="62" spans="2:3">
      <c r="B62" s="29">
        <v>53</v>
      </c>
      <c r="C62" s="37">
        <v>1.1000000000000001</v>
      </c>
    </row>
    <row r="63" spans="2:3">
      <c r="B63" s="29">
        <v>54</v>
      </c>
      <c r="C63" s="37">
        <v>1.1000000000000001</v>
      </c>
    </row>
    <row r="64" spans="2:3">
      <c r="B64" s="29">
        <v>55</v>
      </c>
      <c r="C64" s="37">
        <v>1.1000000000000001</v>
      </c>
    </row>
    <row r="65" spans="2:3">
      <c r="B65" s="29">
        <v>56</v>
      </c>
      <c r="C65" s="37">
        <v>1.2</v>
      </c>
    </row>
    <row r="66" spans="2:3">
      <c r="B66" s="29">
        <v>57</v>
      </c>
      <c r="C66" s="37">
        <v>1.2</v>
      </c>
    </row>
    <row r="67" spans="2:3">
      <c r="B67" s="29">
        <v>58</v>
      </c>
      <c r="C67" s="37">
        <v>1.2</v>
      </c>
    </row>
    <row r="68" spans="2:3">
      <c r="B68" s="29">
        <v>59</v>
      </c>
      <c r="C68" s="37">
        <v>1.2</v>
      </c>
    </row>
    <row r="69" spans="2:3">
      <c r="B69" s="29">
        <v>60</v>
      </c>
      <c r="C69" s="37">
        <v>1.2</v>
      </c>
    </row>
    <row r="70" spans="2:3">
      <c r="B70" s="29">
        <v>61</v>
      </c>
      <c r="C70" s="37">
        <v>1.2</v>
      </c>
    </row>
    <row r="71" spans="2:3">
      <c r="B71" s="29">
        <v>62</v>
      </c>
      <c r="C71" s="37">
        <v>1.2</v>
      </c>
    </row>
    <row r="72" spans="2:3">
      <c r="B72" s="29">
        <v>63</v>
      </c>
      <c r="C72" s="37">
        <v>1.2</v>
      </c>
    </row>
    <row r="73" spans="2:3">
      <c r="B73" s="29">
        <v>64</v>
      </c>
      <c r="C73" s="37">
        <v>1.2</v>
      </c>
    </row>
    <row r="74" spans="2:3">
      <c r="B74" s="29">
        <v>65</v>
      </c>
      <c r="C74" s="37">
        <v>1.2</v>
      </c>
    </row>
    <row r="75" spans="2:3">
      <c r="B75" s="29">
        <v>66</v>
      </c>
      <c r="C75" s="37">
        <v>1.2</v>
      </c>
    </row>
    <row r="76" spans="2:3">
      <c r="B76" s="29">
        <v>67</v>
      </c>
      <c r="C76" s="37">
        <v>1.2</v>
      </c>
    </row>
    <row r="77" spans="2:3">
      <c r="B77" s="29">
        <v>68</v>
      </c>
      <c r="C77" s="37">
        <v>1.3</v>
      </c>
    </row>
    <row r="78" spans="2:3">
      <c r="B78" s="29">
        <v>69</v>
      </c>
      <c r="C78" s="37">
        <v>1.3</v>
      </c>
    </row>
    <row r="79" spans="2:3">
      <c r="B79" s="29">
        <v>70</v>
      </c>
      <c r="C79" s="37">
        <v>1.3</v>
      </c>
    </row>
    <row r="80" spans="2:3">
      <c r="B80" s="29">
        <v>71</v>
      </c>
      <c r="C80" s="37">
        <v>1.3</v>
      </c>
    </row>
    <row r="81" spans="2:3">
      <c r="B81" s="29">
        <v>72</v>
      </c>
      <c r="C81" s="37">
        <v>1.3</v>
      </c>
    </row>
    <row r="82" spans="2:3">
      <c r="B82" s="29">
        <v>73</v>
      </c>
      <c r="C82" s="37">
        <v>1.3</v>
      </c>
    </row>
    <row r="83" spans="2:3">
      <c r="B83" s="29">
        <v>74</v>
      </c>
      <c r="C83" s="37">
        <v>1.3</v>
      </c>
    </row>
    <row r="84" spans="2:3">
      <c r="B84" s="29">
        <v>75</v>
      </c>
      <c r="C84" s="37">
        <v>1.3</v>
      </c>
    </row>
    <row r="85" spans="2:3">
      <c r="B85" s="29">
        <v>76</v>
      </c>
      <c r="C85" s="37">
        <v>1.3</v>
      </c>
    </row>
    <row r="86" spans="2:3">
      <c r="B86" s="29">
        <v>77</v>
      </c>
      <c r="C86" s="37">
        <v>1.3</v>
      </c>
    </row>
    <row r="87" spans="2:3">
      <c r="B87" s="29">
        <v>78</v>
      </c>
      <c r="C87" s="37">
        <v>1.4</v>
      </c>
    </row>
    <row r="88" spans="2:3">
      <c r="B88" s="29">
        <v>79</v>
      </c>
      <c r="C88" s="37">
        <v>1.4</v>
      </c>
    </row>
    <row r="89" spans="2:3">
      <c r="B89" s="29">
        <v>80</v>
      </c>
      <c r="C89" s="37">
        <v>1.4</v>
      </c>
    </row>
    <row r="90" spans="2:3">
      <c r="B90" s="29">
        <v>81</v>
      </c>
      <c r="C90" s="37">
        <v>1.4</v>
      </c>
    </row>
    <row r="91" spans="2:3">
      <c r="B91" s="29">
        <v>82</v>
      </c>
      <c r="C91" s="37">
        <v>1.4</v>
      </c>
    </row>
    <row r="92" spans="2:3">
      <c r="B92" s="29">
        <v>83</v>
      </c>
      <c r="C92" s="37">
        <v>1.4</v>
      </c>
    </row>
    <row r="93" spans="2:3">
      <c r="B93" s="29">
        <v>84</v>
      </c>
      <c r="C93" s="37">
        <v>1.4</v>
      </c>
    </row>
    <row r="94" spans="2:3">
      <c r="B94" s="29">
        <v>85</v>
      </c>
      <c r="C94" s="37">
        <v>1.4</v>
      </c>
    </row>
    <row r="95" spans="2:3">
      <c r="B95" s="29">
        <v>86</v>
      </c>
      <c r="C95" s="37">
        <v>1.4</v>
      </c>
    </row>
    <row r="96" spans="2:3">
      <c r="B96" s="29">
        <v>87</v>
      </c>
      <c r="C96" s="37">
        <v>1.4</v>
      </c>
    </row>
    <row r="97" spans="2:4">
      <c r="B97" s="29">
        <v>88</v>
      </c>
      <c r="C97" s="37">
        <v>1.5</v>
      </c>
    </row>
    <row r="98" spans="2:4">
      <c r="B98" s="29">
        <v>89</v>
      </c>
      <c r="C98" s="37">
        <v>1.5</v>
      </c>
    </row>
    <row r="99" spans="2:4">
      <c r="B99" s="29">
        <v>90</v>
      </c>
      <c r="C99" s="37">
        <v>1.5</v>
      </c>
    </row>
    <row r="100" spans="2:4">
      <c r="B100" s="29">
        <v>91</v>
      </c>
      <c r="C100" s="37">
        <v>1.5</v>
      </c>
    </row>
    <row r="101" spans="2:4">
      <c r="B101" s="29">
        <v>92</v>
      </c>
      <c r="C101" s="37">
        <v>1.5</v>
      </c>
    </row>
    <row r="102" spans="2:4">
      <c r="B102" s="29">
        <v>93</v>
      </c>
      <c r="C102" s="37">
        <v>1.5</v>
      </c>
    </row>
    <row r="103" spans="2:4">
      <c r="B103" s="29">
        <v>94</v>
      </c>
      <c r="C103" s="37">
        <v>1.5</v>
      </c>
    </row>
    <row r="104" spans="2:4">
      <c r="B104" s="29">
        <v>95</v>
      </c>
      <c r="C104" s="37">
        <v>1.6</v>
      </c>
    </row>
    <row r="105" spans="2:4">
      <c r="B105" s="30">
        <v>96</v>
      </c>
      <c r="C105" s="38">
        <v>2</v>
      </c>
    </row>
    <row r="106" spans="2:4">
      <c r="B106" s="39"/>
      <c r="C106" s="40">
        <v>1</v>
      </c>
    </row>
    <row r="110" spans="2:4" ht="15.75">
      <c r="B110" s="351" t="s">
        <v>285</v>
      </c>
      <c r="C110" s="351"/>
      <c r="D110" s="351"/>
    </row>
    <row r="111" spans="2:4">
      <c r="B111" s="63" t="s">
        <v>196</v>
      </c>
      <c r="C111" s="63" t="s">
        <v>33</v>
      </c>
      <c r="D111" s="64" t="s">
        <v>86</v>
      </c>
    </row>
    <row r="112" spans="2:4">
      <c r="B112" s="65">
        <v>1</v>
      </c>
      <c r="C112" s="129" t="s">
        <v>284</v>
      </c>
      <c r="D112" s="58">
        <v>1</v>
      </c>
    </row>
    <row r="113" spans="2:6">
      <c r="B113" s="109"/>
      <c r="C113" s="109"/>
      <c r="D113" s="120">
        <v>1</v>
      </c>
    </row>
    <row r="116" spans="2:6" ht="30.75" customHeight="1">
      <c r="B116" s="338" t="s">
        <v>290</v>
      </c>
      <c r="C116" s="338"/>
    </row>
    <row r="117" spans="2:6">
      <c r="B117" s="21" t="s">
        <v>15</v>
      </c>
      <c r="C117" s="21" t="s">
        <v>17</v>
      </c>
    </row>
    <row r="118" spans="2:6">
      <c r="B118" s="21" t="s">
        <v>43</v>
      </c>
      <c r="C118" s="21"/>
    </row>
    <row r="119" spans="2:6">
      <c r="B119" s="21" t="s">
        <v>44</v>
      </c>
      <c r="C119" s="21"/>
    </row>
    <row r="120" spans="2:6">
      <c r="B120" s="92" t="s">
        <v>170</v>
      </c>
      <c r="C120" s="96" t="s">
        <v>172</v>
      </c>
    </row>
    <row r="121" spans="2:6">
      <c r="B121" s="93" t="s">
        <v>37</v>
      </c>
      <c r="C121" s="68" t="s">
        <v>171</v>
      </c>
    </row>
    <row r="122" spans="2:6">
      <c r="B122" s="94" t="s">
        <v>59</v>
      </c>
      <c r="C122" s="68" t="s">
        <v>173</v>
      </c>
    </row>
    <row r="123" spans="2:6">
      <c r="B123" s="94" t="s">
        <v>51</v>
      </c>
      <c r="C123" s="68" t="s">
        <v>174</v>
      </c>
    </row>
    <row r="124" spans="2:6">
      <c r="B124" s="95" t="s">
        <v>60</v>
      </c>
      <c r="C124" s="69" t="s">
        <v>175</v>
      </c>
    </row>
    <row r="127" spans="2:6">
      <c r="B127" s="97" t="s">
        <v>182</v>
      </c>
      <c r="C127" s="3"/>
    </row>
    <row r="128" spans="2:6">
      <c r="B128" s="3"/>
      <c r="C128" s="3"/>
      <c r="F128" s="101"/>
    </row>
    <row r="129" spans="2:6" ht="29.25">
      <c r="B129" s="121" t="s">
        <v>179</v>
      </c>
      <c r="C129" s="121"/>
    </row>
    <row r="130" spans="2:6">
      <c r="B130" s="21" t="s">
        <v>15</v>
      </c>
      <c r="C130" s="21" t="s">
        <v>17</v>
      </c>
    </row>
    <row r="131" spans="2:6" ht="15" customHeight="1">
      <c r="B131" s="21" t="s">
        <v>43</v>
      </c>
      <c r="C131" s="21"/>
      <c r="F131" s="101"/>
    </row>
    <row r="132" spans="2:6">
      <c r="B132" s="21" t="s">
        <v>44</v>
      </c>
      <c r="C132" s="21"/>
    </row>
    <row r="133" spans="2:6">
      <c r="B133" s="92" t="s">
        <v>170</v>
      </c>
      <c r="C133" s="96" t="s">
        <v>172</v>
      </c>
    </row>
    <row r="134" spans="2:6">
      <c r="B134" s="93" t="s">
        <v>37</v>
      </c>
      <c r="C134" s="68" t="s">
        <v>181</v>
      </c>
    </row>
    <row r="135" spans="2:6">
      <c r="B135" s="94" t="s">
        <v>59</v>
      </c>
      <c r="C135" s="68" t="s">
        <v>2</v>
      </c>
    </row>
    <row r="136" spans="2:6">
      <c r="B136" s="94" t="s">
        <v>51</v>
      </c>
      <c r="C136" s="68" t="s">
        <v>181</v>
      </c>
    </row>
    <row r="137" spans="2:6">
      <c r="B137" s="95" t="s">
        <v>60</v>
      </c>
      <c r="C137" s="69" t="s">
        <v>180</v>
      </c>
    </row>
    <row r="141" spans="2:6" ht="15.75">
      <c r="B141" s="390" t="s">
        <v>224</v>
      </c>
      <c r="C141" s="390"/>
    </row>
    <row r="142" spans="2:6">
      <c r="B142" s="63" t="s">
        <v>85</v>
      </c>
      <c r="C142" s="64" t="s">
        <v>86</v>
      </c>
    </row>
    <row r="143" spans="2:6" ht="15" customHeight="1">
      <c r="B143" s="65" t="s">
        <v>87</v>
      </c>
      <c r="C143" s="58">
        <v>-0.05</v>
      </c>
    </row>
    <row r="144" spans="2:6">
      <c r="B144" s="65" t="s">
        <v>88</v>
      </c>
      <c r="C144" s="58">
        <v>-0.1</v>
      </c>
    </row>
    <row r="145" spans="2:3">
      <c r="B145" s="65" t="s">
        <v>89</v>
      </c>
      <c r="C145" s="58">
        <v>0.05</v>
      </c>
    </row>
    <row r="146" spans="2:3">
      <c r="B146" s="65" t="s">
        <v>90</v>
      </c>
      <c r="C146" s="58">
        <v>-0.08</v>
      </c>
    </row>
    <row r="147" spans="2:3">
      <c r="B147" s="65" t="s">
        <v>91</v>
      </c>
      <c r="C147" s="58">
        <v>0.05</v>
      </c>
    </row>
    <row r="148" spans="2:3">
      <c r="B148" s="65" t="s">
        <v>92</v>
      </c>
      <c r="C148" s="58">
        <v>-0.05</v>
      </c>
    </row>
    <row r="149" spans="2:3">
      <c r="B149" s="65" t="s">
        <v>93</v>
      </c>
      <c r="C149" s="58">
        <v>0.1</v>
      </c>
    </row>
    <row r="150" spans="2:3">
      <c r="B150" s="65" t="s">
        <v>94</v>
      </c>
      <c r="C150" s="58">
        <v>-0.2</v>
      </c>
    </row>
    <row r="151" spans="2:3">
      <c r="B151" s="65" t="s">
        <v>95</v>
      </c>
      <c r="C151" s="58">
        <v>-0.15</v>
      </c>
    </row>
    <row r="152" spans="2:3">
      <c r="B152" s="65" t="s">
        <v>96</v>
      </c>
      <c r="C152" s="58">
        <v>0.1</v>
      </c>
    </row>
    <row r="153" spans="2:3">
      <c r="B153" s="65" t="s">
        <v>97</v>
      </c>
      <c r="C153" s="58">
        <v>-0.1</v>
      </c>
    </row>
    <row r="154" spans="2:3">
      <c r="B154" s="65" t="s">
        <v>98</v>
      </c>
      <c r="C154" s="58">
        <v>0.05</v>
      </c>
    </row>
    <row r="155" spans="2:3">
      <c r="B155" s="65" t="s">
        <v>99</v>
      </c>
      <c r="C155" s="58">
        <v>-0.26</v>
      </c>
    </row>
    <row r="156" spans="2:3">
      <c r="B156" s="65" t="s">
        <v>100</v>
      </c>
      <c r="C156" s="58">
        <v>-0.1</v>
      </c>
    </row>
    <row r="157" spans="2:3">
      <c r="B157" s="65" t="s">
        <v>101</v>
      </c>
      <c r="C157" s="58">
        <v>0.05</v>
      </c>
    </row>
    <row r="158" spans="2:3">
      <c r="B158" s="65" t="s">
        <v>102</v>
      </c>
      <c r="C158" s="58">
        <v>-0.08</v>
      </c>
    </row>
    <row r="159" spans="2:3" ht="15" customHeight="1">
      <c r="B159" s="65" t="s">
        <v>103</v>
      </c>
      <c r="C159" s="58">
        <v>-0.2</v>
      </c>
    </row>
    <row r="160" spans="2:3">
      <c r="B160" s="65" t="s">
        <v>104</v>
      </c>
      <c r="C160" s="58">
        <v>0.1</v>
      </c>
    </row>
    <row r="161" spans="2:3">
      <c r="B161" s="65" t="s">
        <v>105</v>
      </c>
      <c r="C161" s="58">
        <v>-0.2</v>
      </c>
    </row>
    <row r="162" spans="2:3">
      <c r="B162" s="65" t="s">
        <v>105</v>
      </c>
      <c r="C162" s="58">
        <v>-0.1</v>
      </c>
    </row>
    <row r="163" spans="2:3">
      <c r="B163" s="65" t="s">
        <v>106</v>
      </c>
      <c r="C163" s="58">
        <v>-0.1</v>
      </c>
    </row>
    <row r="164" spans="2:3">
      <c r="B164" s="66" t="s">
        <v>107</v>
      </c>
      <c r="C164" s="60">
        <v>0.05</v>
      </c>
    </row>
    <row r="165" spans="2:3">
      <c r="B165" s="61"/>
      <c r="C165" s="59">
        <v>0</v>
      </c>
    </row>
    <row r="167" spans="2:3" s="101" customFormat="1"/>
    <row r="168" spans="2:3">
      <c r="B168" s="363" t="s">
        <v>209</v>
      </c>
      <c r="C168" s="363"/>
    </row>
    <row r="169" spans="2:3" ht="15" customHeight="1">
      <c r="B169" s="102" t="s">
        <v>198</v>
      </c>
      <c r="C169" s="15" t="s">
        <v>35</v>
      </c>
    </row>
    <row r="170" spans="2:3">
      <c r="B170" s="136">
        <v>1</v>
      </c>
      <c r="C170" s="106">
        <v>0.75</v>
      </c>
    </row>
    <row r="171" spans="2:3">
      <c r="B171" s="105">
        <v>2</v>
      </c>
      <c r="C171" s="107">
        <v>0.8125</v>
      </c>
    </row>
    <row r="172" spans="2:3">
      <c r="B172" s="105">
        <v>3</v>
      </c>
      <c r="C172" s="107">
        <v>0.875</v>
      </c>
    </row>
    <row r="173" spans="2:3">
      <c r="B173" s="105">
        <v>4</v>
      </c>
      <c r="C173" s="107">
        <v>0.9375</v>
      </c>
    </row>
    <row r="174" spans="2:3">
      <c r="B174" s="137">
        <v>5</v>
      </c>
      <c r="C174" s="108">
        <v>1</v>
      </c>
    </row>
    <row r="177" spans="2:3" ht="15.75">
      <c r="B177" s="390" t="s">
        <v>224</v>
      </c>
      <c r="C177" s="390"/>
    </row>
    <row r="178" spans="2:3">
      <c r="B178" s="63" t="s">
        <v>85</v>
      </c>
      <c r="C178" s="64" t="s">
        <v>86</v>
      </c>
    </row>
    <row r="179" spans="2:3">
      <c r="B179" s="65" t="s">
        <v>88</v>
      </c>
      <c r="C179" s="58">
        <v>-15</v>
      </c>
    </row>
    <row r="180" spans="2:3">
      <c r="B180" s="65" t="s">
        <v>92</v>
      </c>
      <c r="C180" s="58">
        <v>-5</v>
      </c>
    </row>
    <row r="181" spans="2:3">
      <c r="B181" s="65" t="s">
        <v>98</v>
      </c>
      <c r="C181" s="58">
        <v>5</v>
      </c>
    </row>
    <row r="182" spans="2:3">
      <c r="B182" s="118" t="s">
        <v>99</v>
      </c>
      <c r="C182" s="119">
        <v>-24</v>
      </c>
    </row>
    <row r="183" spans="2:3" ht="15" customHeight="1">
      <c r="B183" s="109"/>
      <c r="C183" s="120">
        <v>0</v>
      </c>
    </row>
    <row r="184" spans="2:3" ht="15" customHeight="1">
      <c r="B184" s="101"/>
      <c r="C184" s="101"/>
    </row>
    <row r="187" spans="2:3" ht="15.75">
      <c r="B187" s="337" t="s">
        <v>419</v>
      </c>
      <c r="C187" s="337"/>
    </row>
    <row r="188" spans="2:3">
      <c r="B188" s="5" t="s">
        <v>4</v>
      </c>
      <c r="C188" s="6" t="s">
        <v>5</v>
      </c>
    </row>
    <row r="189" spans="2:3">
      <c r="B189" s="7" t="s">
        <v>6</v>
      </c>
      <c r="C189" s="8" t="s">
        <v>7</v>
      </c>
    </row>
    <row r="190" spans="2:3">
      <c r="B190" s="7" t="s">
        <v>223</v>
      </c>
      <c r="C190" s="8" t="s">
        <v>222</v>
      </c>
    </row>
    <row r="191" spans="2:3">
      <c r="B191" s="141" t="s">
        <v>203</v>
      </c>
      <c r="C191" s="142" t="s">
        <v>300</v>
      </c>
    </row>
    <row r="192" spans="2:3">
      <c r="B192" s="7" t="s">
        <v>226</v>
      </c>
      <c r="C192" s="142" t="s">
        <v>301</v>
      </c>
    </row>
    <row r="193" spans="2:3" s="101" customFormat="1">
      <c r="B193" s="7" t="s">
        <v>218</v>
      </c>
      <c r="C193" s="142" t="s">
        <v>302</v>
      </c>
    </row>
    <row r="194" spans="2:3" s="101" customFormat="1">
      <c r="B194" s="116" t="s">
        <v>219</v>
      </c>
      <c r="C194" s="117" t="s">
        <v>225</v>
      </c>
    </row>
    <row r="195" spans="2:3" s="101" customFormat="1">
      <c r="B195" s="7" t="s">
        <v>127</v>
      </c>
      <c r="C195" s="8" t="s">
        <v>292</v>
      </c>
    </row>
    <row r="196" spans="2:3">
      <c r="B196" s="7" t="s">
        <v>128</v>
      </c>
      <c r="C196" s="142" t="s">
        <v>303</v>
      </c>
    </row>
    <row r="197" spans="2:3">
      <c r="B197" s="7" t="s">
        <v>228</v>
      </c>
      <c r="C197" s="142" t="s">
        <v>304</v>
      </c>
    </row>
    <row r="198" spans="2:3">
      <c r="B198" s="141" t="s">
        <v>295</v>
      </c>
      <c r="C198" s="142" t="s">
        <v>307</v>
      </c>
    </row>
    <row r="199" spans="2:3">
      <c r="B199" s="141" t="s">
        <v>299</v>
      </c>
      <c r="C199" s="142" t="s">
        <v>298</v>
      </c>
    </row>
    <row r="200" spans="2:3">
      <c r="B200" s="141" t="s">
        <v>334</v>
      </c>
      <c r="C200" s="142" t="s">
        <v>335</v>
      </c>
    </row>
    <row r="201" spans="2:3">
      <c r="B201" s="141" t="s">
        <v>333</v>
      </c>
      <c r="C201" s="142" t="s">
        <v>336</v>
      </c>
    </row>
    <row r="202" spans="2:3">
      <c r="B202" s="141" t="s">
        <v>337</v>
      </c>
      <c r="C202" s="142" t="s">
        <v>338</v>
      </c>
    </row>
    <row r="203" spans="2:3">
      <c r="B203" s="7" t="s">
        <v>229</v>
      </c>
      <c r="C203" s="8" t="s">
        <v>230</v>
      </c>
    </row>
    <row r="204" spans="2:3">
      <c r="B204" s="7" t="s">
        <v>231</v>
      </c>
      <c r="C204" s="8" t="s">
        <v>232</v>
      </c>
    </row>
    <row r="205" spans="2:3">
      <c r="B205" s="7" t="s">
        <v>233</v>
      </c>
      <c r="C205" s="142" t="s">
        <v>416</v>
      </c>
    </row>
    <row r="206" spans="2:3">
      <c r="B206" s="141" t="s">
        <v>339</v>
      </c>
      <c r="C206" s="8" t="s">
        <v>234</v>
      </c>
    </row>
    <row r="207" spans="2:3">
      <c r="B207" s="141" t="s">
        <v>340</v>
      </c>
      <c r="C207" s="142" t="s">
        <v>369</v>
      </c>
    </row>
    <row r="208" spans="2:3">
      <c r="B208" s="141" t="s">
        <v>341</v>
      </c>
      <c r="C208" s="142" t="s">
        <v>346</v>
      </c>
    </row>
    <row r="209" spans="2:3">
      <c r="B209" s="141" t="s">
        <v>342</v>
      </c>
      <c r="C209" s="142" t="s">
        <v>343</v>
      </c>
    </row>
    <row r="210" spans="2:3">
      <c r="B210" s="141" t="s">
        <v>344</v>
      </c>
      <c r="C210" s="142" t="s">
        <v>347</v>
      </c>
    </row>
    <row r="211" spans="2:3">
      <c r="B211" s="141" t="s">
        <v>345</v>
      </c>
      <c r="C211" s="142" t="s">
        <v>370</v>
      </c>
    </row>
    <row r="212" spans="2:3">
      <c r="B212" s="141" t="s">
        <v>348</v>
      </c>
      <c r="C212" s="142" t="s">
        <v>349</v>
      </c>
    </row>
    <row r="213" spans="2:3">
      <c r="B213" s="141" t="s">
        <v>350</v>
      </c>
      <c r="C213" s="142" t="s">
        <v>351</v>
      </c>
    </row>
    <row r="214" spans="2:3">
      <c r="B214" s="141" t="s">
        <v>352</v>
      </c>
      <c r="C214" s="142" t="s">
        <v>353</v>
      </c>
    </row>
    <row r="215" spans="2:3">
      <c r="B215" s="141" t="s">
        <v>354</v>
      </c>
      <c r="C215" s="142" t="s">
        <v>355</v>
      </c>
    </row>
    <row r="216" spans="2:3">
      <c r="B216" s="141" t="s">
        <v>356</v>
      </c>
      <c r="C216" s="142" t="s">
        <v>357</v>
      </c>
    </row>
    <row r="217" spans="2:3">
      <c r="B217" s="122" t="s">
        <v>235</v>
      </c>
      <c r="C217" s="8" t="s">
        <v>236</v>
      </c>
    </row>
    <row r="218" spans="2:3">
      <c r="B218" s="7" t="s">
        <v>237</v>
      </c>
      <c r="C218" s="142" t="s">
        <v>358</v>
      </c>
    </row>
    <row r="219" spans="2:3">
      <c r="B219" s="7" t="s">
        <v>238</v>
      </c>
      <c r="C219" s="8" t="s">
        <v>239</v>
      </c>
    </row>
    <row r="220" spans="2:3">
      <c r="B220" s="7" t="s">
        <v>240</v>
      </c>
      <c r="C220" s="8" t="s">
        <v>241</v>
      </c>
    </row>
    <row r="221" spans="2:3">
      <c r="B221" s="7" t="s">
        <v>242</v>
      </c>
      <c r="C221" s="8" t="s">
        <v>243</v>
      </c>
    </row>
    <row r="222" spans="2:3">
      <c r="B222" s="7" t="s">
        <v>244</v>
      </c>
      <c r="C222" s="8" t="s">
        <v>245</v>
      </c>
    </row>
    <row r="223" spans="2:3">
      <c r="B223" s="7" t="s">
        <v>246</v>
      </c>
      <c r="C223" s="8" t="s">
        <v>247</v>
      </c>
    </row>
    <row r="224" spans="2:3" ht="40.5">
      <c r="B224" s="130" t="s">
        <v>248</v>
      </c>
      <c r="C224" s="132" t="s">
        <v>249</v>
      </c>
    </row>
    <row r="225" spans="2:3">
      <c r="B225" s="7" t="s">
        <v>250</v>
      </c>
      <c r="C225" s="8" t="s">
        <v>251</v>
      </c>
    </row>
    <row r="226" spans="2:3">
      <c r="B226" s="7" t="s">
        <v>252</v>
      </c>
      <c r="C226" s="142" t="s">
        <v>359</v>
      </c>
    </row>
    <row r="227" spans="2:3" ht="40.5">
      <c r="B227" s="130" t="s">
        <v>253</v>
      </c>
      <c r="C227" s="131" t="s">
        <v>254</v>
      </c>
    </row>
    <row r="228" spans="2:3">
      <c r="B228" s="141" t="s">
        <v>360</v>
      </c>
      <c r="C228" s="142" t="s">
        <v>415</v>
      </c>
    </row>
    <row r="229" spans="2:3">
      <c r="B229" s="141" t="s">
        <v>361</v>
      </c>
      <c r="C229" s="142" t="s">
        <v>368</v>
      </c>
    </row>
    <row r="230" spans="2:3">
      <c r="B230" s="141" t="s">
        <v>362</v>
      </c>
      <c r="C230" s="142" t="s">
        <v>363</v>
      </c>
    </row>
    <row r="231" spans="2:3">
      <c r="B231" s="141" t="s">
        <v>364</v>
      </c>
      <c r="C231" s="142" t="s">
        <v>365</v>
      </c>
    </row>
    <row r="232" spans="2:3">
      <c r="B232" s="141" t="s">
        <v>366</v>
      </c>
      <c r="C232" s="142" t="s">
        <v>367</v>
      </c>
    </row>
    <row r="233" spans="2:3">
      <c r="B233" s="141" t="s">
        <v>371</v>
      </c>
      <c r="C233" s="142" t="s">
        <v>372</v>
      </c>
    </row>
    <row r="234" spans="2:3">
      <c r="B234" s="141" t="s">
        <v>373</v>
      </c>
      <c r="C234" s="142" t="s">
        <v>393</v>
      </c>
    </row>
    <row r="235" spans="2:3">
      <c r="B235" s="141" t="s">
        <v>374</v>
      </c>
      <c r="C235" s="142" t="s">
        <v>394</v>
      </c>
    </row>
    <row r="236" spans="2:3">
      <c r="B236" s="141" t="s">
        <v>375</v>
      </c>
      <c r="C236" s="142" t="s">
        <v>376</v>
      </c>
    </row>
    <row r="237" spans="2:3">
      <c r="B237" s="141" t="s">
        <v>377</v>
      </c>
      <c r="C237" s="142" t="s">
        <v>378</v>
      </c>
    </row>
    <row r="238" spans="2:3">
      <c r="B238" s="141" t="s">
        <v>379</v>
      </c>
      <c r="C238" s="142" t="s">
        <v>380</v>
      </c>
    </row>
    <row r="239" spans="2:3">
      <c r="B239" s="141" t="s">
        <v>381</v>
      </c>
      <c r="C239" s="142" t="s">
        <v>391</v>
      </c>
    </row>
    <row r="240" spans="2:3">
      <c r="B240" s="141" t="s">
        <v>382</v>
      </c>
      <c r="C240" s="142" t="s">
        <v>390</v>
      </c>
    </row>
    <row r="241" spans="2:3">
      <c r="B241" s="141" t="s">
        <v>384</v>
      </c>
      <c r="C241" s="142" t="s">
        <v>383</v>
      </c>
    </row>
    <row r="242" spans="2:3">
      <c r="B242" s="141" t="s">
        <v>385</v>
      </c>
      <c r="C242" s="142" t="s">
        <v>386</v>
      </c>
    </row>
    <row r="243" spans="2:3">
      <c r="B243" s="141" t="s">
        <v>387</v>
      </c>
      <c r="C243" s="142" t="s">
        <v>417</v>
      </c>
    </row>
    <row r="244" spans="2:3">
      <c r="B244" s="141" t="s">
        <v>388</v>
      </c>
      <c r="C244" s="142" t="s">
        <v>418</v>
      </c>
    </row>
    <row r="245" spans="2:3">
      <c r="B245" s="156" t="s">
        <v>389</v>
      </c>
      <c r="C245" s="157" t="s">
        <v>392</v>
      </c>
    </row>
    <row r="246" spans="2:3">
      <c r="B246" s="141" t="s">
        <v>395</v>
      </c>
      <c r="C246" s="142" t="s">
        <v>406</v>
      </c>
    </row>
    <row r="247" spans="2:3">
      <c r="B247" s="141" t="s">
        <v>396</v>
      </c>
      <c r="C247" s="142" t="s">
        <v>407</v>
      </c>
    </row>
    <row r="248" spans="2:3">
      <c r="B248" s="141" t="s">
        <v>397</v>
      </c>
      <c r="C248" s="142" t="s">
        <v>408</v>
      </c>
    </row>
    <row r="249" spans="2:3">
      <c r="B249" s="141" t="s">
        <v>398</v>
      </c>
      <c r="C249" s="142" t="s">
        <v>409</v>
      </c>
    </row>
    <row r="250" spans="2:3">
      <c r="B250" s="141" t="s">
        <v>399</v>
      </c>
      <c r="C250" s="142" t="s">
        <v>412</v>
      </c>
    </row>
    <row r="251" spans="2:3">
      <c r="B251" s="141" t="s">
        <v>400</v>
      </c>
      <c r="C251" s="142" t="s">
        <v>413</v>
      </c>
    </row>
    <row r="252" spans="2:3">
      <c r="B252" s="141" t="s">
        <v>401</v>
      </c>
      <c r="C252" s="142" t="s">
        <v>405</v>
      </c>
    </row>
    <row r="253" spans="2:3">
      <c r="B253" s="141" t="s">
        <v>402</v>
      </c>
      <c r="C253" s="142" t="s">
        <v>410</v>
      </c>
    </row>
    <row r="254" spans="2:3">
      <c r="B254" s="141" t="s">
        <v>403</v>
      </c>
      <c r="C254" s="142" t="s">
        <v>414</v>
      </c>
    </row>
    <row r="255" spans="2:3">
      <c r="B255" s="156" t="s">
        <v>404</v>
      </c>
      <c r="C255" s="157" t="s">
        <v>411</v>
      </c>
    </row>
    <row r="258" spans="2:3" ht="15.75">
      <c r="B258" s="351" t="s">
        <v>430</v>
      </c>
      <c r="C258" s="351"/>
    </row>
    <row r="259" spans="2:3">
      <c r="B259" s="63" t="s">
        <v>281</v>
      </c>
      <c r="C259" s="64" t="s">
        <v>35</v>
      </c>
    </row>
    <row r="260" spans="2:3">
      <c r="B260" s="128">
        <v>1</v>
      </c>
      <c r="C260" s="58">
        <v>1</v>
      </c>
    </row>
    <row r="261" spans="2:3">
      <c r="B261" s="128">
        <v>2</v>
      </c>
      <c r="C261" s="58">
        <v>0.9</v>
      </c>
    </row>
    <row r="262" spans="2:3">
      <c r="B262" s="146" t="s">
        <v>282</v>
      </c>
      <c r="C262" s="58">
        <v>0.8</v>
      </c>
    </row>
    <row r="263" spans="2:3">
      <c r="B263" s="127"/>
      <c r="C263" s="145">
        <v>1</v>
      </c>
    </row>
    <row r="264" spans="2:3">
      <c r="B264" s="101"/>
      <c r="C264" s="101"/>
    </row>
    <row r="265" spans="2:3">
      <c r="B265" s="101"/>
      <c r="C265" s="101"/>
    </row>
    <row r="266" spans="2:3" ht="15.75">
      <c r="B266" s="388" t="s">
        <v>432</v>
      </c>
      <c r="C266" s="388"/>
    </row>
    <row r="267" spans="2:3">
      <c r="B267" s="63" t="s">
        <v>85</v>
      </c>
      <c r="C267" s="64" t="s">
        <v>278</v>
      </c>
    </row>
    <row r="268" spans="2:3">
      <c r="B268" s="65" t="s">
        <v>293</v>
      </c>
      <c r="C268" s="58">
        <v>0.1</v>
      </c>
    </row>
    <row r="269" spans="2:3">
      <c r="B269" s="65" t="s">
        <v>88</v>
      </c>
      <c r="C269" s="58">
        <v>0.15</v>
      </c>
    </row>
    <row r="270" spans="2:3">
      <c r="B270" s="65" t="s">
        <v>92</v>
      </c>
      <c r="C270" s="58">
        <v>0.05</v>
      </c>
    </row>
    <row r="271" spans="2:3">
      <c r="B271" s="65" t="s">
        <v>98</v>
      </c>
      <c r="C271" s="58">
        <v>-0.05</v>
      </c>
    </row>
    <row r="272" spans="2:3">
      <c r="B272" s="118" t="s">
        <v>99</v>
      </c>
      <c r="C272" s="119">
        <v>0.24</v>
      </c>
    </row>
    <row r="275" spans="2:3" ht="15.75">
      <c r="B275" s="388" t="s">
        <v>431</v>
      </c>
      <c r="C275" s="388"/>
    </row>
    <row r="276" spans="2:3">
      <c r="B276" s="63" t="s">
        <v>85</v>
      </c>
      <c r="C276" s="64" t="s">
        <v>35</v>
      </c>
    </row>
    <row r="277" spans="2:3">
      <c r="B277" s="65" t="s">
        <v>293</v>
      </c>
      <c r="C277" s="58" t="b">
        <v>0</v>
      </c>
    </row>
    <row r="278" spans="2:3">
      <c r="B278" s="65" t="s">
        <v>88</v>
      </c>
      <c r="C278" s="58" t="b">
        <v>1</v>
      </c>
    </row>
    <row r="279" spans="2:3">
      <c r="B279" s="65" t="s">
        <v>92</v>
      </c>
      <c r="C279" s="58" t="b">
        <v>1</v>
      </c>
    </row>
    <row r="280" spans="2:3">
      <c r="B280" s="65" t="s">
        <v>98</v>
      </c>
      <c r="C280" s="58" t="b">
        <v>1</v>
      </c>
    </row>
    <row r="281" spans="2:3">
      <c r="B281" s="118" t="s">
        <v>99</v>
      </c>
      <c r="C281" s="119" t="b">
        <v>1</v>
      </c>
    </row>
  </sheetData>
  <mergeCells count="16">
    <mergeCell ref="B266:C266"/>
    <mergeCell ref="B275:C275"/>
    <mergeCell ref="B258:C258"/>
    <mergeCell ref="B187:C187"/>
    <mergeCell ref="B6:E6"/>
    <mergeCell ref="B20:C20"/>
    <mergeCell ref="B51:C51"/>
    <mergeCell ref="B29:B30"/>
    <mergeCell ref="B27:D27"/>
    <mergeCell ref="B36:C36"/>
    <mergeCell ref="B11:B16"/>
    <mergeCell ref="B168:C168"/>
    <mergeCell ref="B177:C177"/>
    <mergeCell ref="B116:C116"/>
    <mergeCell ref="B141:C141"/>
    <mergeCell ref="B110:D110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D23"/>
  <sheetViews>
    <sheetView workbookViewId="0">
      <selection activeCell="D7" sqref="D7"/>
    </sheetView>
  </sheetViews>
  <sheetFormatPr defaultRowHeight="15"/>
  <cols>
    <col min="1" max="2" width="9.140625" style="218"/>
    <col min="3" max="3" width="37.85546875" style="218" customWidth="1"/>
    <col min="4" max="4" width="124.85546875" style="218" customWidth="1"/>
    <col min="5" max="16384" width="9.140625" style="218"/>
  </cols>
  <sheetData>
    <row r="4" spans="3:4" ht="15.75">
      <c r="C4" s="391" t="s">
        <v>592</v>
      </c>
      <c r="D4" s="391"/>
    </row>
    <row r="5" spans="3:4">
      <c r="C5" s="392" t="s">
        <v>575</v>
      </c>
      <c r="D5" s="393"/>
    </row>
    <row r="9" spans="3:4" ht="15.75">
      <c r="C9" s="391" t="s">
        <v>576</v>
      </c>
      <c r="D9" s="391"/>
    </row>
    <row r="10" spans="3:4">
      <c r="C10" s="5" t="s">
        <v>4</v>
      </c>
      <c r="D10" s="245" t="s">
        <v>5</v>
      </c>
    </row>
    <row r="11" spans="3:4">
      <c r="C11" s="246" t="s">
        <v>673</v>
      </c>
      <c r="D11" s="212" t="s">
        <v>674</v>
      </c>
    </row>
    <row r="12" spans="3:4">
      <c r="C12" s="246" t="s">
        <v>577</v>
      </c>
      <c r="D12" s="212" t="s">
        <v>675</v>
      </c>
    </row>
    <row r="13" spans="3:4">
      <c r="C13" s="246" t="s">
        <v>578</v>
      </c>
      <c r="D13" s="212" t="s">
        <v>579</v>
      </c>
    </row>
    <row r="14" spans="3:4">
      <c r="C14" s="246" t="s">
        <v>580</v>
      </c>
      <c r="D14" s="212" t="s">
        <v>676</v>
      </c>
    </row>
    <row r="15" spans="3:4">
      <c r="C15" s="246" t="s">
        <v>581</v>
      </c>
      <c r="D15" s="212" t="s">
        <v>677</v>
      </c>
    </row>
    <row r="16" spans="3:4">
      <c r="C16" s="246" t="s">
        <v>582</v>
      </c>
      <c r="D16" s="212" t="s">
        <v>583</v>
      </c>
    </row>
    <row r="17" spans="3:4">
      <c r="C17" s="246" t="s">
        <v>584</v>
      </c>
      <c r="D17" s="212" t="s">
        <v>678</v>
      </c>
    </row>
    <row r="18" spans="3:4">
      <c r="C18" s="246" t="s">
        <v>585</v>
      </c>
      <c r="D18" s="212" t="s">
        <v>679</v>
      </c>
    </row>
    <row r="19" spans="3:4">
      <c r="C19" s="246" t="s">
        <v>586</v>
      </c>
      <c r="D19" s="212" t="s">
        <v>587</v>
      </c>
    </row>
    <row r="20" spans="3:4">
      <c r="C20" s="247" t="s">
        <v>588</v>
      </c>
      <c r="D20" s="117" t="s">
        <v>589</v>
      </c>
    </row>
    <row r="22" spans="3:4" ht="15.75">
      <c r="C22" s="391" t="s">
        <v>662</v>
      </c>
      <c r="D22" s="391"/>
    </row>
    <row r="23" spans="3:4">
      <c r="C23" s="394" t="s">
        <v>663</v>
      </c>
      <c r="D23" s="395"/>
    </row>
  </sheetData>
  <mergeCells count="5">
    <mergeCell ref="C4:D4"/>
    <mergeCell ref="C5:D5"/>
    <mergeCell ref="C9:D9"/>
    <mergeCell ref="C22:D22"/>
    <mergeCell ref="C23:D2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4"/>
  <sheetViews>
    <sheetView workbookViewId="0">
      <selection activeCell="M22" sqref="M22"/>
    </sheetView>
  </sheetViews>
  <sheetFormatPr defaultRowHeight="15"/>
  <cols>
    <col min="3" max="3" width="10.5703125" bestFit="1" customWidth="1"/>
    <col min="4" max="4" width="15.28515625" bestFit="1" customWidth="1"/>
  </cols>
  <sheetData>
    <row r="3" spans="3:4">
      <c r="C3" s="396" t="s">
        <v>0</v>
      </c>
      <c r="D3" s="397"/>
    </row>
    <row r="4" spans="3:4">
      <c r="C4" s="13" t="s">
        <v>1</v>
      </c>
      <c r="D4" s="9" t="s">
        <v>513</v>
      </c>
    </row>
  </sheetData>
  <mergeCells count="1">
    <mergeCell ref="C3:D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abSelected="1" topLeftCell="A10" workbookViewId="0">
      <selection activeCell="C25" sqref="C25"/>
    </sheetView>
  </sheetViews>
  <sheetFormatPr defaultRowHeight="15"/>
  <cols>
    <col min="1" max="1" width="11.85546875" bestFit="1" customWidth="1"/>
    <col min="2" max="2" width="11.28515625" bestFit="1" customWidth="1"/>
    <col min="3" max="3" width="52.5703125" bestFit="1" customWidth="1"/>
    <col min="4" max="4" width="7.85546875" bestFit="1" customWidth="1"/>
  </cols>
  <sheetData>
    <row r="1" spans="1:4">
      <c r="A1" s="200" t="s">
        <v>199</v>
      </c>
      <c r="B1" s="200" t="s">
        <v>200</v>
      </c>
      <c r="C1" s="10" t="s">
        <v>201</v>
      </c>
      <c r="D1" s="200" t="s">
        <v>202</v>
      </c>
    </row>
    <row r="2" spans="1:4">
      <c r="A2" s="277" t="s">
        <v>433</v>
      </c>
      <c r="B2" s="200" t="s">
        <v>227</v>
      </c>
      <c r="C2" s="10" t="s">
        <v>434</v>
      </c>
      <c r="D2" s="200">
        <v>1</v>
      </c>
    </row>
    <row r="3" spans="1:4">
      <c r="A3" s="277" t="s">
        <v>461</v>
      </c>
      <c r="B3" s="200" t="s">
        <v>227</v>
      </c>
      <c r="C3" s="149" t="s">
        <v>462</v>
      </c>
      <c r="D3" s="200">
        <v>2</v>
      </c>
    </row>
    <row r="4" spans="1:4">
      <c r="A4" s="277">
        <v>43376</v>
      </c>
      <c r="B4" s="200" t="s">
        <v>227</v>
      </c>
      <c r="C4" s="168" t="s">
        <v>467</v>
      </c>
      <c r="D4" s="200">
        <v>3</v>
      </c>
    </row>
    <row r="5" spans="1:4">
      <c r="A5" s="277">
        <v>43381</v>
      </c>
      <c r="B5" s="200" t="s">
        <v>227</v>
      </c>
      <c r="C5" s="168" t="s">
        <v>468</v>
      </c>
      <c r="D5" s="200">
        <v>4</v>
      </c>
    </row>
    <row r="6" spans="1:4">
      <c r="A6" s="277">
        <v>43383</v>
      </c>
      <c r="B6" s="200" t="s">
        <v>227</v>
      </c>
      <c r="C6" s="10" t="s">
        <v>479</v>
      </c>
      <c r="D6" s="200">
        <v>5</v>
      </c>
    </row>
    <row r="7" spans="1:4">
      <c r="A7" s="278" t="s">
        <v>480</v>
      </c>
      <c r="B7" s="200" t="s">
        <v>227</v>
      </c>
      <c r="C7" s="10" t="s">
        <v>481</v>
      </c>
      <c r="D7" s="200">
        <v>6</v>
      </c>
    </row>
    <row r="8" spans="1:4">
      <c r="A8" s="278" t="s">
        <v>482</v>
      </c>
      <c r="B8" s="200" t="s">
        <v>227</v>
      </c>
      <c r="C8" s="168" t="s">
        <v>483</v>
      </c>
      <c r="D8" s="200">
        <v>7</v>
      </c>
    </row>
    <row r="9" spans="1:4">
      <c r="A9" s="279" t="s">
        <v>491</v>
      </c>
      <c r="B9" s="205" t="s">
        <v>227</v>
      </c>
      <c r="C9" s="168" t="s">
        <v>492</v>
      </c>
      <c r="D9" s="200">
        <v>8</v>
      </c>
    </row>
    <row r="10" spans="1:4">
      <c r="A10" s="279" t="s">
        <v>498</v>
      </c>
      <c r="B10" s="205" t="s">
        <v>227</v>
      </c>
      <c r="C10" s="10" t="s">
        <v>499</v>
      </c>
      <c r="D10" s="200">
        <v>9</v>
      </c>
    </row>
    <row r="11" spans="1:4">
      <c r="A11" s="279" t="s">
        <v>502</v>
      </c>
      <c r="B11" s="205" t="s">
        <v>227</v>
      </c>
      <c r="C11" s="10" t="s">
        <v>504</v>
      </c>
      <c r="D11" s="200">
        <v>10</v>
      </c>
    </row>
    <row r="12" spans="1:4" s="167" customFormat="1">
      <c r="A12" s="279" t="s">
        <v>506</v>
      </c>
      <c r="B12" s="205" t="s">
        <v>227</v>
      </c>
      <c r="C12" s="168" t="s">
        <v>507</v>
      </c>
      <c r="D12" s="200">
        <v>11</v>
      </c>
    </row>
    <row r="13" spans="1:4">
      <c r="A13" s="208" t="s">
        <v>506</v>
      </c>
      <c r="B13" s="168" t="s">
        <v>509</v>
      </c>
      <c r="C13" s="168" t="s">
        <v>510</v>
      </c>
      <c r="D13" s="200">
        <v>10</v>
      </c>
    </row>
    <row r="14" spans="1:4">
      <c r="A14" s="280" t="s">
        <v>512</v>
      </c>
      <c r="B14" s="10" t="s">
        <v>509</v>
      </c>
      <c r="C14" s="10" t="s">
        <v>511</v>
      </c>
      <c r="D14" s="205">
        <v>11</v>
      </c>
    </row>
    <row r="15" spans="1:4">
      <c r="A15" s="280" t="s">
        <v>519</v>
      </c>
      <c r="B15" s="168" t="s">
        <v>509</v>
      </c>
      <c r="C15" s="168" t="s">
        <v>514</v>
      </c>
      <c r="D15" s="205">
        <v>12</v>
      </c>
    </row>
    <row r="16" spans="1:4">
      <c r="A16" s="280">
        <v>43354</v>
      </c>
      <c r="B16" s="10" t="s">
        <v>509</v>
      </c>
      <c r="C16" s="10" t="s">
        <v>545</v>
      </c>
      <c r="D16" s="205">
        <v>13</v>
      </c>
    </row>
    <row r="17" spans="1:4">
      <c r="A17" s="280">
        <v>43413</v>
      </c>
      <c r="B17" s="10" t="s">
        <v>509</v>
      </c>
      <c r="C17" s="10" t="s">
        <v>547</v>
      </c>
      <c r="D17" s="205">
        <v>14</v>
      </c>
    </row>
    <row r="18" spans="1:4">
      <c r="A18" s="280">
        <v>43413</v>
      </c>
      <c r="B18" s="168" t="s">
        <v>509</v>
      </c>
      <c r="C18" s="10" t="s">
        <v>548</v>
      </c>
      <c r="D18" s="205">
        <v>15</v>
      </c>
    </row>
    <row r="19" spans="1:4">
      <c r="A19" s="280" t="s">
        <v>561</v>
      </c>
      <c r="B19" s="10" t="s">
        <v>509</v>
      </c>
      <c r="C19" s="10" t="s">
        <v>562</v>
      </c>
      <c r="D19" s="205">
        <v>16</v>
      </c>
    </row>
    <row r="20" spans="1:4">
      <c r="A20" s="280" t="s">
        <v>670</v>
      </c>
      <c r="B20" s="10" t="s">
        <v>509</v>
      </c>
      <c r="C20" s="163" t="s">
        <v>669</v>
      </c>
      <c r="D20" s="205">
        <v>17</v>
      </c>
    </row>
    <row r="21" spans="1:4" ht="54">
      <c r="A21" s="276" t="s">
        <v>690</v>
      </c>
      <c r="B21" s="168" t="s">
        <v>691</v>
      </c>
      <c r="C21" s="285" t="s">
        <v>701</v>
      </c>
      <c r="D21" s="205">
        <v>18</v>
      </c>
    </row>
    <row r="22" spans="1:4">
      <c r="A22" s="168" t="s">
        <v>705</v>
      </c>
      <c r="B22" s="10" t="s">
        <v>509</v>
      </c>
      <c r="C22" s="10" t="s">
        <v>704</v>
      </c>
      <c r="D22" s="205">
        <v>19</v>
      </c>
    </row>
    <row r="23" spans="1:4">
      <c r="A23" s="295">
        <v>43557</v>
      </c>
      <c r="B23" s="168" t="s">
        <v>509</v>
      </c>
      <c r="C23" s="10" t="s">
        <v>721</v>
      </c>
      <c r="D23" s="10">
        <v>20</v>
      </c>
    </row>
    <row r="24" spans="1:4">
      <c r="A24" s="295">
        <v>43557</v>
      </c>
      <c r="B24" s="168" t="s">
        <v>509</v>
      </c>
      <c r="C24" s="10" t="s">
        <v>774</v>
      </c>
      <c r="D24" s="10">
        <v>21</v>
      </c>
    </row>
    <row r="26" spans="1:4">
      <c r="A26" s="150"/>
      <c r="B26" s="150"/>
      <c r="C26" s="150"/>
      <c r="D26" s="150"/>
    </row>
    <row r="27" spans="1:4">
      <c r="A27" s="150"/>
      <c r="B27" s="150"/>
      <c r="C27" s="150"/>
      <c r="D27" s="150"/>
    </row>
    <row r="29" spans="1:4">
      <c r="A29" s="10"/>
      <c r="B29" s="10"/>
      <c r="C29" s="10"/>
      <c r="D29" s="10"/>
    </row>
    <row r="30" spans="1:4">
      <c r="A30" s="150"/>
      <c r="B30" s="150"/>
      <c r="C30" s="150"/>
      <c r="D30" s="150"/>
    </row>
    <row r="31" spans="1:4">
      <c r="A31" s="150"/>
      <c r="B31" s="150"/>
      <c r="C31" s="150"/>
      <c r="D31" s="150"/>
    </row>
    <row r="32" spans="1:4">
      <c r="A32" s="150"/>
      <c r="B32" s="150"/>
      <c r="C32" s="150"/>
      <c r="D32" s="150"/>
    </row>
    <row r="33" spans="1:4">
      <c r="A33" s="4"/>
      <c r="B33" s="4"/>
      <c r="C33" s="4"/>
      <c r="D33" s="4"/>
    </row>
    <row r="34" spans="1:4">
      <c r="A34" s="4"/>
      <c r="B34" s="4"/>
      <c r="C34" s="4"/>
      <c r="D3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Algorithm</vt:lpstr>
      <vt:lpstr>Interpolation - AgeGender</vt:lpstr>
      <vt:lpstr>Interpolation - SumInsured</vt:lpstr>
      <vt:lpstr>Interpolation - NCD</vt:lpstr>
      <vt:lpstr>Factors</vt:lpstr>
      <vt:lpstr>Multiplicative rules</vt:lpstr>
      <vt:lpstr>Contents+Accessory </vt:lpstr>
      <vt:lpstr>CapCup</vt:lpstr>
      <vt:lpstr>Adjustments</vt:lpstr>
      <vt:lpstr>Excess</vt:lpstr>
      <vt:lpstr>Taxes and Fees</vt:lpstr>
      <vt:lpstr>Discounts</vt:lpstr>
      <vt:lpstr>Plan-&gt;Component</vt:lpstr>
      <vt:lpstr>Temp</vt:lpstr>
      <vt:lpstr>Policy Variations</vt:lpstr>
      <vt:lpstr>Environment</vt:lpstr>
      <vt:lpstr>Hist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Yanina Sanko</dc:creator>
  <cp:lastModifiedBy>Maryia Kobets</cp:lastModifiedBy>
  <dcterms:created xsi:type="dcterms:W3CDTF">2018-01-24T09:22:56Z</dcterms:created>
  <dcterms:modified xsi:type="dcterms:W3CDTF">2019-02-05T02:24:50Z</dcterms:modified>
</cp:coreProperties>
</file>