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80" windowWidth="19035" windowHeight="8385"/>
  </bookViews>
  <sheets>
    <sheet name="Tests" sheetId="1" r:id="rId1"/>
    <sheet name="Utils" sheetId="4" r:id="rId2"/>
    <sheet name="env" sheetId="2" r:id="rId3"/>
  </sheets>
  <definedNames>
    <definedName name="getBaseRate" localSheetId="1">#REF!</definedName>
    <definedName name="getBaseRate">#REF!</definedName>
    <definedName name="getCategoryGroupRate" localSheetId="1">#REF!</definedName>
    <definedName name="getCategoryGroupRate">#REF!</definedName>
    <definedName name="getCategoryRate" localSheetId="1">#REF!</definedName>
    <definedName name="getCategoryRate">#REF!</definedName>
    <definedName name="getMarketOrStatedValueRate" localSheetId="1">#REF!</definedName>
    <definedName name="getMarketOrStatedValueRate">#REF!</definedName>
    <definedName name="Graph1_" localSheetId="1">#REF!</definedName>
    <definedName name="Graph1_">#REF!</definedName>
    <definedName name="Graph1_Model_Prediction_at_Base_levels" localSheetId="1">#REF!</definedName>
    <definedName name="Graph1_Model_Prediction_at_Base_levels">#REF!</definedName>
    <definedName name="Graph1_Observed_Average" localSheetId="1">#REF!</definedName>
    <definedName name="Graph1_Observed_Average">#REF!</definedName>
    <definedName name="Graph2_" localSheetId="1">#REF!</definedName>
    <definedName name="Graph2_">#REF!</definedName>
    <definedName name="Graph2_Model_Prediction_at_Base_levels" localSheetId="1">#REF!</definedName>
    <definedName name="Graph2_Model_Prediction_at_Base_levels">#REF!</definedName>
    <definedName name="Graph2_Observed_Average" localSheetId="1">#REF!</definedName>
    <definedName name="Graph2_Observed_Average">#REF!</definedName>
    <definedName name="ZipCol" localSheetId="1">#REF!</definedName>
    <definedName name="ZipCol">#REF!</definedName>
    <definedName name="ZipTable" localSheetId="1">#REF!</definedName>
    <definedName name="ZipTable">#REF!</definedName>
  </definedNames>
  <calcPr calcId="145621"/>
</workbook>
</file>

<file path=xl/calcChain.xml><?xml version="1.0" encoding="utf-8"?>
<calcChain xmlns="http://schemas.openxmlformats.org/spreadsheetml/2006/main">
  <c r="DL5" i="1" l="1"/>
  <c r="DJ5" i="1"/>
  <c r="DH5" i="1"/>
  <c r="NZ5" i="1" l="1"/>
  <c r="OA5" i="1"/>
  <c r="OB5" i="1"/>
  <c r="OD5" i="1"/>
  <c r="OE5" i="1"/>
  <c r="OF5" i="1"/>
  <c r="OG5" i="1"/>
  <c r="OH5" i="1"/>
  <c r="OK5" i="1"/>
  <c r="OO5" i="1"/>
  <c r="OP5" i="1"/>
  <c r="NY5" i="1"/>
  <c r="NQ5" i="1" l="1"/>
  <c r="NP5" i="1"/>
  <c r="NL5" i="1"/>
  <c r="NI5" i="1"/>
  <c r="NH5" i="1"/>
  <c r="NG5" i="1"/>
  <c r="NF5" i="1"/>
  <c r="NE5" i="1"/>
  <c r="NC5" i="1"/>
  <c r="NB5" i="1"/>
  <c r="NA5" i="1"/>
  <c r="MZ5" i="1"/>
  <c r="MD5" i="1"/>
  <c r="MC5" i="1"/>
  <c r="LY5" i="1"/>
  <c r="LV5" i="1"/>
  <c r="LU5" i="1"/>
  <c r="LT5" i="1"/>
  <c r="LS5" i="1"/>
  <c r="LR5" i="1"/>
  <c r="LP5" i="1"/>
  <c r="LO5" i="1"/>
  <c r="LN5" i="1"/>
  <c r="LM5" i="1"/>
  <c r="LF5" i="1"/>
  <c r="LE5" i="1"/>
  <c r="LA5" i="1"/>
  <c r="KX5" i="1"/>
  <c r="KW5" i="1"/>
  <c r="KV5" i="1"/>
  <c r="KU5" i="1"/>
  <c r="KT5" i="1"/>
  <c r="KR5" i="1"/>
  <c r="KQ5" i="1"/>
  <c r="KP5" i="1"/>
  <c r="KO5" i="1"/>
  <c r="KL5" i="1"/>
  <c r="KK5" i="1"/>
  <c r="KG5" i="1"/>
  <c r="KD5" i="1"/>
  <c r="KC5" i="1"/>
  <c r="KB5" i="1"/>
  <c r="KA5" i="1"/>
  <c r="JZ5" i="1"/>
  <c r="JX5" i="1"/>
  <c r="JW5" i="1"/>
  <c r="JV5" i="1"/>
  <c r="JU5" i="1"/>
  <c r="JM5" i="1"/>
  <c r="JJ5" i="1"/>
  <c r="JI5" i="1"/>
  <c r="JH5" i="1"/>
  <c r="JG5" i="1"/>
  <c r="JF5" i="1"/>
  <c r="JD5" i="1"/>
  <c r="JC5" i="1"/>
  <c r="JB5" i="1"/>
  <c r="JA5" i="1"/>
  <c r="IR5" i="1"/>
  <c r="IP5" i="1"/>
  <c r="IL5" i="1"/>
  <c r="IH5" i="1"/>
  <c r="IA5" i="1"/>
  <c r="HX5" i="1"/>
  <c r="HQ5" i="1"/>
  <c r="HP5" i="1"/>
  <c r="HO5" i="1"/>
  <c r="HH5" i="1"/>
  <c r="HE5" i="1"/>
  <c r="GX5" i="1"/>
  <c r="GW5" i="1"/>
  <c r="GV5" i="1"/>
  <c r="GO5" i="1"/>
  <c r="GL5" i="1"/>
  <c r="GE5" i="1"/>
  <c r="GD5" i="1"/>
  <c r="GC5" i="1"/>
  <c r="FV5" i="1"/>
  <c r="FS5" i="1"/>
  <c r="FL5" i="1"/>
  <c r="FK5" i="1"/>
  <c r="FJ5" i="1"/>
  <c r="FC5" i="1"/>
  <c r="EZ5" i="1"/>
  <c r="ES5" i="1"/>
  <c r="ER5" i="1"/>
  <c r="EQ5" i="1"/>
  <c r="EJ5" i="1"/>
  <c r="EG5" i="1"/>
  <c r="DZ5" i="1"/>
  <c r="DY5" i="1"/>
  <c r="DX5" i="1"/>
  <c r="DQ5" i="1"/>
  <c r="DN5" i="1"/>
  <c r="DG5" i="1"/>
  <c r="DF5" i="1"/>
  <c r="DE5" i="1"/>
  <c r="CX5" i="1"/>
  <c r="CU5" i="1"/>
  <c r="CN5" i="1"/>
  <c r="CM5" i="1"/>
  <c r="CL5" i="1"/>
  <c r="CJ5" i="1"/>
  <c r="CI5" i="1"/>
  <c r="CE5" i="1"/>
  <c r="CB5" i="1"/>
  <c r="CA5" i="1"/>
  <c r="BZ5" i="1"/>
  <c r="BY5" i="1"/>
  <c r="BX5" i="1"/>
  <c r="BV5" i="1"/>
  <c r="BU5" i="1"/>
  <c r="BT5" i="1"/>
  <c r="BS5" i="1"/>
  <c r="BQ5" i="1"/>
  <c r="BP5" i="1"/>
  <c r="BL5" i="1"/>
  <c r="BI5" i="1"/>
  <c r="BH5" i="1"/>
  <c r="BG5" i="1"/>
  <c r="BF5" i="1"/>
  <c r="BE5" i="1"/>
  <c r="BC5" i="1"/>
  <c r="BB5" i="1"/>
  <c r="BA5" i="1"/>
  <c r="AZ5" i="1"/>
  <c r="AX5" i="1"/>
  <c r="AW5" i="1"/>
  <c r="AO5" i="1"/>
  <c r="AL5" i="1"/>
  <c r="AK5" i="1"/>
  <c r="AJ5" i="1"/>
  <c r="AI5" i="1"/>
  <c r="AH5" i="1"/>
  <c r="AF5" i="1"/>
  <c r="AE5" i="1"/>
  <c r="AD5" i="1"/>
  <c r="AC5" i="1"/>
</calcChain>
</file>

<file path=xl/comments1.xml><?xml version="1.0" encoding="utf-8"?>
<comments xmlns="http://schemas.openxmlformats.org/spreadsheetml/2006/main">
  <authors>
    <author>stanislav.shor</author>
    <author>ptbarr</author>
  </authors>
  <commentList>
    <comment ref="X5" authorId="0">
      <text>
        <r>
          <rPr>
            <b/>
            <sz val="8"/>
            <color indexed="81"/>
            <rFont val="Tahoma"/>
            <family val="2"/>
          </rPr>
          <t>stanislav.shor:</t>
        </r>
        <r>
          <rPr>
            <sz val="8"/>
            <color indexed="81"/>
            <rFont val="Tahoma"/>
            <family val="2"/>
          </rPr>
          <t xml:space="preserve">
No dependency in rating
</t>
        </r>
      </text>
    </comment>
    <comment ref="AO6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It is a percentage of Flex Sum Insured</t>
        </r>
      </text>
    </comment>
    <comment ref="BL6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It is a percentage of Flex Sum Insured</t>
        </r>
      </text>
    </comment>
    <comment ref="CE6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It is a percentage of Flex Sum Insured</t>
        </r>
      </text>
    </comment>
    <comment ref="CX6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It is a percentage of Flex Sum Insured</t>
        </r>
      </text>
    </comment>
    <comment ref="DQ6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It is a percentage of Flex Sum Insured</t>
        </r>
      </text>
    </comment>
    <comment ref="EJ6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It is a percentage of Flex Sum Insured</t>
        </r>
      </text>
    </comment>
    <comment ref="FC6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It is a percentage of Flex Sum Insured</t>
        </r>
      </text>
    </comment>
    <comment ref="FV6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It is a percentage of Flex Sum Insured</t>
        </r>
      </text>
    </comment>
    <comment ref="GO6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It is a percentage of Flex Sum Insured</t>
        </r>
      </text>
    </comment>
    <comment ref="HH6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It is a percentage of Flex Sum Insured</t>
        </r>
      </text>
    </comment>
    <comment ref="IA6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It is a percentage of Flex Sum Insured</t>
        </r>
      </text>
    </comment>
    <comment ref="JM6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It is a percentage of Flex Sum Insured</t>
        </r>
      </text>
    </comment>
    <comment ref="KG6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It is a percentage of Flex Sum Insured</t>
        </r>
      </text>
    </comment>
    <comment ref="LA6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It is a percentage of Flex Sum Insured</t>
        </r>
      </text>
    </comment>
    <comment ref="LY6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It is a percentage of Flex Sum Insured</t>
        </r>
      </text>
    </comment>
    <comment ref="NL6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It is a percentage of Flex Sum Insured</t>
        </r>
      </text>
    </comment>
    <comment ref="OK6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It is a percentage of Flex Sum Insured</t>
        </r>
      </text>
    </comment>
    <comment ref="Z7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minimum 100.000
</t>
        </r>
      </text>
    </comment>
    <comment ref="Z8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minimum 100.000
</t>
        </r>
      </text>
    </comment>
    <comment ref="Z9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minimum 100.000
</t>
        </r>
      </text>
    </comment>
    <comment ref="Z10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minimum 100.000
</t>
        </r>
      </text>
    </comment>
    <comment ref="Z11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minimum 100.000
</t>
        </r>
      </text>
    </comment>
    <comment ref="Z12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minimum 100.000
</t>
        </r>
      </text>
    </comment>
    <comment ref="Z13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minimum 100.000
</t>
        </r>
      </text>
    </comment>
    <comment ref="Z14" authorId="1">
      <text>
        <r>
          <rPr>
            <b/>
            <sz val="8"/>
            <color indexed="81"/>
            <rFont val="Tahoma"/>
            <family val="2"/>
          </rPr>
          <t>ptbarr:</t>
        </r>
        <r>
          <rPr>
            <sz val="8"/>
            <color indexed="81"/>
            <rFont val="Tahoma"/>
            <family val="2"/>
          </rPr>
          <t xml:space="preserve">
minimum 100.000
</t>
        </r>
      </text>
    </comment>
  </commentList>
</comments>
</file>

<file path=xl/sharedStrings.xml><?xml version="1.0" encoding="utf-8"?>
<sst xmlns="http://schemas.openxmlformats.org/spreadsheetml/2006/main" count="2074" uniqueCount="247">
  <si>
    <t>x</t>
  </si>
  <si>
    <t>X</t>
  </si>
  <si>
    <t>BASIC RATE</t>
  </si>
  <si>
    <t>REGION</t>
  </si>
  <si>
    <t>CONSTRUCTION</t>
  </si>
  <si>
    <t>Occupancy</t>
  </si>
  <si>
    <t>USAGE</t>
  </si>
  <si>
    <t>Prior CLAIM</t>
  </si>
  <si>
    <t>RENEWAL</t>
  </si>
  <si>
    <t>YEAR OF CONSTRUCTION</t>
  </si>
  <si>
    <t>Living area</t>
  </si>
  <si>
    <t>Apartament floor</t>
  </si>
  <si>
    <t>Anti-fire Device</t>
  </si>
  <si>
    <t>Smoke Detector</t>
  </si>
  <si>
    <t>Fire extinguisher</t>
  </si>
  <si>
    <t>Sprinkler System?</t>
  </si>
  <si>
    <t>Burglar Alarm</t>
  </si>
  <si>
    <t>Is there a doorman on guard?</t>
  </si>
  <si>
    <t>Highest Valuable</t>
  </si>
  <si>
    <t>SUM INSURED FACTOR</t>
  </si>
  <si>
    <t>PREMIO 1</t>
  </si>
  <si>
    <t>PREMIO 2</t>
  </si>
  <si>
    <t>PREMIO 3</t>
  </si>
  <si>
    <t># MULTI-POLICY WITH ACE</t>
  </si>
  <si>
    <t>MULTI-Coverage</t>
  </si>
  <si>
    <t>PREMIO 4</t>
  </si>
  <si>
    <t>Quote Date:</t>
  </si>
  <si>
    <t>Broker Code</t>
  </si>
  <si>
    <t>Broker Comission</t>
  </si>
  <si>
    <t>Broker Discount</t>
  </si>
  <si>
    <t>Type of Renewal</t>
  </si>
  <si>
    <t>Type of Dwelling</t>
  </si>
  <si>
    <t>On which floor is the insured's unit located?</t>
  </si>
  <si>
    <t>Zip Code of the Risk (first 5dig)</t>
  </si>
  <si>
    <t>Year Built</t>
  </si>
  <si>
    <t>Construction Type</t>
  </si>
  <si>
    <t>Living Area</t>
  </si>
  <si>
    <t>Is this Residence owned or rented?</t>
  </si>
  <si>
    <t>Type of Usage</t>
  </si>
  <si>
    <t># prior claims</t>
  </si>
  <si>
    <t>Anti-Fire Devices</t>
  </si>
  <si>
    <t>Is there vault for jewelry?</t>
  </si>
  <si>
    <t>All perils?</t>
  </si>
  <si>
    <t>Main Structure</t>
  </si>
  <si>
    <t>Contents Limit</t>
  </si>
  <si>
    <t>Fire/ Lightning / Explosion</t>
  </si>
  <si>
    <t>Electrical Damage</t>
  </si>
  <si>
    <t>Theft</t>
  </si>
  <si>
    <t>Flood</t>
  </si>
  <si>
    <t>Landscaping</t>
  </si>
  <si>
    <t>Collapse</t>
  </si>
  <si>
    <t>Riot</t>
  </si>
  <si>
    <t>Windstorm</t>
  </si>
  <si>
    <t>Glass (Breakage)</t>
  </si>
  <si>
    <t>Familiar Liability</t>
  </si>
  <si>
    <t>Hole in One</t>
  </si>
  <si>
    <t>Household Employee</t>
  </si>
  <si>
    <t>Loss of Use</t>
  </si>
  <si>
    <t>FIRE - FINE ARTS</t>
  </si>
  <si>
    <t>Most expensive item</t>
  </si>
  <si>
    <t>FINE ARTS</t>
  </si>
  <si>
    <t>JEWELRY si</t>
  </si>
  <si>
    <t>JEWELRY - INTER/NATIO</t>
  </si>
  <si>
    <t>Portable Electronic Equipment</t>
  </si>
  <si>
    <t>Sports Equipment</t>
  </si>
  <si>
    <t>JEWELRY</t>
  </si>
  <si>
    <t>FIRE - FINE ARTS (%)</t>
  </si>
  <si>
    <t>FIRE - FINE ARTS (FACTOR)</t>
  </si>
  <si>
    <t>FINE ARTS (%)</t>
  </si>
  <si>
    <t>FINE ARTS (FACTOR)</t>
  </si>
  <si>
    <t>JEWELRY (%)</t>
  </si>
  <si>
    <t>JEWELRY (FACTOR)</t>
  </si>
  <si>
    <t>TOTAL</t>
  </si>
  <si>
    <t>Region &amp; Occupancy</t>
  </si>
  <si>
    <t>TYPE OF RENEWAL</t>
  </si>
  <si>
    <t># POLICY</t>
  </si>
  <si>
    <t>FACTOR</t>
  </si>
  <si>
    <t># coverage</t>
  </si>
  <si>
    <t>factor</t>
  </si>
  <si>
    <t>TOTAL discounts provided by ACE</t>
  </si>
  <si>
    <t>Money saved before taxes and fees</t>
  </si>
  <si>
    <t>Policy fee</t>
  </si>
  <si>
    <t>IOF (7,38%)</t>
  </si>
  <si>
    <t>FINAL PREMIUM</t>
  </si>
  <si>
    <t>Environment</t>
  </si>
  <si>
    <t>Smoke detectors?</t>
  </si>
  <si>
    <t># of fire extinguisher</t>
  </si>
  <si>
    <t># of Sprinkler System</t>
  </si>
  <si>
    <t>Assistance Cost</t>
  </si>
  <si>
    <t>XXXXX</t>
  </si>
  <si>
    <t>basicRate</t>
  </si>
  <si>
    <t>region</t>
  </si>
  <si>
    <t>construction</t>
  </si>
  <si>
    <t>occupancy</t>
  </si>
  <si>
    <t>usage</t>
  </si>
  <si>
    <t>renewal</t>
  </si>
  <si>
    <t>year</t>
  </si>
  <si>
    <t>area</t>
  </si>
  <si>
    <t>floor</t>
  </si>
  <si>
    <t>antiFire</t>
  </si>
  <si>
    <t>smoke</t>
  </si>
  <si>
    <t>fireEx</t>
  </si>
  <si>
    <t>sprinkler</t>
  </si>
  <si>
    <t>burglar</t>
  </si>
  <si>
    <t>doorman</t>
  </si>
  <si>
    <t>valuable</t>
  </si>
  <si>
    <t>premio2</t>
  </si>
  <si>
    <t>flex</t>
  </si>
  <si>
    <t>ed</t>
  </si>
  <si>
    <t>th</t>
  </si>
  <si>
    <t>flood</t>
  </si>
  <si>
    <t>land</t>
  </si>
  <si>
    <t>coll</t>
  </si>
  <si>
    <t>riot</t>
  </si>
  <si>
    <t>wind</t>
  </si>
  <si>
    <t>glass</t>
  </si>
  <si>
    <t>liab</t>
  </si>
  <si>
    <t>hole</t>
  </si>
  <si>
    <t>emp</t>
  </si>
  <si>
    <t>loss</t>
  </si>
  <si>
    <t>artsFire</t>
  </si>
  <si>
    <t>arts</t>
  </si>
  <si>
    <t>jewelry</t>
  </si>
  <si>
    <t>port</t>
  </si>
  <si>
    <t>sports</t>
  </si>
  <si>
    <t>claim</t>
  </si>
  <si>
    <t>sumInsuredFactor</t>
  </si>
  <si>
    <t>premio1</t>
  </si>
  <si>
    <t>premio3</t>
  </si>
  <si>
    <t>premio4</t>
  </si>
  <si>
    <t>XXXX</t>
  </si>
  <si>
    <t>ZZZZZ</t>
  </si>
  <si>
    <t xml:space="preserve">House </t>
  </si>
  <si>
    <t>No</t>
  </si>
  <si>
    <t>Owned</t>
  </si>
  <si>
    <t>None</t>
  </si>
  <si>
    <t>Regular</t>
  </si>
  <si>
    <t>Mansory</t>
  </si>
  <si>
    <t>2-5 years ago</t>
  </si>
  <si>
    <t>Based on TEst_database_Home_Jan31.xlsx</t>
  </si>
  <si>
    <t>Removed</t>
  </si>
  <si>
    <t>Renewal Ace</t>
  </si>
  <si>
    <t>Condo</t>
  </si>
  <si>
    <t>over 40 years ago</t>
  </si>
  <si>
    <t>Farm</t>
  </si>
  <si>
    <t>Local</t>
  </si>
  <si>
    <t>Yes</t>
  </si>
  <si>
    <t>Wood</t>
  </si>
  <si>
    <t>Central</t>
  </si>
  <si>
    <t>Summer/Vacation</t>
  </si>
  <si>
    <t>Rented</t>
  </si>
  <si>
    <t>1 year ago or less</t>
  </si>
  <si>
    <t>Mixed</t>
  </si>
  <si>
    <t>6-10 years ago</t>
  </si>
  <si>
    <t>New Insurance</t>
  </si>
  <si>
    <t>Local&amp;Central</t>
  </si>
  <si>
    <t>Apartament</t>
  </si>
  <si>
    <t>11-20 years ago</t>
  </si>
  <si>
    <t>premio5</t>
  </si>
  <si>
    <t>dependency</t>
  </si>
  <si>
    <t>HOME-SHA-BR-01012012-01012012</t>
  </si>
  <si>
    <r>
      <t xml:space="preserve">Spreadsheet SpreadsheetResult </t>
    </r>
    <r>
      <rPr>
        <b/>
        <sz val="10"/>
        <rFont val="Franklin Gothic Book"/>
        <family val="2"/>
        <charset val="204"/>
      </rPr>
      <t>CalcForTests</t>
    </r>
    <r>
      <rPr>
        <sz val="10"/>
        <rFont val="Franklin Gothic Book"/>
        <family val="2"/>
        <charset val="204"/>
      </rPr>
      <t xml:space="preserve"> ( SpreadsheetResult calcLocation)</t>
    </r>
  </si>
  <si>
    <t>Step</t>
  </si>
  <si>
    <t>covIdx : int</t>
  </si>
  <si>
    <t>total</t>
  </si>
  <si>
    <t>stepName : String</t>
  </si>
  <si>
    <t>BasicRate</t>
  </si>
  <si>
    <t>Region</t>
  </si>
  <si>
    <t>Construction</t>
  </si>
  <si>
    <t>Usage</t>
  </si>
  <si>
    <t>Claim</t>
  </si>
  <si>
    <t>Renewal</t>
  </si>
  <si>
    <t>YearOfConstruction</t>
  </si>
  <si>
    <t>LivingArea</t>
  </si>
  <si>
    <t>ApartmentFloor</t>
  </si>
  <si>
    <t>AntiFireDevice</t>
  </si>
  <si>
    <t>FireExtinguisher</t>
  </si>
  <si>
    <t>BurglarAlarm</t>
  </si>
  <si>
    <t>Doorman</t>
  </si>
  <si>
    <t>SumInsuredFactor</t>
  </si>
  <si>
    <t>Premio1</t>
  </si>
  <si>
    <t>Premio2</t>
  </si>
  <si>
    <t>Premio3</t>
  </si>
  <si>
    <t>Premio4</t>
  </si>
  <si>
    <t>FinalPremium</t>
  </si>
  <si>
    <t>= getCovField(calcLocation, $covIdx, $stepName)</t>
  </si>
  <si>
    <t>location</t>
  </si>
  <si>
    <t>= getLocField(calcLocation, $stepName)</t>
  </si>
  <si>
    <r>
      <t xml:space="preserve">Spreadsheet SpreadsheetResultCalcForTests </t>
    </r>
    <r>
      <rPr>
        <b/>
        <sz val="10"/>
        <rFont val="Franklin Gothic Book"/>
        <family val="2"/>
        <charset val="204"/>
      </rPr>
      <t>CalcRatingTrace</t>
    </r>
    <r>
      <rPr>
        <sz val="10"/>
        <rFont val="Franklin Gothic Book"/>
        <family val="2"/>
        <charset val="204"/>
      </rPr>
      <t xml:space="preserve"> ( HomeTestBean testdata)</t>
    </r>
  </si>
  <si>
    <t>Value</t>
  </si>
  <si>
    <t>prepare input data</t>
  </si>
  <si>
    <t>Policy : Policy</t>
  </si>
  <si>
    <t>= testdata.p</t>
  </si>
  <si>
    <t>Location: Location</t>
  </si>
  <si>
    <t>= ConvertLocation (testdata)</t>
  </si>
  <si>
    <t>launch rules</t>
  </si>
  <si>
    <t>CalcSheet : SpreadsheetResult</t>
  </si>
  <si>
    <t>= CalculateLocation ($Policy, $Location)</t>
  </si>
  <si>
    <t>return result data</t>
  </si>
  <si>
    <t>RETURN</t>
  </si>
  <si>
    <t>= CalcForTests ( $CalcSheet )</t>
  </si>
  <si>
    <r>
      <t xml:space="preserve">TBasic Location </t>
    </r>
    <r>
      <rPr>
        <b/>
        <sz val="10"/>
        <rFont val="Franklin Gothic Book"/>
        <family val="2"/>
        <charset val="204"/>
      </rPr>
      <t>ConvertLocation</t>
    </r>
    <r>
      <rPr>
        <sz val="10"/>
        <rFont val="Franklin Gothic Book"/>
        <family val="2"/>
        <charset val="204"/>
      </rPr>
      <t xml:space="preserve"> ( HomeTestBean testdata )</t>
    </r>
  </si>
  <si>
    <t>Operation</t>
  </si>
  <si>
    <t>Condition</t>
  </si>
  <si>
    <t>Action</t>
  </si>
  <si>
    <t>VAR</t>
  </si>
  <si>
    <t>l</t>
  </si>
  <si>
    <t>SET</t>
  </si>
  <si>
    <t>location.contentsLimit = (int)round(l_contentsLimit,0)</t>
  </si>
  <si>
    <r>
      <t>Method Integer</t>
    </r>
    <r>
      <rPr>
        <b/>
        <sz val="10"/>
        <rFont val="Franklin Gothic Book"/>
        <family val="2"/>
        <charset val="204"/>
      </rPr>
      <t xml:space="preserve"> getCovLimit</t>
    </r>
    <r>
      <rPr>
        <sz val="10"/>
        <rFont val="Franklin Gothic Book"/>
        <family val="2"/>
        <charset val="204"/>
      </rPr>
      <t xml:space="preserve"> (HomeTestCoverageResult c)</t>
    </r>
  </si>
  <si>
    <t>if (c != null and c.limit != null) {return (int)round(c.limit,0);} return 0;</t>
  </si>
  <si>
    <r>
      <t xml:space="preserve">Method DoubleValue </t>
    </r>
    <r>
      <rPr>
        <b/>
        <sz val="10"/>
        <rFont val="Franklin Gothic Book"/>
        <family val="2"/>
        <charset val="204"/>
      </rPr>
      <t>getCovField</t>
    </r>
    <r>
      <rPr>
        <sz val="10"/>
        <rFont val="Franklin Gothic Book"/>
        <family val="2"/>
        <charset val="204"/>
      </rPr>
      <t xml:space="preserve"> (SpreadsheetResult calcLocation, int covIdx, String stepName)</t>
    </r>
  </si>
  <si>
    <t>return (DoubleValue)((SpreadsheetResult[])calcLocation.getFieldValue("$Value$Coverage_Calculations"))[covIdx].getFieldValue("$Value$" + stepName);</t>
  </si>
  <si>
    <r>
      <t xml:space="preserve">Method DoubleValue </t>
    </r>
    <r>
      <rPr>
        <b/>
        <sz val="10"/>
        <rFont val="Franklin Gothic Book"/>
        <family val="2"/>
        <charset val="204"/>
      </rPr>
      <t>getLocField</t>
    </r>
    <r>
      <rPr>
        <sz val="10"/>
        <rFont val="Franklin Gothic Book"/>
        <family val="2"/>
        <charset val="204"/>
      </rPr>
      <t xml:space="preserve"> (SpreadsheetResult calcLocation, String stepName)</t>
    </r>
  </si>
  <si>
    <t>return (DoubleValue)calcLocation.getFieldValue("$Formula$" + stepName);</t>
  </si>
  <si>
    <t>Test CalcRatingTrace CalcRatingTraceTest1</t>
  </si>
  <si>
    <t>testdata.testID</t>
  </si>
  <si>
    <t>testdata.quoteDate</t>
  </si>
  <si>
    <t>testdata.p.brokerComission</t>
  </si>
  <si>
    <t>testdata.p.brokerDiscount</t>
  </si>
  <si>
    <t>testdata.p.typeOfRenewal</t>
  </si>
  <si>
    <t>testdata.l.typeOfDwelling</t>
  </si>
  <si>
    <t>testdata.l.unitFloor</t>
  </si>
  <si>
    <t>testdata.l.address.zip</t>
  </si>
  <si>
    <t>testdata.l.yearBuilt</t>
  </si>
  <si>
    <t>testdata.l.constructionType</t>
  </si>
  <si>
    <t>testdata.l.livingArea</t>
  </si>
  <si>
    <t>testdata.l.ownedOrRented</t>
  </si>
  <si>
    <t>testdata.l.typeOfUsage</t>
  </si>
  <si>
    <t>testdata.l.numberOfPriorClaims</t>
  </si>
  <si>
    <t>testdata.l.antiFireDevices</t>
  </si>
  <si>
    <t>testdata.l.numberOfFireExtinguishers</t>
  </si>
  <si>
    <t>testdata.l.burglarAlarm</t>
  </si>
  <si>
    <t>testdata.l.hasDoorman</t>
  </si>
  <si>
    <t>testdata.l.allPerils</t>
  </si>
  <si>
    <t>testdata.l.mainStructureLimit</t>
  </si>
  <si>
    <t>testdata.l_contentsLimit</t>
  </si>
  <si>
    <t>testdata.p.multiPolicy</t>
  </si>
  <si>
    <t>_res_.$total$location</t>
  </si>
  <si>
    <t>testdata.</t>
  </si>
  <si>
    <t>_res_.$</t>
  </si>
  <si>
    <t>Premio5</t>
  </si>
  <si>
    <t>limit</t>
  </si>
  <si>
    <t>location.coverages = new Coverage[]{new Coverage("FLEX", getCovLimit(flex)), new Coverage("ELEC_DMG", getCovLimit(ed)), new Coverage("THEFT", getCovLimit(th)), new Coverage("FLOOD", getCovLimit(flood)), new Coverage("COLLAPSE", getCovLimit(coll)), new Coverage("RIOT", getCovLimit(riot)), new Coverage("WINDSTORM", getCovLimit(wind)), new Coverage("GLASS", getCovLimit(glass)), new Coverage("LIABILITY", getCovLimit(liab)), new Coverage("LOSS_OF_USE", getCovLimit(loss)), new Coverage("PORTABLE", getCovLimit(port)), new Coverage("SPORTS", getCovLimit(sports))}</t>
  </si>
  <si>
    <t>import</t>
  </si>
  <si>
    <t>org.openl.generated.beans.home</t>
  </si>
  <si>
    <t>sha-home-test-datatypes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</si>
</sst>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0.000"/>
    <numFmt numFmtId="168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86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b/>
      <sz val="10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b/>
      <sz val="10"/>
      <color indexed="8"/>
      <name val="Franklin Gothic Book"/>
      <family val="2"/>
      <charset val="204"/>
    </font>
    <font>
      <sz val="10"/>
      <color indexed="8"/>
      <name val="Franklin Gothic Book"/>
      <family val="2"/>
      <charset val="204"/>
    </font>
    <font>
      <b/>
      <sz val="10"/>
      <color theme="0"/>
      <name val="Franklin Gothic Book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6" fillId="0" borderId="10" xfId="0" applyFont="1" applyBorder="1"/>
    <xf numFmtId="0" fontId="6" fillId="0" borderId="0" xfId="0" applyFont="1"/>
    <xf numFmtId="0" fontId="8" fillId="0" borderId="10" xfId="0" applyFont="1" applyBorder="1"/>
    <xf numFmtId="0" fontId="9" fillId="0" borderId="10" xfId="0" applyFont="1" applyBorder="1"/>
    <xf numFmtId="0" fontId="6" fillId="0" borderId="0" xfId="0" applyFont="1" applyBorder="1"/>
    <xf numFmtId="0" fontId="7" fillId="0" borderId="10" xfId="0" quotePrefix="1" applyFont="1" applyBorder="1" applyAlignment="1"/>
    <xf numFmtId="0" fontId="6" fillId="0" borderId="20" xfId="0" applyFont="1" applyBorder="1"/>
    <xf numFmtId="0" fontId="6" fillId="0" borderId="21" xfId="0" applyFont="1" applyBorder="1"/>
    <xf numFmtId="0" fontId="7" fillId="0" borderId="10" xfId="0" applyFont="1" applyBorder="1"/>
    <xf numFmtId="0" fontId="7" fillId="0" borderId="10" xfId="0" quotePrefix="1" applyFont="1" applyBorder="1"/>
    <xf numFmtId="0" fontId="7" fillId="0" borderId="0" xfId="1" applyFont="1"/>
    <xf numFmtId="0" fontId="9" fillId="3" borderId="5" xfId="0" applyFont="1" applyFill="1" applyBorder="1" applyAlignment="1">
      <alignment horizontal="center" vertical="center" wrapText="1"/>
    </xf>
    <xf numFmtId="0" fontId="7" fillId="4" borderId="0" xfId="1" applyFont="1" applyFill="1"/>
    <xf numFmtId="0" fontId="7" fillId="2" borderId="0" xfId="1" applyFont="1" applyFill="1"/>
    <xf numFmtId="0" fontId="7" fillId="3" borderId="0" xfId="1" applyFont="1" applyFill="1"/>
    <xf numFmtId="0" fontId="10" fillId="6" borderId="5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7" fillId="6" borderId="0" xfId="1" applyFont="1" applyFill="1"/>
    <xf numFmtId="0" fontId="8" fillId="3" borderId="0" xfId="1" applyFont="1" applyFill="1" applyAlignment="1">
      <alignment horizontal="center" vertical="center"/>
    </xf>
    <xf numFmtId="0" fontId="7" fillId="5" borderId="0" xfId="1" applyFont="1" applyFill="1"/>
    <xf numFmtId="0" fontId="6" fillId="0" borderId="0" xfId="0" applyFont="1" applyAlignment="1">
      <alignment wrapText="1"/>
    </xf>
    <xf numFmtId="14" fontId="7" fillId="0" borderId="0" xfId="1" applyNumberFormat="1" applyFont="1" applyAlignment="1">
      <alignment wrapText="1"/>
    </xf>
    <xf numFmtId="0" fontId="7" fillId="0" borderId="0" xfId="1" applyFont="1" applyAlignment="1">
      <alignment wrapText="1"/>
    </xf>
    <xf numFmtId="0" fontId="7" fillId="9" borderId="0" xfId="1" applyFont="1" applyFill="1" applyAlignment="1">
      <alignment wrapText="1"/>
    </xf>
    <xf numFmtId="0" fontId="6" fillId="9" borderId="0" xfId="0" applyFont="1" applyFill="1" applyAlignment="1">
      <alignment wrapText="1"/>
    </xf>
    <xf numFmtId="0" fontId="9" fillId="3" borderId="0" xfId="0" applyFont="1" applyFill="1" applyBorder="1" applyAlignment="1">
      <alignment horizontal="center" vertical="center" wrapText="1"/>
    </xf>
    <xf numFmtId="0" fontId="7" fillId="4" borderId="0" xfId="1" applyFont="1" applyFill="1" applyAlignment="1">
      <alignment wrapText="1"/>
    </xf>
    <xf numFmtId="0" fontId="7" fillId="2" borderId="0" xfId="1" applyFont="1" applyFill="1" applyAlignment="1">
      <alignment wrapText="1"/>
    </xf>
    <xf numFmtId="0" fontId="7" fillId="3" borderId="0" xfId="1" applyFont="1" applyFill="1" applyAlignment="1">
      <alignment wrapText="1"/>
    </xf>
    <xf numFmtId="0" fontId="10" fillId="6" borderId="5" xfId="0" applyFont="1" applyFill="1" applyBorder="1" applyAlignment="1">
      <alignment horizontal="center" wrapText="1"/>
    </xf>
    <xf numFmtId="0" fontId="10" fillId="6" borderId="0" xfId="0" applyFont="1" applyFill="1" applyBorder="1" applyAlignment="1">
      <alignment horizontal="center" wrapText="1"/>
    </xf>
    <xf numFmtId="0" fontId="7" fillId="6" borderId="0" xfId="1" applyFont="1" applyFill="1" applyAlignment="1">
      <alignment wrapText="1"/>
    </xf>
    <xf numFmtId="0" fontId="8" fillId="3" borderId="0" xfId="1" applyFont="1" applyFill="1" applyAlignment="1">
      <alignment horizontal="center" vertical="center" wrapText="1"/>
    </xf>
    <xf numFmtId="14" fontId="7" fillId="2" borderId="0" xfId="1" applyNumberFormat="1" applyFont="1" applyFill="1"/>
    <xf numFmtId="0" fontId="7" fillId="5" borderId="0" xfId="1" applyFont="1" applyFill="1" applyAlignment="1">
      <alignment horizontal="center"/>
    </xf>
    <xf numFmtId="14" fontId="7" fillId="0" borderId="0" xfId="1" applyNumberFormat="1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8" fillId="4" borderId="0" xfId="1" applyFont="1" applyFill="1" applyAlignment="1">
      <alignment horizontal="center" wrapText="1"/>
    </xf>
    <xf numFmtId="0" fontId="8" fillId="2" borderId="0" xfId="1" applyFont="1" applyFill="1" applyAlignment="1">
      <alignment horizontal="center" wrapText="1"/>
    </xf>
    <xf numFmtId="0" fontId="8" fillId="3" borderId="0" xfId="1" applyFont="1" applyFill="1" applyAlignment="1">
      <alignment horizont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0" xfId="0" applyFont="1" applyFill="1" applyBorder="1" applyAlignment="1">
      <alignment horizontal="center" vertical="center" wrapText="1"/>
    </xf>
    <xf numFmtId="0" fontId="7" fillId="7" borderId="10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165" fontId="7" fillId="6" borderId="11" xfId="1" applyNumberFormat="1" applyFont="1" applyFill="1" applyBorder="1" applyAlignment="1">
      <alignment horizontal="center" vertical="center"/>
    </xf>
    <xf numFmtId="165" fontId="7" fillId="6" borderId="11" xfId="4" applyNumberFormat="1" applyFont="1" applyFill="1" applyBorder="1" applyAlignment="1">
      <alignment horizontal="center" vertical="center"/>
    </xf>
    <xf numFmtId="165" fontId="7" fillId="2" borderId="12" xfId="4" applyNumberFormat="1" applyFont="1" applyFill="1" applyBorder="1" applyAlignment="1">
      <alignment horizontal="center" vertical="center"/>
    </xf>
    <xf numFmtId="10" fontId="7" fillId="6" borderId="11" xfId="5" applyNumberFormat="1" applyFont="1" applyFill="1" applyBorder="1" applyAlignment="1">
      <alignment horizontal="center" vertical="center"/>
    </xf>
    <xf numFmtId="10" fontId="7" fillId="6" borderId="13" xfId="5" applyNumberFormat="1" applyFont="1" applyFill="1" applyBorder="1" applyAlignment="1">
      <alignment horizontal="center" vertical="center"/>
    </xf>
    <xf numFmtId="2" fontId="7" fillId="6" borderId="11" xfId="1" applyNumberFormat="1" applyFont="1" applyFill="1" applyBorder="1" applyAlignment="1">
      <alignment horizontal="center" vertical="center"/>
    </xf>
    <xf numFmtId="0" fontId="7" fillId="6" borderId="11" xfId="1" applyFont="1" applyFill="1" applyBorder="1" applyAlignment="1">
      <alignment horizontal="center" vertical="center"/>
    </xf>
    <xf numFmtId="0" fontId="7" fillId="6" borderId="13" xfId="1" applyFont="1" applyFill="1" applyBorder="1" applyAlignment="1">
      <alignment horizontal="center" vertical="center"/>
    </xf>
    <xf numFmtId="2" fontId="7" fillId="6" borderId="0" xfId="1" applyNumberFormat="1" applyFont="1" applyFill="1" applyBorder="1" applyAlignment="1">
      <alignment horizontal="center" vertical="center"/>
    </xf>
    <xf numFmtId="0" fontId="7" fillId="6" borderId="0" xfId="1" applyFont="1" applyFill="1" applyBorder="1" applyAlignment="1">
      <alignment horizontal="center" vertical="center"/>
    </xf>
    <xf numFmtId="0" fontId="7" fillId="6" borderId="14" xfId="1" applyFont="1" applyFill="1" applyBorder="1" applyAlignment="1">
      <alignment horizontal="center" vertical="center"/>
    </xf>
    <xf numFmtId="0" fontId="7" fillId="7" borderId="0" xfId="1" applyFont="1" applyFill="1" applyAlignment="1">
      <alignment horizontal="center" vertical="center"/>
    </xf>
    <xf numFmtId="165" fontId="7" fillId="7" borderId="0" xfId="4" applyNumberFormat="1" applyFont="1" applyFill="1" applyBorder="1" applyAlignment="1">
      <alignment horizontal="center" vertical="center"/>
    </xf>
    <xf numFmtId="165" fontId="7" fillId="6" borderId="0" xfId="4" applyNumberFormat="1" applyFont="1" applyFill="1" applyBorder="1" applyAlignment="1">
      <alignment horizontal="center" vertical="center"/>
    </xf>
    <xf numFmtId="165" fontId="7" fillId="6" borderId="0" xfId="4" applyNumberFormat="1" applyFont="1" applyFill="1" applyBorder="1" applyAlignment="1">
      <alignment horizontal="left" vertical="center"/>
    </xf>
    <xf numFmtId="164" fontId="7" fillId="6" borderId="0" xfId="4" applyNumberFormat="1" applyFont="1" applyFill="1" applyBorder="1" applyAlignment="1">
      <alignment horizontal="center" vertical="center"/>
    </xf>
    <xf numFmtId="165" fontId="7" fillId="4" borderId="0" xfId="1" applyNumberFormat="1" applyFont="1" applyFill="1" applyAlignment="1">
      <alignment horizontal="center" vertical="center"/>
    </xf>
    <xf numFmtId="165" fontId="7" fillId="2" borderId="0" xfId="4" applyNumberFormat="1" applyFont="1" applyFill="1" applyBorder="1" applyAlignment="1">
      <alignment horizontal="center" vertical="center"/>
    </xf>
    <xf numFmtId="9" fontId="7" fillId="12" borderId="0" xfId="1" applyNumberFormat="1" applyFont="1" applyFill="1" applyAlignment="1">
      <alignment horizontal="center" vertical="center"/>
    </xf>
    <xf numFmtId="0" fontId="7" fillId="8" borderId="4" xfId="1" applyFont="1" applyFill="1" applyBorder="1" applyAlignment="1">
      <alignment horizontal="center" vertical="center"/>
    </xf>
    <xf numFmtId="2" fontId="7" fillId="8" borderId="13" xfId="1" applyNumberFormat="1" applyFont="1" applyFill="1" applyBorder="1" applyAlignment="1">
      <alignment horizontal="center" vertical="center"/>
    </xf>
    <xf numFmtId="0" fontId="7" fillId="6" borderId="0" xfId="1" applyFont="1" applyFill="1" applyAlignment="1">
      <alignment horizontal="center" vertical="center"/>
    </xf>
    <xf numFmtId="166" fontId="7" fillId="6" borderId="0" xfId="1" applyNumberFormat="1" applyFont="1" applyFill="1" applyAlignment="1">
      <alignment horizontal="center" vertical="center"/>
    </xf>
    <xf numFmtId="165" fontId="8" fillId="3" borderId="0" xfId="1" applyNumberFormat="1" applyFont="1" applyFill="1" applyAlignment="1">
      <alignment horizontal="center" vertical="center"/>
    </xf>
    <xf numFmtId="165" fontId="8" fillId="6" borderId="15" xfId="1" applyNumberFormat="1" applyFont="1" applyFill="1" applyBorder="1" applyAlignment="1">
      <alignment horizontal="center" vertical="center"/>
    </xf>
    <xf numFmtId="165" fontId="7" fillId="5" borderId="16" xfId="1" applyNumberFormat="1" applyFont="1" applyFill="1" applyBorder="1" applyAlignment="1">
      <alignment horizontal="center" vertical="center"/>
    </xf>
    <xf numFmtId="165" fontId="7" fillId="0" borderId="0" xfId="1" applyNumberFormat="1" applyFont="1" applyAlignment="1">
      <alignment horizontal="center"/>
    </xf>
    <xf numFmtId="168" fontId="7" fillId="0" borderId="0" xfId="5" applyNumberFormat="1" applyFont="1" applyAlignment="1">
      <alignment horizontal="center"/>
    </xf>
    <xf numFmtId="165" fontId="7" fillId="0" borderId="0" xfId="4" applyNumberFormat="1" applyFont="1" applyAlignment="1">
      <alignment horizontal="center"/>
    </xf>
    <xf numFmtId="1" fontId="7" fillId="0" borderId="0" xfId="5" applyNumberFormat="1" applyFont="1" applyAlignment="1">
      <alignment horizontal="center"/>
    </xf>
    <xf numFmtId="0" fontId="7" fillId="0" borderId="0" xfId="1" applyFont="1" applyAlignment="1">
      <alignment horizontal="center"/>
    </xf>
    <xf numFmtId="0" fontId="6" fillId="0" borderId="2" xfId="0" applyFont="1" applyBorder="1"/>
    <xf numFmtId="0" fontId="8" fillId="0" borderId="6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7" fillId="11" borderId="1" xfId="1" applyFont="1" applyFill="1" applyBorder="1"/>
    <xf numFmtId="0" fontId="9" fillId="6" borderId="6" xfId="2" applyFont="1" applyFill="1" applyBorder="1" applyAlignment="1">
      <alignment vertical="center"/>
    </xf>
    <xf numFmtId="0" fontId="9" fillId="6" borderId="8" xfId="2" applyFont="1" applyFill="1" applyBorder="1" applyAlignment="1">
      <alignment vertical="center"/>
    </xf>
    <xf numFmtId="0" fontId="7" fillId="6" borderId="2" xfId="1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9" fillId="6" borderId="2" xfId="3" applyFont="1" applyFill="1" applyBorder="1" applyAlignment="1">
      <alignment vertical="center" wrapText="1"/>
    </xf>
    <xf numFmtId="0" fontId="6" fillId="6" borderId="2" xfId="3" applyFont="1" applyFill="1" applyBorder="1" applyAlignment="1">
      <alignment vertical="center" wrapText="1"/>
    </xf>
    <xf numFmtId="0" fontId="9" fillId="6" borderId="1" xfId="3" applyFont="1" applyFill="1" applyBorder="1" applyAlignment="1">
      <alignment vertical="center" wrapText="1"/>
    </xf>
    <xf numFmtId="0" fontId="7" fillId="6" borderId="2" xfId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9" fillId="6" borderId="2" xfId="3" applyFont="1" applyFill="1" applyBorder="1" applyAlignment="1">
      <alignment horizontal="center" vertical="center" wrapText="1"/>
    </xf>
    <xf numFmtId="0" fontId="9" fillId="6" borderId="1" xfId="3" applyFont="1" applyFill="1" applyBorder="1" applyAlignment="1">
      <alignment horizontal="center" vertical="center" wrapText="1"/>
    </xf>
    <xf numFmtId="0" fontId="7" fillId="6" borderId="3" xfId="1" applyFont="1" applyFill="1" applyBorder="1" applyAlignment="1">
      <alignment vertical="center"/>
    </xf>
    <xf numFmtId="0" fontId="7" fillId="7" borderId="3" xfId="1" applyFont="1" applyFill="1" applyBorder="1" applyAlignment="1">
      <alignment vertical="center" wrapText="1"/>
    </xf>
    <xf numFmtId="0" fontId="8" fillId="4" borderId="3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 wrapText="1"/>
    </xf>
    <xf numFmtId="0" fontId="8" fillId="8" borderId="1" xfId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vertical="center" wrapText="1"/>
    </xf>
    <xf numFmtId="0" fontId="11" fillId="6" borderId="3" xfId="0" applyFont="1" applyFill="1" applyBorder="1" applyAlignment="1">
      <alignment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vertical="center" wrapText="1"/>
    </xf>
    <xf numFmtId="0" fontId="8" fillId="6" borderId="1" xfId="1" applyFont="1" applyFill="1" applyBorder="1" applyAlignment="1">
      <alignment horizontal="center" wrapText="1"/>
    </xf>
    <xf numFmtId="0" fontId="8" fillId="6" borderId="1" xfId="1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center" vertical="center" wrapText="1"/>
    </xf>
    <xf numFmtId="165" fontId="6" fillId="0" borderId="16" xfId="4" applyNumberFormat="1" applyFont="1" applyFill="1" applyBorder="1" applyAlignment="1">
      <alignment horizontal="center" vertical="center"/>
    </xf>
    <xf numFmtId="165" fontId="6" fillId="0" borderId="16" xfId="2" applyNumberFormat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5" fontId="6" fillId="0" borderId="10" xfId="4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14" fontId="6" fillId="6" borderId="0" xfId="0" applyNumberFormat="1" applyFont="1" applyFill="1" applyAlignment="1">
      <alignment horizontal="center" vertical="center"/>
    </xf>
    <xf numFmtId="14" fontId="6" fillId="0" borderId="0" xfId="0" applyNumberFormat="1" applyFont="1"/>
    <xf numFmtId="0" fontId="9" fillId="0" borderId="21" xfId="0" applyFont="1" applyBorder="1"/>
    <xf numFmtId="0" fontId="10" fillId="6" borderId="2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8" fillId="3" borderId="0" xfId="1" applyFont="1" applyFill="1" applyAlignment="1">
      <alignment horizont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0" xfId="0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wrapText="1"/>
    </xf>
    <xf numFmtId="0" fontId="6" fillId="10" borderId="10" xfId="0" applyFont="1" applyFill="1" applyBorder="1" applyAlignment="1">
      <alignment horizontal="center"/>
    </xf>
    <xf numFmtId="0" fontId="8" fillId="4" borderId="0" xfId="1" applyFont="1" applyFill="1" applyAlignment="1">
      <alignment horizontal="center" wrapText="1"/>
    </xf>
    <xf numFmtId="0" fontId="7" fillId="0" borderId="10" xfId="0" applyFont="1" applyBorder="1" applyAlignment="1">
      <alignment horizontal="left" wrapText="1"/>
    </xf>
    <xf numFmtId="0" fontId="7" fillId="14" borderId="10" xfId="0" applyFont="1" applyFill="1" applyBorder="1" applyAlignment="1">
      <alignment horizontal="left"/>
    </xf>
    <xf numFmtId="0" fontId="7" fillId="10" borderId="17" xfId="0" applyFont="1" applyFill="1" applyBorder="1" applyAlignment="1">
      <alignment horizontal="left"/>
    </xf>
    <xf numFmtId="0" fontId="7" fillId="10" borderId="18" xfId="0" applyFont="1" applyFill="1" applyBorder="1" applyAlignment="1">
      <alignment horizontal="left"/>
    </xf>
    <xf numFmtId="0" fontId="7" fillId="10" borderId="19" xfId="0" applyFont="1" applyFill="1" applyBorder="1" applyAlignment="1">
      <alignment horizontal="left"/>
    </xf>
    <xf numFmtId="0" fontId="7" fillId="13" borderId="17" xfId="0" applyFont="1" applyFill="1" applyBorder="1" applyAlignment="1">
      <alignment horizontal="center"/>
    </xf>
    <xf numFmtId="0" fontId="7" fillId="13" borderId="18" xfId="0" applyFont="1" applyFill="1" applyBorder="1" applyAlignment="1">
      <alignment horizontal="center"/>
    </xf>
    <xf numFmtId="0" fontId="7" fillId="13" borderId="10" xfId="0" applyFont="1" applyFill="1" applyBorder="1" applyAlignment="1">
      <alignment horizontal="center"/>
    </xf>
    <xf numFmtId="0" fontId="6" fillId="13" borderId="10" xfId="0" applyFont="1" applyFill="1" applyBorder="1" applyAlignment="1">
      <alignment horizontal="center"/>
    </xf>
    <xf numFmtId="0" fontId="7" fillId="14" borderId="10" xfId="0" applyFont="1" applyFill="1" applyBorder="1" applyAlignment="1">
      <alignment horizontal="center"/>
    </xf>
    <xf numFmtId="0" fontId="6" fillId="0" borderId="17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0" xfId="0" applyFont="1" applyFill="1"/>
  </cellXfs>
  <cellStyles count="6">
    <cellStyle name="Comma" xfId="4" builtinId="3"/>
    <cellStyle name="Normal" xfId="0" builtinId="0"/>
    <cellStyle name="Normal 13" xfId="3"/>
    <cellStyle name="Normal 2" xfId="1"/>
    <cellStyle name="Normal 5" xfId="2"/>
    <cellStyle name="Percent" xfId="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X2520"/>
  <sheetViews>
    <sheetView tabSelected="1" topLeftCell="A4" workbookViewId="0">
      <selection activeCell="A7" sqref="A7:A14"/>
    </sheetView>
  </sheetViews>
  <sheetFormatPr defaultRowHeight="13.5" x14ac:dyDescent="0.25"/>
  <cols>
    <col min="1" max="1" width="9.140625" style="2"/>
    <col min="2" max="2" width="9.28515625" style="2" customWidth="1"/>
    <col min="3" max="3" width="10.7109375" style="116" customWidth="1"/>
    <col min="4" max="4" width="9.28515625" style="2" bestFit="1" customWidth="1"/>
    <col min="5" max="5" width="12.28515625" style="2" customWidth="1"/>
    <col min="6" max="6" width="9.28515625" style="2" bestFit="1" customWidth="1"/>
    <col min="7" max="8" width="9.140625" style="2"/>
    <col min="9" max="10" width="9.28515625" style="2" bestFit="1" customWidth="1"/>
    <col min="11" max="12" width="9.140625" style="2"/>
    <col min="13" max="13" width="9.28515625" style="2" bestFit="1" customWidth="1"/>
    <col min="14" max="15" width="9.140625" style="2"/>
    <col min="16" max="16" width="9.28515625" style="2" bestFit="1" customWidth="1"/>
    <col min="17" max="18" width="9.140625" style="2"/>
    <col min="19" max="19" width="9.28515625" style="2" bestFit="1" customWidth="1"/>
    <col min="20" max="25" width="9.140625" style="2"/>
    <col min="26" max="26" width="11.85546875" style="2" customWidth="1"/>
    <col min="27" max="27" width="43.85546875" style="2" customWidth="1"/>
    <col min="28" max="28" width="9.140625" style="2"/>
    <col min="29" max="31" width="11" style="2" bestFit="1" customWidth="1"/>
    <col min="32" max="32" width="11.5703125" style="2" customWidth="1"/>
    <col min="33" max="33" width="9.140625" style="2"/>
    <col min="34" max="34" width="12.140625" style="2" customWidth="1"/>
    <col min="35" max="35" width="11" style="2" bestFit="1" customWidth="1"/>
    <col min="36" max="36" width="11.28515625" style="2" customWidth="1"/>
    <col min="37" max="38" width="11" style="2" bestFit="1" customWidth="1"/>
    <col min="39" max="40" width="9.28515625" style="2" bestFit="1" customWidth="1"/>
    <col min="41" max="41" width="11" style="2" bestFit="1" customWidth="1"/>
    <col min="42" max="42" width="9.140625" style="2"/>
    <col min="43" max="43" width="35.42578125" style="2" bestFit="1" customWidth="1"/>
    <col min="44" max="48" width="9.140625" style="2"/>
    <col min="49" max="50" width="9.42578125" style="2" bestFit="1" customWidth="1"/>
    <col min="51" max="51" width="9.140625" style="2"/>
    <col min="52" max="55" width="9.28515625" style="2" bestFit="1" customWidth="1"/>
    <col min="56" max="56" width="9.140625" style="2"/>
    <col min="57" max="61" width="9.28515625" style="2" bestFit="1" customWidth="1"/>
    <col min="62" max="63" width="9.140625" style="2"/>
    <col min="64" max="64" width="9.28515625" style="2" bestFit="1" customWidth="1"/>
    <col min="65" max="67" width="9.140625" style="2"/>
    <col min="68" max="69" width="9.28515625" style="2" bestFit="1" customWidth="1"/>
    <col min="70" max="70" width="9.140625" style="2"/>
    <col min="71" max="74" width="9.28515625" style="2" bestFit="1" customWidth="1"/>
    <col min="75" max="75" width="9.140625" style="2"/>
    <col min="76" max="80" width="9.28515625" style="2" bestFit="1" customWidth="1"/>
    <col min="81" max="82" width="9.140625" style="2"/>
    <col min="83" max="83" width="9.28515625" style="2" bestFit="1" customWidth="1"/>
    <col min="84" max="86" width="9.140625" style="2"/>
    <col min="87" max="88" width="9.28515625" style="2" bestFit="1" customWidth="1"/>
    <col min="89" max="89" width="9.140625" style="2"/>
    <col min="90" max="92" width="9.28515625" style="2" bestFit="1" customWidth="1"/>
    <col min="93" max="98" width="9.140625" style="2"/>
    <col min="99" max="99" width="9.28515625" style="2" bestFit="1" customWidth="1"/>
    <col min="100" max="101" width="9.140625" style="2"/>
    <col min="102" max="102" width="9.28515625" style="2" bestFit="1" customWidth="1"/>
    <col min="103" max="108" width="9.140625" style="2"/>
    <col min="109" max="112" width="9.28515625" style="2" bestFit="1" customWidth="1"/>
    <col min="113" max="113" width="9.140625" style="2"/>
    <col min="114" max="114" width="9.28515625" style="2" bestFit="1" customWidth="1"/>
    <col min="115" max="115" width="9.140625" style="2"/>
    <col min="116" max="116" width="9.28515625" style="2" bestFit="1" customWidth="1"/>
    <col min="117" max="117" width="9.140625" style="2"/>
    <col min="118" max="118" width="9.28515625" style="2" bestFit="1" customWidth="1"/>
    <col min="119" max="120" width="9.140625" style="2"/>
    <col min="121" max="121" width="9.28515625" style="2" bestFit="1" customWidth="1"/>
    <col min="122" max="127" width="9.140625" style="2"/>
    <col min="128" max="130" width="9.28515625" style="2" bestFit="1" customWidth="1"/>
    <col min="131" max="136" width="9.140625" style="2"/>
    <col min="137" max="137" width="9.28515625" style="2" bestFit="1" customWidth="1"/>
    <col min="138" max="139" width="9.140625" style="2"/>
    <col min="140" max="140" width="9.28515625" style="2" bestFit="1" customWidth="1"/>
    <col min="141" max="146" width="9.140625" style="2"/>
    <col min="147" max="149" width="9.28515625" style="2" bestFit="1" customWidth="1"/>
    <col min="150" max="155" width="9.140625" style="2"/>
    <col min="156" max="156" width="9.28515625" style="2" bestFit="1" customWidth="1"/>
    <col min="157" max="158" width="9.140625" style="2"/>
    <col min="159" max="159" width="9.28515625" style="2" bestFit="1" customWidth="1"/>
    <col min="160" max="165" width="9.140625" style="2"/>
    <col min="166" max="168" width="9.28515625" style="2" bestFit="1" customWidth="1"/>
    <col min="169" max="174" width="9.140625" style="2"/>
    <col min="175" max="175" width="9.28515625" style="2" bestFit="1" customWidth="1"/>
    <col min="176" max="177" width="9.140625" style="2"/>
    <col min="178" max="178" width="9.28515625" style="2" bestFit="1" customWidth="1"/>
    <col min="179" max="184" width="9.140625" style="2"/>
    <col min="185" max="187" width="9.28515625" style="2" bestFit="1" customWidth="1"/>
    <col min="188" max="193" width="9.140625" style="2"/>
    <col min="194" max="194" width="9.28515625" style="2" bestFit="1" customWidth="1"/>
    <col min="195" max="196" width="9.140625" style="2"/>
    <col min="197" max="197" width="9.28515625" style="2" bestFit="1" customWidth="1"/>
    <col min="198" max="203" width="9.140625" style="2"/>
    <col min="204" max="206" width="9.28515625" style="2" bestFit="1" customWidth="1"/>
    <col min="207" max="212" width="9.140625" style="2"/>
    <col min="213" max="213" width="9.28515625" style="2" bestFit="1" customWidth="1"/>
    <col min="214" max="215" width="9.140625" style="2"/>
    <col min="216" max="216" width="9.28515625" style="2" bestFit="1" customWidth="1"/>
    <col min="217" max="222" width="9.140625" style="2"/>
    <col min="223" max="225" width="9.28515625" style="2" bestFit="1" customWidth="1"/>
    <col min="226" max="231" width="9.140625" style="2"/>
    <col min="232" max="232" width="9.28515625" style="2" bestFit="1" customWidth="1"/>
    <col min="233" max="234" width="9.140625" style="2"/>
    <col min="235" max="235" width="9.28515625" style="2" bestFit="1" customWidth="1"/>
    <col min="236" max="241" width="9.140625" style="2"/>
    <col min="242" max="242" width="9.28515625" style="2" bestFit="1" customWidth="1"/>
    <col min="243" max="245" width="9.140625" style="2"/>
    <col min="246" max="246" width="9.28515625" style="2" bestFit="1" customWidth="1"/>
    <col min="247" max="249" width="9.140625" style="2"/>
    <col min="250" max="250" width="9.28515625" style="2" bestFit="1" customWidth="1"/>
    <col min="251" max="251" width="9.140625" style="2"/>
    <col min="252" max="252" width="9.28515625" style="2" bestFit="1" customWidth="1"/>
    <col min="253" max="260" width="9.140625" style="2"/>
    <col min="261" max="261" width="19" style="2" customWidth="1"/>
    <col min="262" max="264" width="9.28515625" style="2" bestFit="1" customWidth="1"/>
    <col min="265" max="265" width="9.140625" style="2"/>
    <col min="266" max="270" width="9.28515625" style="2" bestFit="1" customWidth="1"/>
    <col min="271" max="272" width="9.140625" style="2"/>
    <col min="273" max="273" width="9.28515625" style="2" bestFit="1" customWidth="1"/>
    <col min="274" max="279" width="9.140625" style="2"/>
    <col min="280" max="284" width="9.28515625" style="2" bestFit="1" customWidth="1"/>
    <col min="285" max="285" width="9.140625" style="2"/>
    <col min="286" max="290" width="9.28515625" style="2" bestFit="1" customWidth="1"/>
    <col min="291" max="292" width="9.140625" style="2"/>
    <col min="293" max="293" width="9.85546875" style="2" bestFit="1" customWidth="1"/>
    <col min="294" max="296" width="9.140625" style="2"/>
    <col min="297" max="299" width="9.28515625" style="2" bestFit="1" customWidth="1"/>
    <col min="300" max="300" width="9.140625" style="2"/>
    <col min="301" max="301" width="14.42578125" style="2" customWidth="1"/>
    <col min="302" max="304" width="9.28515625" style="2" bestFit="1" customWidth="1"/>
    <col min="305" max="305" width="9.140625" style="2"/>
    <col min="306" max="310" width="9.28515625" style="2" bestFit="1" customWidth="1"/>
    <col min="311" max="312" width="9.140625" style="2"/>
    <col min="313" max="313" width="9.85546875" style="2" bestFit="1" customWidth="1"/>
    <col min="314" max="316" width="9.140625" style="2"/>
    <col min="317" max="318" width="9.28515625" style="2" bestFit="1" customWidth="1"/>
    <col min="319" max="319" width="9.42578125" style="2" bestFit="1" customWidth="1"/>
    <col min="320" max="320" width="9.140625" style="2"/>
    <col min="321" max="323" width="9.28515625" style="2" bestFit="1" customWidth="1"/>
    <col min="324" max="324" width="9.140625" style="2"/>
    <col min="325" max="328" width="9.28515625" style="2" bestFit="1" customWidth="1"/>
    <col min="329" max="329" width="9.140625" style="2"/>
    <col min="330" max="334" width="9.28515625" style="2" bestFit="1" customWidth="1"/>
    <col min="335" max="336" width="9.140625" style="2"/>
    <col min="337" max="337" width="9.28515625" style="2" bestFit="1" customWidth="1"/>
    <col min="338" max="340" width="9.140625" style="2"/>
    <col min="341" max="342" width="9.28515625" style="2" bestFit="1" customWidth="1"/>
    <col min="343" max="343" width="9.42578125" style="2" bestFit="1" customWidth="1"/>
    <col min="344" max="344" width="9.140625" style="2"/>
    <col min="345" max="346" width="9.28515625" style="2" bestFit="1" customWidth="1"/>
    <col min="347" max="347" width="9.140625" style="2"/>
    <col min="348" max="351" width="9.28515625" style="2" bestFit="1" customWidth="1"/>
    <col min="352" max="353" width="9.140625" style="2"/>
    <col min="354" max="354" width="9.28515625" style="2" bestFit="1" customWidth="1"/>
    <col min="355" max="357" width="9.140625" style="2"/>
    <col min="358" max="362" width="9.28515625" style="2" bestFit="1" customWidth="1"/>
    <col min="363" max="363" width="9.140625" style="2"/>
    <col min="364" max="367" width="9.28515625" style="2" bestFit="1" customWidth="1"/>
    <col min="368" max="368" width="9.140625" style="2"/>
    <col min="369" max="373" width="9.28515625" style="2" bestFit="1" customWidth="1"/>
    <col min="374" max="375" width="9.140625" style="2"/>
    <col min="376" max="376" width="9.28515625" style="2" bestFit="1" customWidth="1"/>
    <col min="377" max="379" width="9.140625" style="2"/>
    <col min="380" max="381" width="9.28515625" style="2" bestFit="1" customWidth="1"/>
    <col min="382" max="382" width="11" style="2" bestFit="1" customWidth="1"/>
    <col min="383" max="383" width="9.140625" style="2"/>
    <col min="384" max="386" width="9.28515625" style="2" bestFit="1" customWidth="1"/>
    <col min="387" max="388" width="9.140625" style="2"/>
    <col min="389" max="389" width="9.28515625" style="2" bestFit="1" customWidth="1"/>
    <col min="390" max="392" width="9.42578125" style="2" bestFit="1" customWidth="1"/>
    <col min="393" max="393" width="9.140625" style="2"/>
    <col min="394" max="396" width="9.28515625" style="2" bestFit="1" customWidth="1"/>
    <col min="397" max="397" width="9.42578125" style="2" bestFit="1" customWidth="1"/>
    <col min="398" max="398" width="9.28515625" style="2" bestFit="1" customWidth="1"/>
    <col min="399" max="400" width="9.140625" style="2"/>
    <col min="401" max="401" width="9.28515625" style="2" bestFit="1" customWidth="1"/>
    <col min="402" max="404" width="9.140625" style="2"/>
    <col min="405" max="406" width="9.28515625" style="2" bestFit="1" customWidth="1"/>
    <col min="407" max="407" width="10.7109375" style="2" bestFit="1" customWidth="1"/>
    <col min="408" max="408" width="9.140625" style="2"/>
    <col min="409" max="409" width="9.28515625" style="2" bestFit="1" customWidth="1"/>
    <col min="410" max="410" width="9.140625" style="2"/>
    <col min="411" max="412" width="9.28515625" style="2" bestFit="1" customWidth="1"/>
    <col min="413" max="413" width="9.140625" style="2"/>
    <col min="414" max="414" width="9.42578125" style="2" bestFit="1" customWidth="1"/>
    <col min="415" max="16384" width="9.140625" style="2"/>
  </cols>
  <sheetData>
    <row r="1" spans="1:414" ht="14.25" thickBot="1" x14ac:dyDescent="0.3">
      <c r="C1" s="3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 t="s">
        <v>0</v>
      </c>
      <c r="AY1" s="11"/>
      <c r="AZ1" s="29" t="s">
        <v>0</v>
      </c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 t="s">
        <v>0</v>
      </c>
      <c r="BR1" s="11"/>
      <c r="BS1" s="11" t="s">
        <v>0</v>
      </c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 t="s">
        <v>0</v>
      </c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 t="s">
        <v>0</v>
      </c>
      <c r="DD1" s="11"/>
      <c r="DE1" s="11" t="s">
        <v>0</v>
      </c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 t="s">
        <v>0</v>
      </c>
      <c r="DW1" s="11"/>
      <c r="DX1" s="11" t="s">
        <v>0</v>
      </c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 t="s">
        <v>0</v>
      </c>
      <c r="EP1" s="11"/>
      <c r="EQ1" s="11" t="s">
        <v>0</v>
      </c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 t="s">
        <v>0</v>
      </c>
      <c r="FI1" s="11"/>
      <c r="FJ1" s="11" t="s">
        <v>0</v>
      </c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 t="s">
        <v>0</v>
      </c>
      <c r="GB1" s="11"/>
      <c r="GC1" s="11" t="s">
        <v>0</v>
      </c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 t="s">
        <v>0</v>
      </c>
      <c r="GU1" s="11"/>
      <c r="GV1" s="11" t="s">
        <v>0</v>
      </c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I1" s="11"/>
      <c r="HJ1" s="11"/>
      <c r="HK1" s="11"/>
      <c r="HL1" s="11"/>
      <c r="HM1" s="11" t="s">
        <v>0</v>
      </c>
      <c r="HN1" s="11"/>
      <c r="HO1" s="11" t="s">
        <v>0</v>
      </c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 t="s">
        <v>0</v>
      </c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 t="s">
        <v>1</v>
      </c>
      <c r="IU1" s="11"/>
      <c r="IV1" s="11"/>
      <c r="IW1" s="11"/>
      <c r="IX1" s="11"/>
      <c r="IY1" s="11"/>
      <c r="IZ1" s="11"/>
      <c r="JA1" s="11" t="s">
        <v>0</v>
      </c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 t="s">
        <v>0</v>
      </c>
      <c r="JS1" s="11"/>
      <c r="JT1" s="11"/>
      <c r="JU1" s="13" t="s">
        <v>0</v>
      </c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 t="s">
        <v>0</v>
      </c>
      <c r="KN1" s="11"/>
      <c r="KO1" s="14" t="s">
        <v>0</v>
      </c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 t="s">
        <v>0</v>
      </c>
      <c r="LH1" s="11"/>
      <c r="LI1" s="11"/>
      <c r="LJ1" s="11"/>
      <c r="LK1" s="11"/>
      <c r="LL1" s="11"/>
      <c r="LM1" s="15" t="s">
        <v>0</v>
      </c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 t="s">
        <v>0</v>
      </c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5" t="s">
        <v>0</v>
      </c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9"/>
      <c r="NS1" s="11"/>
      <c r="NT1" s="11"/>
      <c r="NU1" s="11"/>
      <c r="NV1" s="11"/>
      <c r="NW1" s="11"/>
      <c r="NX1" s="11"/>
      <c r="NY1" s="35" t="s">
        <v>0</v>
      </c>
    </row>
    <row r="2" spans="1:414" ht="30" customHeight="1" thickBot="1" x14ac:dyDescent="0.3">
      <c r="B2" s="2" t="s">
        <v>139</v>
      </c>
      <c r="C2" s="36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 t="s">
        <v>239</v>
      </c>
      <c r="AC2" s="11" t="s">
        <v>107</v>
      </c>
      <c r="AD2" s="11" t="s">
        <v>108</v>
      </c>
      <c r="AE2" s="11" t="s">
        <v>109</v>
      </c>
      <c r="AF2" s="11" t="s">
        <v>110</v>
      </c>
      <c r="AG2" s="11" t="s">
        <v>111</v>
      </c>
      <c r="AH2" s="11" t="s">
        <v>112</v>
      </c>
      <c r="AI2" s="11" t="s">
        <v>113</v>
      </c>
      <c r="AJ2" s="11" t="s">
        <v>114</v>
      </c>
      <c r="AK2" s="11" t="s">
        <v>115</v>
      </c>
      <c r="AL2" s="11" t="s">
        <v>116</v>
      </c>
      <c r="AM2" s="11" t="s">
        <v>117</v>
      </c>
      <c r="AN2" s="11" t="s">
        <v>118</v>
      </c>
      <c r="AO2" s="11" t="s">
        <v>119</v>
      </c>
      <c r="AP2" s="11" t="s">
        <v>120</v>
      </c>
      <c r="AQ2" s="11"/>
      <c r="AR2" s="11" t="s">
        <v>121</v>
      </c>
      <c r="AS2" s="11"/>
      <c r="AT2" s="11" t="s">
        <v>122</v>
      </c>
      <c r="AU2" s="11"/>
      <c r="AV2" s="11"/>
      <c r="AW2" s="11" t="s">
        <v>123</v>
      </c>
      <c r="AX2" s="11" t="s">
        <v>124</v>
      </c>
      <c r="AY2" s="11" t="s">
        <v>240</v>
      </c>
      <c r="AZ2" s="120" t="s">
        <v>2</v>
      </c>
      <c r="BA2" s="120"/>
      <c r="BB2" s="120"/>
      <c r="BC2" s="120"/>
      <c r="BD2" s="120"/>
      <c r="BE2" s="120"/>
      <c r="BF2" s="120"/>
      <c r="BG2" s="120"/>
      <c r="BH2" s="120"/>
      <c r="BI2" s="120"/>
      <c r="BJ2" s="120"/>
      <c r="BK2" s="120"/>
      <c r="BL2" s="120"/>
      <c r="BM2" s="120"/>
      <c r="BN2" s="120"/>
      <c r="BO2" s="120"/>
      <c r="BP2" s="120"/>
      <c r="BQ2" s="120"/>
      <c r="BR2" s="11"/>
      <c r="BS2" s="120" t="s">
        <v>3</v>
      </c>
      <c r="BT2" s="120"/>
      <c r="BU2" s="120"/>
      <c r="BV2" s="120"/>
      <c r="BW2" s="120"/>
      <c r="BX2" s="120"/>
      <c r="BY2" s="120"/>
      <c r="BZ2" s="120"/>
      <c r="CA2" s="120"/>
      <c r="CB2" s="120"/>
      <c r="CC2" s="120"/>
      <c r="CD2" s="120"/>
      <c r="CE2" s="120"/>
      <c r="CF2" s="120"/>
      <c r="CG2" s="120"/>
      <c r="CH2" s="120"/>
      <c r="CI2" s="120"/>
      <c r="CJ2" s="120"/>
      <c r="CK2" s="11"/>
      <c r="CL2" s="120" t="s">
        <v>4</v>
      </c>
      <c r="CM2" s="120"/>
      <c r="CN2" s="120"/>
      <c r="CO2" s="120"/>
      <c r="CP2" s="120"/>
      <c r="CQ2" s="120"/>
      <c r="CR2" s="120"/>
      <c r="CS2" s="120"/>
      <c r="CT2" s="120"/>
      <c r="CU2" s="120"/>
      <c r="CV2" s="120"/>
      <c r="CW2" s="120"/>
      <c r="CX2" s="120"/>
      <c r="CY2" s="120"/>
      <c r="CZ2" s="120"/>
      <c r="DA2" s="120"/>
      <c r="DB2" s="120"/>
      <c r="DC2" s="120"/>
      <c r="DD2" s="11"/>
      <c r="DE2" s="120" t="s">
        <v>5</v>
      </c>
      <c r="DF2" s="120"/>
      <c r="DG2" s="120"/>
      <c r="DH2" s="120"/>
      <c r="DI2" s="120"/>
      <c r="DJ2" s="120"/>
      <c r="DK2" s="120"/>
      <c r="DL2" s="120"/>
      <c r="DM2" s="120"/>
      <c r="DN2" s="120"/>
      <c r="DO2" s="120"/>
      <c r="DP2" s="120"/>
      <c r="DQ2" s="120"/>
      <c r="DR2" s="120"/>
      <c r="DS2" s="120"/>
      <c r="DT2" s="120"/>
      <c r="DU2" s="120"/>
      <c r="DV2" s="120"/>
      <c r="DW2" s="11"/>
      <c r="DX2" s="120" t="s">
        <v>6</v>
      </c>
      <c r="DY2" s="120"/>
      <c r="DZ2" s="120"/>
      <c r="EA2" s="120"/>
      <c r="EB2" s="120"/>
      <c r="EC2" s="120"/>
      <c r="ED2" s="120"/>
      <c r="EE2" s="120"/>
      <c r="EF2" s="120"/>
      <c r="EG2" s="120"/>
      <c r="EH2" s="120"/>
      <c r="EI2" s="120"/>
      <c r="EJ2" s="120"/>
      <c r="EK2" s="120"/>
      <c r="EL2" s="120"/>
      <c r="EM2" s="120"/>
      <c r="EN2" s="120"/>
      <c r="EO2" s="120"/>
      <c r="EP2" s="11"/>
      <c r="EQ2" s="120" t="s">
        <v>7</v>
      </c>
      <c r="ER2" s="120"/>
      <c r="ES2" s="120"/>
      <c r="ET2" s="120"/>
      <c r="EU2" s="120"/>
      <c r="EV2" s="120"/>
      <c r="EW2" s="120"/>
      <c r="EX2" s="120"/>
      <c r="EY2" s="120"/>
      <c r="EZ2" s="120"/>
      <c r="FA2" s="120"/>
      <c r="FB2" s="120"/>
      <c r="FC2" s="120"/>
      <c r="FD2" s="120"/>
      <c r="FE2" s="120"/>
      <c r="FF2" s="120"/>
      <c r="FG2" s="120"/>
      <c r="FH2" s="120"/>
      <c r="FI2" s="11"/>
      <c r="FJ2" s="120" t="s">
        <v>8</v>
      </c>
      <c r="FK2" s="120"/>
      <c r="FL2" s="120"/>
      <c r="FM2" s="120"/>
      <c r="FN2" s="120"/>
      <c r="FO2" s="120"/>
      <c r="FP2" s="120"/>
      <c r="FQ2" s="120"/>
      <c r="FR2" s="120"/>
      <c r="FS2" s="120"/>
      <c r="FT2" s="120"/>
      <c r="FU2" s="120"/>
      <c r="FV2" s="120"/>
      <c r="FW2" s="120"/>
      <c r="FX2" s="120"/>
      <c r="FY2" s="120"/>
      <c r="FZ2" s="120"/>
      <c r="GA2" s="120"/>
      <c r="GB2" s="11"/>
      <c r="GC2" s="120" t="s">
        <v>9</v>
      </c>
      <c r="GD2" s="120"/>
      <c r="GE2" s="120"/>
      <c r="GF2" s="120"/>
      <c r="GG2" s="120"/>
      <c r="GH2" s="120"/>
      <c r="GI2" s="120"/>
      <c r="GJ2" s="120"/>
      <c r="GK2" s="120"/>
      <c r="GL2" s="120"/>
      <c r="GM2" s="120"/>
      <c r="GN2" s="120"/>
      <c r="GO2" s="120"/>
      <c r="GP2" s="120"/>
      <c r="GQ2" s="120"/>
      <c r="GR2" s="120"/>
      <c r="GS2" s="120"/>
      <c r="GT2" s="120"/>
      <c r="GU2" s="11"/>
      <c r="GV2" s="120" t="s">
        <v>10</v>
      </c>
      <c r="GW2" s="120"/>
      <c r="GX2" s="120"/>
      <c r="GY2" s="120"/>
      <c r="GZ2" s="120"/>
      <c r="HA2" s="120"/>
      <c r="HB2" s="120"/>
      <c r="HC2" s="120"/>
      <c r="HD2" s="120"/>
      <c r="HE2" s="120"/>
      <c r="HF2" s="120"/>
      <c r="HG2" s="120"/>
      <c r="HH2" s="120"/>
      <c r="HI2" s="120"/>
      <c r="HJ2" s="120"/>
      <c r="HK2" s="120"/>
      <c r="HL2" s="120"/>
      <c r="HM2" s="120"/>
      <c r="HN2" s="11"/>
      <c r="HO2" s="120" t="s">
        <v>11</v>
      </c>
      <c r="HP2" s="120"/>
      <c r="HQ2" s="120"/>
      <c r="HR2" s="120"/>
      <c r="HS2" s="120"/>
      <c r="HT2" s="120"/>
      <c r="HU2" s="120"/>
      <c r="HV2" s="120"/>
      <c r="HW2" s="120"/>
      <c r="HX2" s="120"/>
      <c r="HY2" s="120"/>
      <c r="HZ2" s="120"/>
      <c r="IA2" s="120"/>
      <c r="IB2" s="120"/>
      <c r="IC2" s="120"/>
      <c r="ID2" s="120"/>
      <c r="IE2" s="120"/>
      <c r="IF2" s="120"/>
      <c r="IG2" s="11"/>
      <c r="IH2" s="37" t="s">
        <v>12</v>
      </c>
      <c r="II2" s="11"/>
      <c r="IJ2" s="37" t="s">
        <v>13</v>
      </c>
      <c r="IK2" s="11"/>
      <c r="IL2" s="37" t="s">
        <v>14</v>
      </c>
      <c r="IM2" s="11"/>
      <c r="IN2" s="37" t="s">
        <v>15</v>
      </c>
      <c r="IO2" s="11"/>
      <c r="IP2" s="37" t="s">
        <v>16</v>
      </c>
      <c r="IQ2" s="11"/>
      <c r="IR2" s="37" t="s">
        <v>17</v>
      </c>
      <c r="IS2" s="11"/>
      <c r="IT2" s="121" t="s">
        <v>18</v>
      </c>
      <c r="IU2" s="122"/>
      <c r="IV2" s="122"/>
      <c r="IW2" s="122"/>
      <c r="IX2" s="122"/>
      <c r="IY2" s="123"/>
      <c r="IZ2" s="11"/>
      <c r="JA2" s="120" t="s">
        <v>19</v>
      </c>
      <c r="JB2" s="120"/>
      <c r="JC2" s="120"/>
      <c r="JD2" s="120"/>
      <c r="JE2" s="120"/>
      <c r="JF2" s="120"/>
      <c r="JG2" s="120"/>
      <c r="JH2" s="120"/>
      <c r="JI2" s="120"/>
      <c r="JJ2" s="120"/>
      <c r="JK2" s="120"/>
      <c r="JL2" s="120"/>
      <c r="JM2" s="120"/>
      <c r="JN2" s="120"/>
      <c r="JO2" s="120"/>
      <c r="JP2" s="120"/>
      <c r="JQ2" s="120"/>
      <c r="JR2" s="120"/>
      <c r="JS2" s="41"/>
      <c r="JT2" s="11"/>
      <c r="JU2" s="128" t="s">
        <v>20</v>
      </c>
      <c r="JV2" s="128"/>
      <c r="JW2" s="128"/>
      <c r="JX2" s="128"/>
      <c r="JY2" s="128"/>
      <c r="JZ2" s="128"/>
      <c r="KA2" s="128"/>
      <c r="KB2" s="128"/>
      <c r="KC2" s="128"/>
      <c r="KD2" s="128"/>
      <c r="KE2" s="128"/>
      <c r="KF2" s="128"/>
      <c r="KG2" s="128"/>
      <c r="KH2" s="128"/>
      <c r="KI2" s="128"/>
      <c r="KJ2" s="128"/>
      <c r="KK2" s="128"/>
      <c r="KL2" s="128"/>
      <c r="KM2" s="13"/>
      <c r="KN2" s="11"/>
      <c r="KO2" s="126" t="s">
        <v>21</v>
      </c>
      <c r="KP2" s="126"/>
      <c r="KQ2" s="126"/>
      <c r="KR2" s="126"/>
      <c r="KS2" s="126"/>
      <c r="KT2" s="126"/>
      <c r="KU2" s="126"/>
      <c r="KV2" s="126"/>
      <c r="KW2" s="126"/>
      <c r="KX2" s="126"/>
      <c r="KY2" s="126"/>
      <c r="KZ2" s="126"/>
      <c r="LA2" s="126"/>
      <c r="LB2" s="126"/>
      <c r="LC2" s="126"/>
      <c r="LD2" s="126"/>
      <c r="LE2" s="126"/>
      <c r="LF2" s="126"/>
      <c r="LG2" s="14"/>
      <c r="LH2" s="11"/>
      <c r="LI2" s="11"/>
      <c r="LJ2" s="11"/>
      <c r="LK2" s="11"/>
      <c r="LL2" s="11"/>
      <c r="LM2" s="120" t="s">
        <v>22</v>
      </c>
      <c r="LN2" s="120"/>
      <c r="LO2" s="120"/>
      <c r="LP2" s="120"/>
      <c r="LQ2" s="120"/>
      <c r="LR2" s="120"/>
      <c r="LS2" s="120"/>
      <c r="LT2" s="120"/>
      <c r="LU2" s="120"/>
      <c r="LV2" s="120"/>
      <c r="LW2" s="120"/>
      <c r="LX2" s="120"/>
      <c r="LY2" s="120"/>
      <c r="LZ2" s="120"/>
      <c r="MA2" s="120"/>
      <c r="MB2" s="120"/>
      <c r="MC2" s="120"/>
      <c r="MD2" s="120"/>
      <c r="ME2" s="15"/>
      <c r="MF2" s="11"/>
      <c r="MG2" s="124" t="s">
        <v>23</v>
      </c>
      <c r="MH2" s="125"/>
      <c r="MI2" s="11"/>
      <c r="MJ2" s="43"/>
      <c r="MK2" s="43"/>
      <c r="ML2" s="43"/>
      <c r="MM2" s="43"/>
      <c r="MN2" s="43"/>
      <c r="MO2" s="43"/>
      <c r="MP2" s="43"/>
      <c r="MQ2" s="43"/>
      <c r="MR2" s="43"/>
      <c r="MS2" s="43"/>
      <c r="MT2" s="43"/>
      <c r="MU2" s="43"/>
      <c r="MV2" s="118" t="s">
        <v>24</v>
      </c>
      <c r="MW2" s="119"/>
      <c r="MX2" s="18"/>
      <c r="MY2" s="11"/>
      <c r="MZ2" s="120" t="s">
        <v>25</v>
      </c>
      <c r="NA2" s="120"/>
      <c r="NB2" s="120"/>
      <c r="NC2" s="120"/>
      <c r="ND2" s="120"/>
      <c r="NE2" s="120"/>
      <c r="NF2" s="120"/>
      <c r="NG2" s="120"/>
      <c r="NH2" s="120"/>
      <c r="NI2" s="120"/>
      <c r="NJ2" s="120"/>
      <c r="NK2" s="120"/>
      <c r="NL2" s="120"/>
      <c r="NM2" s="120"/>
      <c r="NN2" s="120"/>
      <c r="NO2" s="120"/>
      <c r="NP2" s="120"/>
      <c r="NQ2" s="120"/>
      <c r="NR2" s="19"/>
      <c r="NS2" s="11"/>
      <c r="NT2" s="11"/>
      <c r="NU2" s="11"/>
      <c r="NV2" s="11"/>
      <c r="NW2" s="11"/>
      <c r="NX2" s="11"/>
      <c r="NY2" s="20"/>
    </row>
    <row r="3" spans="1:414" ht="30" customHeight="1" x14ac:dyDescent="0.25">
      <c r="C3" s="36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23"/>
      <c r="AS3" s="21"/>
      <c r="AT3" s="23"/>
      <c r="AU3" s="21"/>
      <c r="AV3" s="21"/>
      <c r="AW3" s="23"/>
      <c r="AX3" s="23"/>
      <c r="AY3" s="11"/>
      <c r="BR3" s="1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1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1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1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  <c r="EP3" s="11"/>
      <c r="EQ3" s="41"/>
      <c r="ER3" s="41"/>
      <c r="ES3" s="41"/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41"/>
      <c r="FH3" s="41"/>
      <c r="FI3" s="11"/>
      <c r="FJ3" s="41"/>
      <c r="FK3" s="41"/>
      <c r="FL3" s="41"/>
      <c r="FM3" s="41"/>
      <c r="FN3" s="41"/>
      <c r="FO3" s="41"/>
      <c r="FP3" s="41"/>
      <c r="FQ3" s="41"/>
      <c r="FR3" s="41"/>
      <c r="FS3" s="41"/>
      <c r="FT3" s="41"/>
      <c r="FU3" s="41"/>
      <c r="FV3" s="41"/>
      <c r="FW3" s="41"/>
      <c r="FX3" s="41"/>
      <c r="FY3" s="41"/>
      <c r="FZ3" s="41"/>
      <c r="GA3" s="41"/>
      <c r="GB3" s="11"/>
      <c r="GC3" s="41"/>
      <c r="GD3" s="41"/>
      <c r="GE3" s="41"/>
      <c r="GF3" s="41"/>
      <c r="GG3" s="41"/>
      <c r="GH3" s="41"/>
      <c r="GI3" s="41"/>
      <c r="GJ3" s="41"/>
      <c r="GK3" s="41"/>
      <c r="GL3" s="41"/>
      <c r="GM3" s="41"/>
      <c r="GN3" s="41"/>
      <c r="GO3" s="41"/>
      <c r="GP3" s="41"/>
      <c r="GQ3" s="41"/>
      <c r="GR3" s="41"/>
      <c r="GS3" s="41"/>
      <c r="GT3" s="41"/>
      <c r="GU3" s="11"/>
      <c r="GV3" s="41"/>
      <c r="GW3" s="41"/>
      <c r="GX3" s="41"/>
      <c r="GY3" s="41"/>
      <c r="GZ3" s="41"/>
      <c r="HA3" s="41"/>
      <c r="HB3" s="41"/>
      <c r="HC3" s="41"/>
      <c r="HD3" s="41"/>
      <c r="HE3" s="41"/>
      <c r="HF3" s="41"/>
      <c r="HG3" s="41"/>
      <c r="HH3" s="41"/>
      <c r="HI3" s="41"/>
      <c r="HJ3" s="41"/>
      <c r="HK3" s="41"/>
      <c r="HL3" s="41"/>
      <c r="HM3" s="41"/>
      <c r="HN3" s="11"/>
      <c r="HO3" s="41"/>
      <c r="HP3" s="41"/>
      <c r="HQ3" s="41"/>
      <c r="HR3" s="41"/>
      <c r="HS3" s="41"/>
      <c r="HT3" s="41"/>
      <c r="HU3" s="41"/>
      <c r="HV3" s="41"/>
      <c r="HW3" s="41"/>
      <c r="HX3" s="41"/>
      <c r="HY3" s="41"/>
      <c r="HZ3" s="41"/>
      <c r="IA3" s="41"/>
      <c r="IB3" s="41"/>
      <c r="IC3" s="41"/>
      <c r="ID3" s="41"/>
      <c r="IE3" s="41"/>
      <c r="IF3" s="41"/>
      <c r="IG3" s="11"/>
      <c r="IH3" s="38"/>
      <c r="II3" s="11"/>
      <c r="IJ3" s="38"/>
      <c r="IK3" s="11"/>
      <c r="IL3" s="38"/>
      <c r="IM3" s="11"/>
      <c r="IN3" s="38"/>
      <c r="IO3" s="11"/>
      <c r="IP3" s="12"/>
      <c r="IQ3" s="11"/>
      <c r="IR3" s="12"/>
      <c r="IS3" s="11"/>
      <c r="IT3" s="12"/>
      <c r="IU3" s="26"/>
      <c r="IV3" s="26"/>
      <c r="IW3" s="26"/>
      <c r="IX3" s="26"/>
      <c r="IY3" s="26"/>
      <c r="IZ3" s="11"/>
      <c r="JA3" s="41"/>
      <c r="JB3" s="41"/>
      <c r="JC3" s="41"/>
      <c r="JD3" s="41"/>
      <c r="JE3" s="41"/>
      <c r="JF3" s="41"/>
      <c r="JG3" s="41"/>
      <c r="JH3" s="41"/>
      <c r="JI3" s="41"/>
      <c r="JJ3" s="41"/>
      <c r="JK3" s="41"/>
      <c r="JL3" s="41"/>
      <c r="JM3" s="41"/>
      <c r="JN3" s="41"/>
      <c r="JO3" s="41"/>
      <c r="JP3" s="41"/>
      <c r="JQ3" s="41"/>
      <c r="JR3" s="41"/>
      <c r="JS3" s="41"/>
      <c r="JT3" s="11"/>
      <c r="JU3" s="39"/>
      <c r="JV3" s="39"/>
      <c r="JW3" s="39"/>
      <c r="JX3" s="39"/>
      <c r="JY3" s="39"/>
      <c r="JZ3" s="39"/>
      <c r="KA3" s="39"/>
      <c r="KB3" s="39"/>
      <c r="KC3" s="39"/>
      <c r="KD3" s="39"/>
      <c r="KE3" s="39"/>
      <c r="KF3" s="39"/>
      <c r="KG3" s="39"/>
      <c r="KH3" s="39"/>
      <c r="KI3" s="39"/>
      <c r="KJ3" s="39"/>
      <c r="KK3" s="39"/>
      <c r="KL3" s="39"/>
      <c r="KM3" s="13"/>
      <c r="KN3" s="11"/>
      <c r="KO3" s="40"/>
      <c r="KP3" s="40"/>
      <c r="KQ3" s="40"/>
      <c r="KR3" s="40"/>
      <c r="KS3" s="40"/>
      <c r="KT3" s="40"/>
      <c r="KU3" s="40"/>
      <c r="KV3" s="40"/>
      <c r="KW3" s="40"/>
      <c r="KX3" s="40"/>
      <c r="KY3" s="40"/>
      <c r="KZ3" s="40"/>
      <c r="LA3" s="40"/>
      <c r="LB3" s="40"/>
      <c r="LC3" s="40"/>
      <c r="LD3" s="40"/>
      <c r="LE3" s="40"/>
      <c r="LF3" s="40"/>
      <c r="LG3" s="14"/>
      <c r="LH3" s="11"/>
      <c r="LI3" s="11"/>
      <c r="LJ3" s="11"/>
      <c r="LK3" s="11"/>
      <c r="LL3" s="11"/>
      <c r="LM3" s="41"/>
      <c r="LN3" s="41"/>
      <c r="LO3" s="41"/>
      <c r="LP3" s="41"/>
      <c r="LQ3" s="41"/>
      <c r="LR3" s="41"/>
      <c r="LS3" s="41"/>
      <c r="LT3" s="41"/>
      <c r="LU3" s="41"/>
      <c r="LV3" s="41"/>
      <c r="LW3" s="41"/>
      <c r="LX3" s="41"/>
      <c r="LY3" s="41"/>
      <c r="LZ3" s="41"/>
      <c r="MA3" s="41"/>
      <c r="MB3" s="41"/>
      <c r="MC3" s="41"/>
      <c r="MD3" s="41"/>
      <c r="ME3" s="15"/>
      <c r="MF3" s="11"/>
      <c r="MG3" s="42"/>
      <c r="MH3" s="43"/>
      <c r="MI3" s="11"/>
      <c r="MJ3" s="43"/>
      <c r="MK3" s="43"/>
      <c r="ML3" s="43"/>
      <c r="MM3" s="43"/>
      <c r="MN3" s="43"/>
      <c r="MO3" s="43"/>
      <c r="MP3" s="43"/>
      <c r="MQ3" s="43"/>
      <c r="MR3" s="43"/>
      <c r="MS3" s="43"/>
      <c r="MT3" s="43"/>
      <c r="MU3" s="43"/>
      <c r="MV3" s="16"/>
      <c r="MW3" s="17"/>
      <c r="MX3" s="18"/>
      <c r="MY3" s="11"/>
      <c r="MZ3" s="41"/>
      <c r="NA3" s="41"/>
      <c r="NB3" s="41"/>
      <c r="NC3" s="41"/>
      <c r="ND3" s="41"/>
      <c r="NE3" s="41"/>
      <c r="NF3" s="41"/>
      <c r="NG3" s="41"/>
      <c r="NH3" s="41"/>
      <c r="NI3" s="41"/>
      <c r="NJ3" s="41"/>
      <c r="NK3" s="41"/>
      <c r="NL3" s="41"/>
      <c r="NM3" s="41"/>
      <c r="NN3" s="41"/>
      <c r="NO3" s="41"/>
      <c r="NP3" s="41"/>
      <c r="NQ3" s="41"/>
      <c r="NR3" s="19"/>
      <c r="NS3" s="11"/>
      <c r="NT3" s="11"/>
      <c r="NU3" s="11"/>
      <c r="NV3" s="11"/>
      <c r="NW3" s="11"/>
      <c r="NX3" s="11"/>
      <c r="NY3" s="20"/>
    </row>
    <row r="4" spans="1:414" x14ac:dyDescent="0.25">
      <c r="B4" s="127" t="s">
        <v>215</v>
      </c>
      <c r="C4" s="127"/>
      <c r="D4" s="127"/>
      <c r="E4" s="127"/>
      <c r="F4" s="127"/>
      <c r="G4" s="127"/>
      <c r="H4" s="127"/>
      <c r="I4" s="127"/>
      <c r="J4" s="127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 t="s">
        <v>107</v>
      </c>
      <c r="BA4" s="11" t="s">
        <v>108</v>
      </c>
      <c r="BB4" s="11" t="s">
        <v>109</v>
      </c>
      <c r="BC4" s="11" t="s">
        <v>110</v>
      </c>
      <c r="BD4" s="11" t="s">
        <v>111</v>
      </c>
      <c r="BE4" s="11" t="s">
        <v>112</v>
      </c>
      <c r="BF4" s="11" t="s">
        <v>113</v>
      </c>
      <c r="BG4" s="11" t="s">
        <v>114</v>
      </c>
      <c r="BH4" s="11" t="s">
        <v>115</v>
      </c>
      <c r="BI4" s="11" t="s">
        <v>116</v>
      </c>
      <c r="BJ4" s="11" t="s">
        <v>117</v>
      </c>
      <c r="BK4" s="11" t="s">
        <v>118</v>
      </c>
      <c r="BL4" s="11" t="s">
        <v>119</v>
      </c>
      <c r="BM4" s="11" t="s">
        <v>120</v>
      </c>
      <c r="BN4" s="11" t="s">
        <v>121</v>
      </c>
      <c r="BO4" s="11" t="s">
        <v>122</v>
      </c>
      <c r="BP4" s="11" t="s">
        <v>123</v>
      </c>
      <c r="BQ4" s="11" t="s">
        <v>124</v>
      </c>
      <c r="BR4" s="11"/>
      <c r="BS4" s="11" t="s">
        <v>107</v>
      </c>
      <c r="BT4" s="11" t="s">
        <v>108</v>
      </c>
      <c r="BU4" s="11" t="s">
        <v>109</v>
      </c>
      <c r="BV4" s="11" t="s">
        <v>110</v>
      </c>
      <c r="BW4" s="11" t="s">
        <v>111</v>
      </c>
      <c r="BX4" s="11" t="s">
        <v>112</v>
      </c>
      <c r="BY4" s="11" t="s">
        <v>113</v>
      </c>
      <c r="BZ4" s="11" t="s">
        <v>114</v>
      </c>
      <c r="CA4" s="11" t="s">
        <v>115</v>
      </c>
      <c r="CB4" s="11" t="s">
        <v>116</v>
      </c>
      <c r="CC4" s="11" t="s">
        <v>117</v>
      </c>
      <c r="CD4" s="11" t="s">
        <v>118</v>
      </c>
      <c r="CE4" s="11" t="s">
        <v>119</v>
      </c>
      <c r="CF4" s="11" t="s">
        <v>120</v>
      </c>
      <c r="CG4" s="11" t="s">
        <v>121</v>
      </c>
      <c r="CH4" s="11" t="s">
        <v>122</v>
      </c>
      <c r="CI4" s="11" t="s">
        <v>123</v>
      </c>
      <c r="CJ4" s="11" t="s">
        <v>124</v>
      </c>
      <c r="CK4" s="11"/>
      <c r="CL4" s="11" t="s">
        <v>107</v>
      </c>
      <c r="CM4" s="11" t="s">
        <v>108</v>
      </c>
      <c r="CN4" s="11" t="s">
        <v>109</v>
      </c>
      <c r="CO4" s="11" t="s">
        <v>110</v>
      </c>
      <c r="CP4" s="11" t="s">
        <v>111</v>
      </c>
      <c r="CQ4" s="11" t="s">
        <v>112</v>
      </c>
      <c r="CR4" s="11" t="s">
        <v>113</v>
      </c>
      <c r="CS4" s="11" t="s">
        <v>114</v>
      </c>
      <c r="CT4" s="11" t="s">
        <v>115</v>
      </c>
      <c r="CU4" s="11" t="s">
        <v>116</v>
      </c>
      <c r="CV4" s="11" t="s">
        <v>117</v>
      </c>
      <c r="CW4" s="11" t="s">
        <v>118</v>
      </c>
      <c r="CX4" s="11" t="s">
        <v>119</v>
      </c>
      <c r="CY4" s="11" t="s">
        <v>120</v>
      </c>
      <c r="CZ4" s="11" t="s">
        <v>121</v>
      </c>
      <c r="DA4" s="11" t="s">
        <v>122</v>
      </c>
      <c r="DB4" s="11" t="s">
        <v>123</v>
      </c>
      <c r="DC4" s="11" t="s">
        <v>124</v>
      </c>
      <c r="DD4" s="11"/>
      <c r="DE4" s="11" t="s">
        <v>107</v>
      </c>
      <c r="DF4" s="11" t="s">
        <v>108</v>
      </c>
      <c r="DG4" s="11" t="s">
        <v>109</v>
      </c>
      <c r="DH4" s="11" t="s">
        <v>110</v>
      </c>
      <c r="DI4" s="11" t="s">
        <v>111</v>
      </c>
      <c r="DJ4" s="11" t="s">
        <v>112</v>
      </c>
      <c r="DK4" s="11" t="s">
        <v>113</v>
      </c>
      <c r="DL4" s="11" t="s">
        <v>114</v>
      </c>
      <c r="DM4" s="11" t="s">
        <v>115</v>
      </c>
      <c r="DN4" s="11" t="s">
        <v>116</v>
      </c>
      <c r="DO4" s="11" t="s">
        <v>117</v>
      </c>
      <c r="DP4" s="11" t="s">
        <v>118</v>
      </c>
      <c r="DQ4" s="11" t="s">
        <v>119</v>
      </c>
      <c r="DR4" s="11" t="s">
        <v>120</v>
      </c>
      <c r="DS4" s="11" t="s">
        <v>121</v>
      </c>
      <c r="DT4" s="11" t="s">
        <v>122</v>
      </c>
      <c r="DU4" s="11" t="s">
        <v>123</v>
      </c>
      <c r="DV4" s="11" t="s">
        <v>124</v>
      </c>
      <c r="DW4" s="11"/>
      <c r="DX4" s="11" t="s">
        <v>107</v>
      </c>
      <c r="DY4" s="11" t="s">
        <v>108</v>
      </c>
      <c r="DZ4" s="11" t="s">
        <v>109</v>
      </c>
      <c r="EA4" s="11" t="s">
        <v>110</v>
      </c>
      <c r="EB4" s="11" t="s">
        <v>111</v>
      </c>
      <c r="EC4" s="11" t="s">
        <v>112</v>
      </c>
      <c r="ED4" s="11" t="s">
        <v>113</v>
      </c>
      <c r="EE4" s="11" t="s">
        <v>114</v>
      </c>
      <c r="EF4" s="11" t="s">
        <v>115</v>
      </c>
      <c r="EG4" s="11" t="s">
        <v>116</v>
      </c>
      <c r="EH4" s="11" t="s">
        <v>117</v>
      </c>
      <c r="EI4" s="11" t="s">
        <v>118</v>
      </c>
      <c r="EJ4" s="11" t="s">
        <v>119</v>
      </c>
      <c r="EK4" s="11" t="s">
        <v>120</v>
      </c>
      <c r="EL4" s="11" t="s">
        <v>121</v>
      </c>
      <c r="EM4" s="11" t="s">
        <v>122</v>
      </c>
      <c r="EN4" s="11" t="s">
        <v>123</v>
      </c>
      <c r="EO4" s="11" t="s">
        <v>124</v>
      </c>
      <c r="EP4" s="11"/>
      <c r="EQ4" s="11" t="s">
        <v>107</v>
      </c>
      <c r="ER4" s="11" t="s">
        <v>108</v>
      </c>
      <c r="ES4" s="11" t="s">
        <v>109</v>
      </c>
      <c r="ET4" s="11" t="s">
        <v>110</v>
      </c>
      <c r="EU4" s="11" t="s">
        <v>111</v>
      </c>
      <c r="EV4" s="11" t="s">
        <v>112</v>
      </c>
      <c r="EW4" s="11" t="s">
        <v>113</v>
      </c>
      <c r="EX4" s="11" t="s">
        <v>114</v>
      </c>
      <c r="EY4" s="11" t="s">
        <v>115</v>
      </c>
      <c r="EZ4" s="11" t="s">
        <v>116</v>
      </c>
      <c r="FA4" s="11" t="s">
        <v>117</v>
      </c>
      <c r="FB4" s="11" t="s">
        <v>118</v>
      </c>
      <c r="FC4" s="11" t="s">
        <v>119</v>
      </c>
      <c r="FD4" s="11" t="s">
        <v>120</v>
      </c>
      <c r="FE4" s="11" t="s">
        <v>121</v>
      </c>
      <c r="FF4" s="11" t="s">
        <v>122</v>
      </c>
      <c r="FG4" s="11" t="s">
        <v>123</v>
      </c>
      <c r="FH4" s="11" t="s">
        <v>124</v>
      </c>
      <c r="FI4" s="11"/>
      <c r="FJ4" s="11" t="s">
        <v>107</v>
      </c>
      <c r="FK4" s="11" t="s">
        <v>108</v>
      </c>
      <c r="FL4" s="11" t="s">
        <v>109</v>
      </c>
      <c r="FM4" s="11" t="s">
        <v>110</v>
      </c>
      <c r="FN4" s="11" t="s">
        <v>111</v>
      </c>
      <c r="FO4" s="11" t="s">
        <v>112</v>
      </c>
      <c r="FP4" s="11" t="s">
        <v>113</v>
      </c>
      <c r="FQ4" s="11" t="s">
        <v>114</v>
      </c>
      <c r="FR4" s="11" t="s">
        <v>115</v>
      </c>
      <c r="FS4" s="11" t="s">
        <v>116</v>
      </c>
      <c r="FT4" s="11" t="s">
        <v>117</v>
      </c>
      <c r="FU4" s="11" t="s">
        <v>118</v>
      </c>
      <c r="FV4" s="11" t="s">
        <v>119</v>
      </c>
      <c r="FW4" s="11" t="s">
        <v>120</v>
      </c>
      <c r="FX4" s="11" t="s">
        <v>121</v>
      </c>
      <c r="FY4" s="11" t="s">
        <v>122</v>
      </c>
      <c r="FZ4" s="11" t="s">
        <v>123</v>
      </c>
      <c r="GA4" s="11" t="s">
        <v>124</v>
      </c>
      <c r="GB4" s="11"/>
      <c r="GC4" s="11" t="s">
        <v>107</v>
      </c>
      <c r="GD4" s="11" t="s">
        <v>108</v>
      </c>
      <c r="GE4" s="11" t="s">
        <v>109</v>
      </c>
      <c r="GF4" s="11" t="s">
        <v>110</v>
      </c>
      <c r="GG4" s="11" t="s">
        <v>111</v>
      </c>
      <c r="GH4" s="11" t="s">
        <v>112</v>
      </c>
      <c r="GI4" s="11" t="s">
        <v>113</v>
      </c>
      <c r="GJ4" s="11" t="s">
        <v>114</v>
      </c>
      <c r="GK4" s="11" t="s">
        <v>115</v>
      </c>
      <c r="GL4" s="11" t="s">
        <v>116</v>
      </c>
      <c r="GM4" s="11" t="s">
        <v>117</v>
      </c>
      <c r="GN4" s="11" t="s">
        <v>118</v>
      </c>
      <c r="GO4" s="11" t="s">
        <v>119</v>
      </c>
      <c r="GP4" s="11" t="s">
        <v>120</v>
      </c>
      <c r="GQ4" s="11" t="s">
        <v>121</v>
      </c>
      <c r="GR4" s="11" t="s">
        <v>122</v>
      </c>
      <c r="GS4" s="11" t="s">
        <v>123</v>
      </c>
      <c r="GT4" s="11" t="s">
        <v>124</v>
      </c>
      <c r="GU4" s="11"/>
      <c r="GV4" s="11" t="s">
        <v>107</v>
      </c>
      <c r="GW4" s="11" t="s">
        <v>108</v>
      </c>
      <c r="GX4" s="11" t="s">
        <v>109</v>
      </c>
      <c r="GY4" s="11" t="s">
        <v>110</v>
      </c>
      <c r="GZ4" s="11" t="s">
        <v>111</v>
      </c>
      <c r="HA4" s="11" t="s">
        <v>112</v>
      </c>
      <c r="HB4" s="11" t="s">
        <v>113</v>
      </c>
      <c r="HC4" s="11" t="s">
        <v>114</v>
      </c>
      <c r="HD4" s="11" t="s">
        <v>115</v>
      </c>
      <c r="HE4" s="11" t="s">
        <v>116</v>
      </c>
      <c r="HF4" s="11" t="s">
        <v>117</v>
      </c>
      <c r="HG4" s="11" t="s">
        <v>118</v>
      </c>
      <c r="HH4" s="11" t="s">
        <v>119</v>
      </c>
      <c r="HI4" s="11" t="s">
        <v>120</v>
      </c>
      <c r="HJ4" s="11" t="s">
        <v>121</v>
      </c>
      <c r="HK4" s="11" t="s">
        <v>122</v>
      </c>
      <c r="HL4" s="11" t="s">
        <v>123</v>
      </c>
      <c r="HM4" s="11" t="s">
        <v>124</v>
      </c>
      <c r="HN4" s="11"/>
      <c r="HO4" s="11" t="s">
        <v>107</v>
      </c>
      <c r="HP4" s="11" t="s">
        <v>108</v>
      </c>
      <c r="HQ4" s="11" t="s">
        <v>109</v>
      </c>
      <c r="HR4" s="11" t="s">
        <v>110</v>
      </c>
      <c r="HS4" s="11" t="s">
        <v>111</v>
      </c>
      <c r="HT4" s="11" t="s">
        <v>112</v>
      </c>
      <c r="HU4" s="11" t="s">
        <v>113</v>
      </c>
      <c r="HV4" s="11" t="s">
        <v>114</v>
      </c>
      <c r="HW4" s="11" t="s">
        <v>115</v>
      </c>
      <c r="HX4" s="11" t="s">
        <v>116</v>
      </c>
      <c r="HY4" s="11" t="s">
        <v>117</v>
      </c>
      <c r="HZ4" s="11" t="s">
        <v>118</v>
      </c>
      <c r="IA4" s="11" t="s">
        <v>119</v>
      </c>
      <c r="IB4" s="11" t="s">
        <v>120</v>
      </c>
      <c r="IC4" s="11" t="s">
        <v>121</v>
      </c>
      <c r="ID4" s="11" t="s">
        <v>122</v>
      </c>
      <c r="IE4" s="11" t="s">
        <v>123</v>
      </c>
      <c r="IF4" s="11" t="s">
        <v>124</v>
      </c>
      <c r="IG4" s="11"/>
      <c r="IH4" s="11" t="s">
        <v>107</v>
      </c>
      <c r="II4" s="11"/>
      <c r="IJ4" s="11" t="s">
        <v>107</v>
      </c>
      <c r="IK4" s="11"/>
      <c r="IL4" s="11" t="s">
        <v>107</v>
      </c>
      <c r="IM4" s="11"/>
      <c r="IN4" s="11" t="s">
        <v>107</v>
      </c>
      <c r="IO4" s="11"/>
      <c r="IP4" s="11" t="s">
        <v>109</v>
      </c>
      <c r="IQ4" s="11"/>
      <c r="IR4" s="11" t="s">
        <v>109</v>
      </c>
      <c r="IS4" s="11"/>
      <c r="IT4" s="12"/>
      <c r="IU4" s="11" t="s">
        <v>120</v>
      </c>
      <c r="IW4" s="11" t="s">
        <v>121</v>
      </c>
      <c r="IX4" s="11"/>
      <c r="IY4" s="11" t="s">
        <v>122</v>
      </c>
      <c r="IZ4" s="11"/>
      <c r="JA4" s="11" t="s">
        <v>107</v>
      </c>
      <c r="JB4" s="11" t="s">
        <v>108</v>
      </c>
      <c r="JC4" s="11" t="s">
        <v>109</v>
      </c>
      <c r="JD4" s="11" t="s">
        <v>110</v>
      </c>
      <c r="JE4" s="11" t="s">
        <v>111</v>
      </c>
      <c r="JF4" s="11" t="s">
        <v>112</v>
      </c>
      <c r="JG4" s="11" t="s">
        <v>113</v>
      </c>
      <c r="JH4" s="11" t="s">
        <v>114</v>
      </c>
      <c r="JI4" s="11" t="s">
        <v>115</v>
      </c>
      <c r="JJ4" s="11" t="s">
        <v>116</v>
      </c>
      <c r="JK4" s="11" t="s">
        <v>117</v>
      </c>
      <c r="JL4" s="11" t="s">
        <v>118</v>
      </c>
      <c r="JM4" s="11" t="s">
        <v>119</v>
      </c>
      <c r="JN4" s="11" t="s">
        <v>120</v>
      </c>
      <c r="JO4" s="11" t="s">
        <v>121</v>
      </c>
      <c r="JP4" s="11" t="s">
        <v>122</v>
      </c>
      <c r="JQ4" s="11" t="s">
        <v>123</v>
      </c>
      <c r="JR4" s="11" t="s">
        <v>124</v>
      </c>
      <c r="JS4" s="41"/>
      <c r="JT4" s="11"/>
      <c r="JU4" s="11" t="s">
        <v>107</v>
      </c>
      <c r="JV4" s="11" t="s">
        <v>108</v>
      </c>
      <c r="JW4" s="11" t="s">
        <v>109</v>
      </c>
      <c r="JX4" s="11" t="s">
        <v>110</v>
      </c>
      <c r="JY4" s="11" t="s">
        <v>111</v>
      </c>
      <c r="JZ4" s="11" t="s">
        <v>112</v>
      </c>
      <c r="KA4" s="11" t="s">
        <v>113</v>
      </c>
      <c r="KB4" s="11" t="s">
        <v>114</v>
      </c>
      <c r="KC4" s="11" t="s">
        <v>115</v>
      </c>
      <c r="KD4" s="11" t="s">
        <v>116</v>
      </c>
      <c r="KE4" s="11" t="s">
        <v>117</v>
      </c>
      <c r="KF4" s="11" t="s">
        <v>118</v>
      </c>
      <c r="KG4" s="11" t="s">
        <v>119</v>
      </c>
      <c r="KH4" s="11" t="s">
        <v>120</v>
      </c>
      <c r="KI4" s="11" t="s">
        <v>121</v>
      </c>
      <c r="KJ4" s="11" t="s">
        <v>122</v>
      </c>
      <c r="KK4" s="11" t="s">
        <v>123</v>
      </c>
      <c r="KL4" s="11" t="s">
        <v>124</v>
      </c>
      <c r="KM4" s="13"/>
      <c r="KN4" s="11"/>
      <c r="KO4" s="11" t="s">
        <v>107</v>
      </c>
      <c r="KP4" s="11" t="s">
        <v>108</v>
      </c>
      <c r="KQ4" s="11" t="s">
        <v>109</v>
      </c>
      <c r="KR4" s="11" t="s">
        <v>110</v>
      </c>
      <c r="KS4" s="11" t="s">
        <v>111</v>
      </c>
      <c r="KT4" s="11" t="s">
        <v>112</v>
      </c>
      <c r="KU4" s="11" t="s">
        <v>113</v>
      </c>
      <c r="KV4" s="11" t="s">
        <v>114</v>
      </c>
      <c r="KW4" s="11" t="s">
        <v>115</v>
      </c>
      <c r="KX4" s="11" t="s">
        <v>116</v>
      </c>
      <c r="KY4" s="11" t="s">
        <v>117</v>
      </c>
      <c r="KZ4" s="11" t="s">
        <v>118</v>
      </c>
      <c r="LA4" s="11" t="s">
        <v>119</v>
      </c>
      <c r="LB4" s="11" t="s">
        <v>120</v>
      </c>
      <c r="LC4" s="11" t="s">
        <v>121</v>
      </c>
      <c r="LD4" s="11" t="s">
        <v>122</v>
      </c>
      <c r="LE4" s="11" t="s">
        <v>123</v>
      </c>
      <c r="LF4" s="11" t="s">
        <v>124</v>
      </c>
      <c r="LG4" s="14"/>
      <c r="LH4" s="11"/>
      <c r="LI4" s="11"/>
      <c r="LJ4" s="11"/>
      <c r="LK4" s="11"/>
      <c r="LL4" s="11"/>
      <c r="LM4" s="11" t="s">
        <v>107</v>
      </c>
      <c r="LN4" s="11" t="s">
        <v>108</v>
      </c>
      <c r="LO4" s="11" t="s">
        <v>109</v>
      </c>
      <c r="LP4" s="11" t="s">
        <v>110</v>
      </c>
      <c r="LQ4" s="11" t="s">
        <v>111</v>
      </c>
      <c r="LR4" s="11" t="s">
        <v>112</v>
      </c>
      <c r="LS4" s="11" t="s">
        <v>113</v>
      </c>
      <c r="LT4" s="11" t="s">
        <v>114</v>
      </c>
      <c r="LU4" s="11" t="s">
        <v>115</v>
      </c>
      <c r="LV4" s="11" t="s">
        <v>116</v>
      </c>
      <c r="LW4" s="11" t="s">
        <v>117</v>
      </c>
      <c r="LX4" s="11" t="s">
        <v>118</v>
      </c>
      <c r="LY4" s="11" t="s">
        <v>119</v>
      </c>
      <c r="LZ4" s="11" t="s">
        <v>120</v>
      </c>
      <c r="MA4" s="11" t="s">
        <v>121</v>
      </c>
      <c r="MB4" s="11" t="s">
        <v>122</v>
      </c>
      <c r="MC4" s="11" t="s">
        <v>123</v>
      </c>
      <c r="MD4" s="11" t="s">
        <v>124</v>
      </c>
      <c r="ME4" s="15"/>
      <c r="MF4" s="11"/>
      <c r="MG4" s="42"/>
      <c r="MH4" s="43"/>
      <c r="MI4" s="11"/>
      <c r="MJ4" s="43"/>
      <c r="MK4" s="43"/>
      <c r="ML4" s="43"/>
      <c r="MM4" s="43"/>
      <c r="MN4" s="43"/>
      <c r="MO4" s="43"/>
      <c r="MP4" s="43"/>
      <c r="MQ4" s="43"/>
      <c r="MR4" s="43"/>
      <c r="MS4" s="43"/>
      <c r="MT4" s="43"/>
      <c r="MU4" s="43"/>
      <c r="MV4" s="16"/>
      <c r="MW4" s="17"/>
      <c r="MX4" s="18"/>
      <c r="MY4" s="11"/>
      <c r="MZ4" s="11" t="s">
        <v>107</v>
      </c>
      <c r="NA4" s="11" t="s">
        <v>108</v>
      </c>
      <c r="NB4" s="11" t="s">
        <v>109</v>
      </c>
      <c r="NC4" s="11" t="s">
        <v>110</v>
      </c>
      <c r="ND4" s="11" t="s">
        <v>111</v>
      </c>
      <c r="NE4" s="11" t="s">
        <v>112</v>
      </c>
      <c r="NF4" s="11" t="s">
        <v>113</v>
      </c>
      <c r="NG4" s="11" t="s">
        <v>114</v>
      </c>
      <c r="NH4" s="11" t="s">
        <v>115</v>
      </c>
      <c r="NI4" s="11" t="s">
        <v>116</v>
      </c>
      <c r="NJ4" s="11" t="s">
        <v>117</v>
      </c>
      <c r="NK4" s="11" t="s">
        <v>118</v>
      </c>
      <c r="NL4" s="11" t="s">
        <v>119</v>
      </c>
      <c r="NM4" s="11" t="s">
        <v>120</v>
      </c>
      <c r="NN4" s="11" t="s">
        <v>121</v>
      </c>
      <c r="NO4" s="11" t="s">
        <v>122</v>
      </c>
      <c r="NP4" s="11" t="s">
        <v>123</v>
      </c>
      <c r="NQ4" s="11" t="s">
        <v>124</v>
      </c>
      <c r="NR4" s="19"/>
      <c r="NS4" s="11"/>
      <c r="NT4" s="11"/>
      <c r="NU4" s="11"/>
      <c r="NV4" s="11"/>
      <c r="NW4" s="11"/>
      <c r="NX4" s="11"/>
      <c r="NY4" s="11" t="s">
        <v>107</v>
      </c>
      <c r="NZ4" s="11" t="s">
        <v>108</v>
      </c>
      <c r="OA4" s="11" t="s">
        <v>109</v>
      </c>
      <c r="OB4" s="11" t="s">
        <v>110</v>
      </c>
      <c r="OC4" s="11" t="s">
        <v>111</v>
      </c>
      <c r="OD4" s="11" t="s">
        <v>112</v>
      </c>
      <c r="OE4" s="11" t="s">
        <v>113</v>
      </c>
      <c r="OF4" s="11" t="s">
        <v>114</v>
      </c>
      <c r="OG4" s="11" t="s">
        <v>115</v>
      </c>
      <c r="OH4" s="11" t="s">
        <v>116</v>
      </c>
      <c r="OI4" s="11" t="s">
        <v>117</v>
      </c>
      <c r="OJ4" s="11" t="s">
        <v>118</v>
      </c>
      <c r="OK4" s="11" t="s">
        <v>119</v>
      </c>
      <c r="OL4" s="11" t="s">
        <v>120</v>
      </c>
      <c r="OM4" s="11" t="s">
        <v>121</v>
      </c>
      <c r="ON4" s="11" t="s">
        <v>122</v>
      </c>
      <c r="OO4" s="11" t="s">
        <v>123</v>
      </c>
      <c r="OP4" s="11" t="s">
        <v>124</v>
      </c>
    </row>
    <row r="5" spans="1:414" s="21" customFormat="1" ht="54.75" customHeight="1" thickBot="1" x14ac:dyDescent="0.3">
      <c r="B5" s="21" t="s">
        <v>216</v>
      </c>
      <c r="C5" s="22" t="s">
        <v>217</v>
      </c>
      <c r="D5" s="23"/>
      <c r="E5" s="23" t="s">
        <v>218</v>
      </c>
      <c r="F5" s="23" t="s">
        <v>219</v>
      </c>
      <c r="G5" s="23" t="s">
        <v>220</v>
      </c>
      <c r="H5" s="24" t="s">
        <v>221</v>
      </c>
      <c r="I5" s="21" t="s">
        <v>222</v>
      </c>
      <c r="J5" s="23" t="s">
        <v>223</v>
      </c>
      <c r="K5" s="23" t="s">
        <v>224</v>
      </c>
      <c r="L5" s="21" t="s">
        <v>225</v>
      </c>
      <c r="M5" s="21" t="s">
        <v>226</v>
      </c>
      <c r="N5" s="21" t="s">
        <v>227</v>
      </c>
      <c r="O5" s="21" t="s">
        <v>228</v>
      </c>
      <c r="P5" s="21" t="s">
        <v>229</v>
      </c>
      <c r="Q5" s="21" t="s">
        <v>230</v>
      </c>
      <c r="R5" s="25"/>
      <c r="S5" s="23" t="s">
        <v>231</v>
      </c>
      <c r="U5" s="21" t="s">
        <v>232</v>
      </c>
      <c r="W5" s="21" t="s">
        <v>233</v>
      </c>
      <c r="X5" s="21" t="s">
        <v>234</v>
      </c>
      <c r="Y5" s="23"/>
      <c r="Z5" s="21" t="s">
        <v>235</v>
      </c>
      <c r="AA5" s="21" t="s">
        <v>236</v>
      </c>
      <c r="AB5" s="23"/>
      <c r="AC5" s="23" t="str">
        <f>$AB$2 &amp;AC2 &amp;"." &amp; $AB$6</f>
        <v>testdata.flex.limit</v>
      </c>
      <c r="AD5" s="23" t="str">
        <f>$AB$2 &amp;AD2 &amp;"." &amp; $AB$6</f>
        <v>testdata.ed.limit</v>
      </c>
      <c r="AE5" s="23" t="str">
        <f t="shared" ref="AE5:AO5" si="0">$AB$2 &amp;AE2 &amp;"." &amp; $AB$6</f>
        <v>testdata.th.limit</v>
      </c>
      <c r="AF5" s="23" t="str">
        <f t="shared" si="0"/>
        <v>testdata.flood.limit</v>
      </c>
      <c r="AG5" s="23"/>
      <c r="AH5" s="23" t="str">
        <f t="shared" si="0"/>
        <v>testdata.coll.limit</v>
      </c>
      <c r="AI5" s="23" t="str">
        <f t="shared" si="0"/>
        <v>testdata.riot.limit</v>
      </c>
      <c r="AJ5" s="23" t="str">
        <f t="shared" si="0"/>
        <v>testdata.wind.limit</v>
      </c>
      <c r="AK5" s="23" t="str">
        <f t="shared" si="0"/>
        <v>testdata.glass.limit</v>
      </c>
      <c r="AL5" s="23" t="str">
        <f t="shared" si="0"/>
        <v>testdata.liab.limit</v>
      </c>
      <c r="AM5" s="23"/>
      <c r="AN5" s="23"/>
      <c r="AO5" s="23" t="str">
        <f t="shared" si="0"/>
        <v>testdata.loss.limit</v>
      </c>
      <c r="AP5" s="23"/>
      <c r="AR5" s="23"/>
      <c r="AT5" s="23"/>
      <c r="AW5" s="23" t="str">
        <f>$AB$2 &amp; AW2 &amp;"." &amp; $AB$6</f>
        <v>testdata.port.limit</v>
      </c>
      <c r="AX5" s="23" t="str">
        <f>$AB$2 &amp; AX2 &amp;"." &amp; $AB$6</f>
        <v>testdata.sports.limit</v>
      </c>
      <c r="AY5" s="23"/>
      <c r="AZ5" s="21" t="str">
        <f>$AY$2 &amp; $AY$6 &amp; "$" &amp;AZ4</f>
        <v>_res_.$basicRate$flex</v>
      </c>
      <c r="BA5" s="21" t="str">
        <f t="shared" ref="BA5:BQ5" si="1">$AY$2 &amp; $AY$6 &amp; "$" &amp;BA4</f>
        <v>_res_.$basicRate$ed</v>
      </c>
      <c r="BB5" s="21" t="str">
        <f t="shared" si="1"/>
        <v>_res_.$basicRate$th</v>
      </c>
      <c r="BC5" s="21" t="str">
        <f t="shared" si="1"/>
        <v>_res_.$basicRate$flood</v>
      </c>
      <c r="BE5" s="21" t="str">
        <f t="shared" si="1"/>
        <v>_res_.$basicRate$coll</v>
      </c>
      <c r="BF5" s="21" t="str">
        <f t="shared" si="1"/>
        <v>_res_.$basicRate$riot</v>
      </c>
      <c r="BG5" s="21" t="str">
        <f t="shared" si="1"/>
        <v>_res_.$basicRate$wind</v>
      </c>
      <c r="BH5" s="21" t="str">
        <f t="shared" si="1"/>
        <v>_res_.$basicRate$glass</v>
      </c>
      <c r="BI5" s="21" t="str">
        <f t="shared" si="1"/>
        <v>_res_.$basicRate$liab</v>
      </c>
      <c r="BL5" s="21" t="str">
        <f t="shared" si="1"/>
        <v>_res_.$basicRate$loss</v>
      </c>
      <c r="BP5" s="21" t="str">
        <f t="shared" si="1"/>
        <v>_res_.$basicRate$port</v>
      </c>
      <c r="BQ5" s="21" t="str">
        <f t="shared" si="1"/>
        <v>_res_.$basicRate$sports</v>
      </c>
      <c r="BR5" s="23"/>
      <c r="BS5" s="21" t="str">
        <f>$AY$2 &amp; $BR$6 &amp; "$" &amp;BS4</f>
        <v>_res_.$region$flex</v>
      </c>
      <c r="BT5" s="21" t="str">
        <f t="shared" ref="BT5:CJ5" si="2">$AY$2 &amp; $BR$6 &amp; "$" &amp;BT4</f>
        <v>_res_.$region$ed</v>
      </c>
      <c r="BU5" s="21" t="str">
        <f t="shared" si="2"/>
        <v>_res_.$region$th</v>
      </c>
      <c r="BV5" s="21" t="str">
        <f t="shared" si="2"/>
        <v>_res_.$region$flood</v>
      </c>
      <c r="BX5" s="21" t="str">
        <f t="shared" si="2"/>
        <v>_res_.$region$coll</v>
      </c>
      <c r="BY5" s="21" t="str">
        <f t="shared" si="2"/>
        <v>_res_.$region$riot</v>
      </c>
      <c r="BZ5" s="21" t="str">
        <f t="shared" si="2"/>
        <v>_res_.$region$wind</v>
      </c>
      <c r="CA5" s="21" t="str">
        <f t="shared" si="2"/>
        <v>_res_.$region$glass</v>
      </c>
      <c r="CB5" s="21" t="str">
        <f t="shared" si="2"/>
        <v>_res_.$region$liab</v>
      </c>
      <c r="CE5" s="21" t="str">
        <f t="shared" si="2"/>
        <v>_res_.$region$loss</v>
      </c>
      <c r="CI5" s="21" t="str">
        <f t="shared" si="2"/>
        <v>_res_.$region$port</v>
      </c>
      <c r="CJ5" s="21" t="str">
        <f t="shared" si="2"/>
        <v>_res_.$region$sports</v>
      </c>
      <c r="CK5" s="23"/>
      <c r="CL5" s="21" t="str">
        <f>$AY$2 &amp; $CK$6 &amp; "$" &amp;CL4</f>
        <v>_res_.$construction$flex</v>
      </c>
      <c r="CM5" s="21" t="str">
        <f t="shared" ref="CM5:CN5" si="3">$AY$2 &amp; $CK$6 &amp; "$" &amp;CM4</f>
        <v>_res_.$construction$ed</v>
      </c>
      <c r="CN5" s="21" t="str">
        <f t="shared" si="3"/>
        <v>_res_.$construction$th</v>
      </c>
      <c r="CU5" s="21" t="str">
        <f t="shared" ref="CU5" si="4">$AY$2 &amp; $CK$6 &amp; "$" &amp;CU4</f>
        <v>_res_.$construction$liab</v>
      </c>
      <c r="CX5" s="21" t="str">
        <f t="shared" ref="CX5" si="5">$AY$2 &amp; $CK$6 &amp; "$" &amp;CX4</f>
        <v>_res_.$construction$loss</v>
      </c>
      <c r="DD5" s="23"/>
      <c r="DE5" s="21" t="str">
        <f>$AY$2 &amp; $DD$6 &amp; "$" &amp;DE4</f>
        <v>_res_.$occupancy$flex</v>
      </c>
      <c r="DF5" s="21" t="str">
        <f t="shared" ref="DF5:DQ5" si="6">$AY$2 &amp; $DD$6 &amp; "$" &amp;DF4</f>
        <v>_res_.$occupancy$ed</v>
      </c>
      <c r="DG5" s="21" t="str">
        <f t="shared" si="6"/>
        <v>_res_.$occupancy$th</v>
      </c>
      <c r="DH5" s="21" t="str">
        <f t="shared" si="6"/>
        <v>_res_.$occupancy$flood</v>
      </c>
      <c r="DJ5" s="21" t="str">
        <f t="shared" si="6"/>
        <v>_res_.$occupancy$coll</v>
      </c>
      <c r="DL5" s="21" t="str">
        <f t="shared" si="6"/>
        <v>_res_.$occupancy$wind</v>
      </c>
      <c r="DN5" s="21" t="str">
        <f t="shared" si="6"/>
        <v>_res_.$occupancy$liab</v>
      </c>
      <c r="DQ5" s="21" t="str">
        <f t="shared" si="6"/>
        <v>_res_.$occupancy$loss</v>
      </c>
      <c r="DW5" s="23"/>
      <c r="DX5" s="21" t="str">
        <f>$AY$2 &amp; $DW$6 &amp; "$" &amp;DX4</f>
        <v>_res_.$usage$flex</v>
      </c>
      <c r="DY5" s="21" t="str">
        <f t="shared" ref="DY5:EJ5" si="7">$AY$2 &amp; $DW$6 &amp; "$" &amp;DY4</f>
        <v>_res_.$usage$ed</v>
      </c>
      <c r="DZ5" s="21" t="str">
        <f t="shared" si="7"/>
        <v>_res_.$usage$th</v>
      </c>
      <c r="EG5" s="21" t="str">
        <f t="shared" si="7"/>
        <v>_res_.$usage$liab</v>
      </c>
      <c r="EJ5" s="21" t="str">
        <f t="shared" si="7"/>
        <v>_res_.$usage$loss</v>
      </c>
      <c r="EP5" s="23"/>
      <c r="EQ5" s="21" t="str">
        <f>$AY$2 &amp; $EP$6 &amp; "$" &amp;EQ4</f>
        <v>_res_.$claim$flex</v>
      </c>
      <c r="ER5" s="21" t="str">
        <f t="shared" ref="ER5:FC5" si="8">$AY$2 &amp; $EP$6 &amp; "$" &amp;ER4</f>
        <v>_res_.$claim$ed</v>
      </c>
      <c r="ES5" s="21" t="str">
        <f t="shared" si="8"/>
        <v>_res_.$claim$th</v>
      </c>
      <c r="EZ5" s="21" t="str">
        <f t="shared" si="8"/>
        <v>_res_.$claim$liab</v>
      </c>
      <c r="FC5" s="21" t="str">
        <f t="shared" si="8"/>
        <v>_res_.$claim$loss</v>
      </c>
      <c r="FI5" s="23"/>
      <c r="FJ5" s="21" t="str">
        <f>$AY$2 &amp; $FI$6 &amp; "$" &amp;FJ4</f>
        <v>_res_.$renewal$flex</v>
      </c>
      <c r="FK5" s="21" t="str">
        <f t="shared" ref="FK5:FV5" si="9">$AY$2 &amp; $FI$6 &amp; "$" &amp;FK4</f>
        <v>_res_.$renewal$ed</v>
      </c>
      <c r="FL5" s="21" t="str">
        <f t="shared" si="9"/>
        <v>_res_.$renewal$th</v>
      </c>
      <c r="FS5" s="21" t="str">
        <f t="shared" si="9"/>
        <v>_res_.$renewal$liab</v>
      </c>
      <c r="FV5" s="21" t="str">
        <f t="shared" si="9"/>
        <v>_res_.$renewal$loss</v>
      </c>
      <c r="GB5" s="23"/>
      <c r="GC5" s="21" t="str">
        <f>$AY$2 &amp; $GB$6 &amp; "$" &amp;GC4</f>
        <v>_res_.$year$flex</v>
      </c>
      <c r="GD5" s="21" t="str">
        <f t="shared" ref="GD5:GO5" si="10">$AY$2 &amp; $GB$6 &amp; "$" &amp;GD4</f>
        <v>_res_.$year$ed</v>
      </c>
      <c r="GE5" s="21" t="str">
        <f t="shared" si="10"/>
        <v>_res_.$year$th</v>
      </c>
      <c r="GL5" s="21" t="str">
        <f t="shared" si="10"/>
        <v>_res_.$year$liab</v>
      </c>
      <c r="GO5" s="21" t="str">
        <f t="shared" si="10"/>
        <v>_res_.$year$loss</v>
      </c>
      <c r="GU5" s="23"/>
      <c r="GV5" s="21" t="str">
        <f>$AY$2 &amp; $GU$6 &amp; "$" &amp;GV4</f>
        <v>_res_.$area$flex</v>
      </c>
      <c r="GW5" s="21" t="str">
        <f t="shared" ref="GW5:HH5" si="11">$AY$2 &amp; $GU$6 &amp; "$" &amp;GW4</f>
        <v>_res_.$area$ed</v>
      </c>
      <c r="GX5" s="21" t="str">
        <f t="shared" si="11"/>
        <v>_res_.$area$th</v>
      </c>
      <c r="HE5" s="21" t="str">
        <f t="shared" si="11"/>
        <v>_res_.$area$liab</v>
      </c>
      <c r="HH5" s="21" t="str">
        <f t="shared" si="11"/>
        <v>_res_.$area$loss</v>
      </c>
      <c r="HN5" s="23"/>
      <c r="HO5" s="21" t="str">
        <f>$AY$2 &amp; $HN$6 &amp; "$" &amp;HO4</f>
        <v>_res_.$floor$flex</v>
      </c>
      <c r="HP5" s="21" t="str">
        <f t="shared" ref="HP5:IA5" si="12">$AY$2 &amp; $HN$6 &amp; "$" &amp;HP4</f>
        <v>_res_.$floor$ed</v>
      </c>
      <c r="HQ5" s="21" t="str">
        <f t="shared" si="12"/>
        <v>_res_.$floor$th</v>
      </c>
      <c r="HX5" s="21" t="str">
        <f t="shared" si="12"/>
        <v>_res_.$floor$liab</v>
      </c>
      <c r="IA5" s="21" t="str">
        <f t="shared" si="12"/>
        <v>_res_.$floor$loss</v>
      </c>
      <c r="IG5" s="23"/>
      <c r="IH5" s="21" t="str">
        <f>$AY$2 &amp; $IG$6 &amp; "$" &amp;IH4</f>
        <v>_res_.$antiFire$flex</v>
      </c>
      <c r="II5" s="23"/>
      <c r="IK5" s="23"/>
      <c r="IL5" s="21" t="str">
        <f>$AY$2 &amp; $IK$6 &amp; "$" &amp;IL4</f>
        <v>_res_.$fireEx$flex</v>
      </c>
      <c r="IM5" s="23"/>
      <c r="IO5" s="23"/>
      <c r="IP5" s="21" t="str">
        <f>$AY$2 &amp; $IO$6 &amp; "$" &amp;IP4</f>
        <v>_res_.$burglar$th</v>
      </c>
      <c r="IQ5" s="23"/>
      <c r="IR5" s="21" t="str">
        <f>$AY$2 &amp; $IQ$6 &amp; "$" &amp;IR4</f>
        <v>_res_.$doorman$th</v>
      </c>
      <c r="IS5" s="23"/>
      <c r="IT5" s="12"/>
      <c r="IV5" s="26"/>
      <c r="IX5" s="26"/>
      <c r="IZ5" s="23"/>
      <c r="JA5" s="21" t="str">
        <f>$AY$2 &amp; $IZ$6 &amp; "$" &amp;JA4</f>
        <v>_res_.$sumInsuredFactor$flex</v>
      </c>
      <c r="JB5" s="21" t="str">
        <f t="shared" ref="JB5:JM5" si="13">$AY$2 &amp; $IZ$6 &amp; "$" &amp;JB4</f>
        <v>_res_.$sumInsuredFactor$ed</v>
      </c>
      <c r="JC5" s="21" t="str">
        <f t="shared" si="13"/>
        <v>_res_.$sumInsuredFactor$th</v>
      </c>
      <c r="JD5" s="21" t="str">
        <f t="shared" si="13"/>
        <v>_res_.$sumInsuredFactor$flood</v>
      </c>
      <c r="JF5" s="21" t="str">
        <f t="shared" si="13"/>
        <v>_res_.$sumInsuredFactor$coll</v>
      </c>
      <c r="JG5" s="21" t="str">
        <f t="shared" si="13"/>
        <v>_res_.$sumInsuredFactor$riot</v>
      </c>
      <c r="JH5" s="21" t="str">
        <f t="shared" si="13"/>
        <v>_res_.$sumInsuredFactor$wind</v>
      </c>
      <c r="JI5" s="21" t="str">
        <f t="shared" si="13"/>
        <v>_res_.$sumInsuredFactor$glass</v>
      </c>
      <c r="JJ5" s="21" t="str">
        <f t="shared" si="13"/>
        <v>_res_.$sumInsuredFactor$liab</v>
      </c>
      <c r="JM5" s="21" t="str">
        <f t="shared" si="13"/>
        <v>_res_.$sumInsuredFactor$loss</v>
      </c>
      <c r="JS5" s="41"/>
      <c r="JT5" s="23"/>
      <c r="JU5" s="21" t="str">
        <f>$AY$2 &amp; $JS$6 &amp; "$" &amp;JU4</f>
        <v>_res_.$premio1$flex</v>
      </c>
      <c r="JV5" s="21" t="str">
        <f t="shared" ref="JV5:KL5" si="14">$AY$2 &amp; $JS$6 &amp; "$" &amp;JV4</f>
        <v>_res_.$premio1$ed</v>
      </c>
      <c r="JW5" s="21" t="str">
        <f t="shared" si="14"/>
        <v>_res_.$premio1$th</v>
      </c>
      <c r="JX5" s="21" t="str">
        <f t="shared" si="14"/>
        <v>_res_.$premio1$flood</v>
      </c>
      <c r="JZ5" s="21" t="str">
        <f t="shared" si="14"/>
        <v>_res_.$premio1$coll</v>
      </c>
      <c r="KA5" s="21" t="str">
        <f t="shared" si="14"/>
        <v>_res_.$premio1$riot</v>
      </c>
      <c r="KB5" s="21" t="str">
        <f t="shared" si="14"/>
        <v>_res_.$premio1$wind</v>
      </c>
      <c r="KC5" s="21" t="str">
        <f t="shared" si="14"/>
        <v>_res_.$premio1$glass</v>
      </c>
      <c r="KD5" s="21" t="str">
        <f t="shared" si="14"/>
        <v>_res_.$premio1$liab</v>
      </c>
      <c r="KG5" s="21" t="str">
        <f t="shared" si="14"/>
        <v>_res_.$premio1$loss</v>
      </c>
      <c r="KK5" s="21" t="str">
        <f t="shared" si="14"/>
        <v>_res_.$premio1$port</v>
      </c>
      <c r="KL5" s="21" t="str">
        <f t="shared" si="14"/>
        <v>_res_.$premio1$sports</v>
      </c>
      <c r="KM5" s="27"/>
      <c r="KN5" s="23"/>
      <c r="KO5" s="21" t="str">
        <f>$AY$2 &amp; $KN$6 &amp; "$" &amp;KO4</f>
        <v>_res_.$premio2$flex</v>
      </c>
      <c r="KP5" s="21" t="str">
        <f t="shared" ref="KP5:LF5" si="15">$AY$2 &amp; $KN$6 &amp; "$" &amp;KP4</f>
        <v>_res_.$premio2$ed</v>
      </c>
      <c r="KQ5" s="21" t="str">
        <f t="shared" si="15"/>
        <v>_res_.$premio2$th</v>
      </c>
      <c r="KR5" s="21" t="str">
        <f t="shared" si="15"/>
        <v>_res_.$premio2$flood</v>
      </c>
      <c r="KT5" s="21" t="str">
        <f t="shared" si="15"/>
        <v>_res_.$premio2$coll</v>
      </c>
      <c r="KU5" s="21" t="str">
        <f t="shared" si="15"/>
        <v>_res_.$premio2$riot</v>
      </c>
      <c r="KV5" s="21" t="str">
        <f t="shared" si="15"/>
        <v>_res_.$premio2$wind</v>
      </c>
      <c r="KW5" s="21" t="str">
        <f t="shared" si="15"/>
        <v>_res_.$premio2$glass</v>
      </c>
      <c r="KX5" s="21" t="str">
        <f t="shared" si="15"/>
        <v>_res_.$premio2$liab</v>
      </c>
      <c r="LA5" s="21" t="str">
        <f t="shared" si="15"/>
        <v>_res_.$premio2$loss</v>
      </c>
      <c r="LE5" s="21" t="str">
        <f t="shared" si="15"/>
        <v>_res_.$premio2$port</v>
      </c>
      <c r="LF5" s="21" t="str">
        <f t="shared" si="15"/>
        <v>_res_.$premio2$sports</v>
      </c>
      <c r="LG5" s="28"/>
      <c r="LH5" s="23"/>
      <c r="LI5" s="23"/>
      <c r="LJ5" s="23"/>
      <c r="LK5" s="23"/>
      <c r="LL5" s="23"/>
      <c r="LM5" s="21" t="str">
        <f>$AY$2 &amp; $LL$6 &amp; "$" &amp;LM4</f>
        <v>_res_.$premio3$flex</v>
      </c>
      <c r="LN5" s="21" t="str">
        <f t="shared" ref="LN5:MD5" si="16">$AY$2 &amp; $LL$6 &amp; "$" &amp;LN4</f>
        <v>_res_.$premio3$ed</v>
      </c>
      <c r="LO5" s="21" t="str">
        <f t="shared" si="16"/>
        <v>_res_.$premio3$th</v>
      </c>
      <c r="LP5" s="21" t="str">
        <f t="shared" si="16"/>
        <v>_res_.$premio3$flood</v>
      </c>
      <c r="LR5" s="21" t="str">
        <f t="shared" si="16"/>
        <v>_res_.$premio3$coll</v>
      </c>
      <c r="LS5" s="21" t="str">
        <f t="shared" si="16"/>
        <v>_res_.$premio3$riot</v>
      </c>
      <c r="LT5" s="21" t="str">
        <f t="shared" si="16"/>
        <v>_res_.$premio3$wind</v>
      </c>
      <c r="LU5" s="21" t="str">
        <f t="shared" si="16"/>
        <v>_res_.$premio3$glass</v>
      </c>
      <c r="LV5" s="21" t="str">
        <f t="shared" si="16"/>
        <v>_res_.$premio3$liab</v>
      </c>
      <c r="LY5" s="21" t="str">
        <f t="shared" si="16"/>
        <v>_res_.$premio3$loss</v>
      </c>
      <c r="MC5" s="21" t="str">
        <f t="shared" si="16"/>
        <v>_res_.$premio3$port</v>
      </c>
      <c r="MD5" s="21" t="str">
        <f t="shared" si="16"/>
        <v>_res_.$premio3$sports</v>
      </c>
      <c r="ME5" s="29"/>
      <c r="MF5" s="23"/>
      <c r="MG5" s="42" t="s">
        <v>237</v>
      </c>
      <c r="MH5" s="43"/>
      <c r="MI5" s="23"/>
      <c r="MJ5" s="43"/>
      <c r="MK5" s="43"/>
      <c r="ML5" s="43"/>
      <c r="MM5" s="43"/>
      <c r="MN5" s="43"/>
      <c r="MO5" s="43"/>
      <c r="MP5" s="43"/>
      <c r="MQ5" s="43"/>
      <c r="MR5" s="43"/>
      <c r="MS5" s="43"/>
      <c r="MT5" s="43"/>
      <c r="MU5" s="43"/>
      <c r="MV5" s="30"/>
      <c r="MW5" s="31"/>
      <c r="MX5" s="32"/>
      <c r="MY5" s="23"/>
      <c r="MZ5" s="21" t="str">
        <f>$AY$2 &amp; $MY$6 &amp; "$" &amp;MZ4</f>
        <v>_res_.$premio4$flex</v>
      </c>
      <c r="NA5" s="21" t="str">
        <f t="shared" ref="NA5:NQ5" si="17">$AY$2 &amp; $MY$6 &amp; "$" &amp;NA4</f>
        <v>_res_.$premio4$ed</v>
      </c>
      <c r="NB5" s="21" t="str">
        <f t="shared" si="17"/>
        <v>_res_.$premio4$th</v>
      </c>
      <c r="NC5" s="21" t="str">
        <f t="shared" si="17"/>
        <v>_res_.$premio4$flood</v>
      </c>
      <c r="NE5" s="21" t="str">
        <f t="shared" si="17"/>
        <v>_res_.$premio4$coll</v>
      </c>
      <c r="NF5" s="21" t="str">
        <f t="shared" si="17"/>
        <v>_res_.$premio4$riot</v>
      </c>
      <c r="NG5" s="21" t="str">
        <f t="shared" si="17"/>
        <v>_res_.$premio4$wind</v>
      </c>
      <c r="NH5" s="21" t="str">
        <f t="shared" si="17"/>
        <v>_res_.$premio4$glass</v>
      </c>
      <c r="NI5" s="21" t="str">
        <f t="shared" si="17"/>
        <v>_res_.$premio4$liab</v>
      </c>
      <c r="NL5" s="21" t="str">
        <f t="shared" si="17"/>
        <v>_res_.$premio4$loss</v>
      </c>
      <c r="NP5" s="21" t="str">
        <f t="shared" si="17"/>
        <v>_res_.$premio4$port</v>
      </c>
      <c r="NQ5" s="21" t="str">
        <f t="shared" si="17"/>
        <v>_res_.$premio4$sports</v>
      </c>
      <c r="NR5" s="33"/>
      <c r="NS5" s="23"/>
      <c r="NT5" s="23"/>
      <c r="NU5" s="23"/>
      <c r="NV5" s="23"/>
      <c r="NW5" s="11"/>
      <c r="NX5" s="11"/>
      <c r="NY5" s="21" t="str">
        <f>$AY$2 &amp; $NX$6 &amp; "$" &amp;NY4</f>
        <v>_res_.$premio5$flex</v>
      </c>
      <c r="NZ5" s="21" t="str">
        <f t="shared" ref="NZ5:OP5" si="18">$AY$2 &amp; $NX$6 &amp; "$" &amp;NZ4</f>
        <v>_res_.$premio5$ed</v>
      </c>
      <c r="OA5" s="21" t="str">
        <f t="shared" si="18"/>
        <v>_res_.$premio5$th</v>
      </c>
      <c r="OB5" s="21" t="str">
        <f t="shared" si="18"/>
        <v>_res_.$premio5$flood</v>
      </c>
      <c r="OD5" s="21" t="str">
        <f t="shared" si="18"/>
        <v>_res_.$premio5$coll</v>
      </c>
      <c r="OE5" s="21" t="str">
        <f t="shared" si="18"/>
        <v>_res_.$premio5$riot</v>
      </c>
      <c r="OF5" s="21" t="str">
        <f t="shared" si="18"/>
        <v>_res_.$premio5$wind</v>
      </c>
      <c r="OG5" s="21" t="str">
        <f t="shared" si="18"/>
        <v>_res_.$premio5$glass</v>
      </c>
      <c r="OH5" s="21" t="str">
        <f t="shared" si="18"/>
        <v>_res_.$premio5$liab</v>
      </c>
      <c r="OK5" s="21" t="str">
        <f t="shared" si="18"/>
        <v>_res_.$premio5$loss</v>
      </c>
      <c r="OO5" s="21" t="str">
        <f t="shared" si="18"/>
        <v>_res_.$premio5$port</v>
      </c>
      <c r="OP5" s="21" t="str">
        <f t="shared" si="18"/>
        <v>_res_.$premio5$sports</v>
      </c>
      <c r="OQ5" s="33" t="s">
        <v>238</v>
      </c>
      <c r="OR5" s="2"/>
      <c r="OS5" s="2"/>
      <c r="OT5" s="2"/>
      <c r="OU5" s="2"/>
      <c r="OV5" s="2"/>
      <c r="OW5" s="2"/>
      <c r="OX5" s="2"/>
    </row>
    <row r="6" spans="1:414" ht="95.25" thickBot="1" x14ac:dyDescent="0.3">
      <c r="B6" s="77"/>
      <c r="C6" s="78" t="s">
        <v>26</v>
      </c>
      <c r="D6" s="79" t="s">
        <v>27</v>
      </c>
      <c r="E6" s="79" t="s">
        <v>28</v>
      </c>
      <c r="F6" s="79" t="s">
        <v>29</v>
      </c>
      <c r="G6" s="79" t="s">
        <v>30</v>
      </c>
      <c r="H6" s="79" t="s">
        <v>31</v>
      </c>
      <c r="I6" s="79" t="s">
        <v>32</v>
      </c>
      <c r="J6" s="79" t="s">
        <v>33</v>
      </c>
      <c r="K6" s="79" t="s">
        <v>34</v>
      </c>
      <c r="L6" s="79" t="s">
        <v>35</v>
      </c>
      <c r="M6" s="79" t="s">
        <v>36</v>
      </c>
      <c r="N6" s="79" t="s">
        <v>37</v>
      </c>
      <c r="O6" s="79" t="s">
        <v>38</v>
      </c>
      <c r="P6" s="79" t="s">
        <v>39</v>
      </c>
      <c r="Q6" s="79" t="s">
        <v>40</v>
      </c>
      <c r="R6" s="79" t="s">
        <v>85</v>
      </c>
      <c r="S6" s="79" t="s">
        <v>86</v>
      </c>
      <c r="T6" s="79" t="s">
        <v>87</v>
      </c>
      <c r="U6" s="79" t="s">
        <v>16</v>
      </c>
      <c r="V6" s="79" t="s">
        <v>41</v>
      </c>
      <c r="W6" s="79" t="s">
        <v>17</v>
      </c>
      <c r="X6" s="80" t="s">
        <v>42</v>
      </c>
      <c r="Y6" s="81" t="s">
        <v>89</v>
      </c>
      <c r="Z6" s="82" t="s">
        <v>43</v>
      </c>
      <c r="AA6" s="83" t="s">
        <v>44</v>
      </c>
      <c r="AB6" s="81" t="s">
        <v>242</v>
      </c>
      <c r="AC6" s="84" t="s">
        <v>45</v>
      </c>
      <c r="AD6" s="84" t="s">
        <v>46</v>
      </c>
      <c r="AE6" s="84" t="s">
        <v>47</v>
      </c>
      <c r="AF6" s="84" t="s">
        <v>48</v>
      </c>
      <c r="AG6" s="84" t="s">
        <v>49</v>
      </c>
      <c r="AH6" s="84" t="s">
        <v>50</v>
      </c>
      <c r="AI6" s="84" t="s">
        <v>51</v>
      </c>
      <c r="AJ6" s="84" t="s">
        <v>52</v>
      </c>
      <c r="AK6" s="84" t="s">
        <v>53</v>
      </c>
      <c r="AL6" s="85" t="s">
        <v>54</v>
      </c>
      <c r="AM6" s="86" t="s">
        <v>55</v>
      </c>
      <c r="AN6" s="86" t="s">
        <v>56</v>
      </c>
      <c r="AO6" s="87" t="s">
        <v>57</v>
      </c>
      <c r="AP6" s="87" t="s">
        <v>58</v>
      </c>
      <c r="AQ6" s="88" t="s">
        <v>59</v>
      </c>
      <c r="AR6" s="87" t="s">
        <v>60</v>
      </c>
      <c r="AS6" s="88" t="s">
        <v>59</v>
      </c>
      <c r="AT6" s="89" t="s">
        <v>61</v>
      </c>
      <c r="AU6" s="89" t="s">
        <v>62</v>
      </c>
      <c r="AV6" s="88" t="s">
        <v>59</v>
      </c>
      <c r="AW6" s="87" t="s">
        <v>63</v>
      </c>
      <c r="AX6" s="87" t="s">
        <v>64</v>
      </c>
      <c r="AY6" s="81" t="s">
        <v>90</v>
      </c>
      <c r="AZ6" s="90" t="s">
        <v>45</v>
      </c>
      <c r="BA6" s="90" t="s">
        <v>46</v>
      </c>
      <c r="BB6" s="90" t="s">
        <v>47</v>
      </c>
      <c r="BC6" s="90" t="s">
        <v>48</v>
      </c>
      <c r="BD6" s="90" t="s">
        <v>49</v>
      </c>
      <c r="BE6" s="90" t="s">
        <v>50</v>
      </c>
      <c r="BF6" s="90" t="s">
        <v>51</v>
      </c>
      <c r="BG6" s="90" t="s">
        <v>52</v>
      </c>
      <c r="BH6" s="90" t="s">
        <v>53</v>
      </c>
      <c r="BI6" s="91" t="s">
        <v>54</v>
      </c>
      <c r="BJ6" s="91" t="s">
        <v>55</v>
      </c>
      <c r="BK6" s="91" t="s">
        <v>56</v>
      </c>
      <c r="BL6" s="91" t="s">
        <v>57</v>
      </c>
      <c r="BM6" s="92" t="s">
        <v>58</v>
      </c>
      <c r="BN6" s="92" t="s">
        <v>60</v>
      </c>
      <c r="BO6" s="93" t="s">
        <v>65</v>
      </c>
      <c r="BP6" s="92" t="s">
        <v>63</v>
      </c>
      <c r="BQ6" s="92" t="s">
        <v>64</v>
      </c>
      <c r="BR6" s="81" t="s">
        <v>91</v>
      </c>
      <c r="BS6" s="90" t="s">
        <v>45</v>
      </c>
      <c r="BT6" s="90" t="s">
        <v>46</v>
      </c>
      <c r="BU6" s="90" t="s">
        <v>47</v>
      </c>
      <c r="BV6" s="90" t="s">
        <v>48</v>
      </c>
      <c r="BW6" s="90" t="s">
        <v>49</v>
      </c>
      <c r="BX6" s="90" t="s">
        <v>50</v>
      </c>
      <c r="BY6" s="90" t="s">
        <v>51</v>
      </c>
      <c r="BZ6" s="90" t="s">
        <v>52</v>
      </c>
      <c r="CA6" s="90" t="s">
        <v>53</v>
      </c>
      <c r="CB6" s="91" t="s">
        <v>54</v>
      </c>
      <c r="CC6" s="91" t="s">
        <v>55</v>
      </c>
      <c r="CD6" s="91" t="s">
        <v>56</v>
      </c>
      <c r="CE6" s="91" t="s">
        <v>57</v>
      </c>
      <c r="CF6" s="92" t="s">
        <v>58</v>
      </c>
      <c r="CG6" s="92" t="s">
        <v>60</v>
      </c>
      <c r="CH6" s="93" t="s">
        <v>65</v>
      </c>
      <c r="CI6" s="92" t="s">
        <v>63</v>
      </c>
      <c r="CJ6" s="92" t="s">
        <v>64</v>
      </c>
      <c r="CK6" s="81" t="s">
        <v>92</v>
      </c>
      <c r="CL6" s="90" t="s">
        <v>45</v>
      </c>
      <c r="CM6" s="90" t="s">
        <v>46</v>
      </c>
      <c r="CN6" s="90" t="s">
        <v>47</v>
      </c>
      <c r="CO6" s="90" t="s">
        <v>48</v>
      </c>
      <c r="CP6" s="90" t="s">
        <v>49</v>
      </c>
      <c r="CQ6" s="90" t="s">
        <v>50</v>
      </c>
      <c r="CR6" s="90" t="s">
        <v>51</v>
      </c>
      <c r="CS6" s="90" t="s">
        <v>52</v>
      </c>
      <c r="CT6" s="90" t="s">
        <v>53</v>
      </c>
      <c r="CU6" s="91" t="s">
        <v>54</v>
      </c>
      <c r="CV6" s="91" t="s">
        <v>55</v>
      </c>
      <c r="CW6" s="91" t="s">
        <v>56</v>
      </c>
      <c r="CX6" s="91" t="s">
        <v>57</v>
      </c>
      <c r="CY6" s="92" t="s">
        <v>58</v>
      </c>
      <c r="CZ6" s="92" t="s">
        <v>60</v>
      </c>
      <c r="DA6" s="93" t="s">
        <v>65</v>
      </c>
      <c r="DB6" s="92" t="s">
        <v>63</v>
      </c>
      <c r="DC6" s="92" t="s">
        <v>64</v>
      </c>
      <c r="DD6" s="81" t="s">
        <v>93</v>
      </c>
      <c r="DE6" s="90" t="s">
        <v>45</v>
      </c>
      <c r="DF6" s="90" t="s">
        <v>46</v>
      </c>
      <c r="DG6" s="90" t="s">
        <v>47</v>
      </c>
      <c r="DH6" s="90" t="s">
        <v>48</v>
      </c>
      <c r="DI6" s="90" t="s">
        <v>49</v>
      </c>
      <c r="DJ6" s="90" t="s">
        <v>50</v>
      </c>
      <c r="DK6" s="90" t="s">
        <v>51</v>
      </c>
      <c r="DL6" s="90" t="s">
        <v>52</v>
      </c>
      <c r="DM6" s="90" t="s">
        <v>53</v>
      </c>
      <c r="DN6" s="91" t="s">
        <v>54</v>
      </c>
      <c r="DO6" s="91" t="s">
        <v>55</v>
      </c>
      <c r="DP6" s="91" t="s">
        <v>56</v>
      </c>
      <c r="DQ6" s="91" t="s">
        <v>57</v>
      </c>
      <c r="DR6" s="92" t="s">
        <v>58</v>
      </c>
      <c r="DS6" s="92" t="s">
        <v>60</v>
      </c>
      <c r="DT6" s="93" t="s">
        <v>65</v>
      </c>
      <c r="DU6" s="92" t="s">
        <v>63</v>
      </c>
      <c r="DV6" s="92" t="s">
        <v>64</v>
      </c>
      <c r="DW6" s="81" t="s">
        <v>94</v>
      </c>
      <c r="DX6" s="90" t="s">
        <v>45</v>
      </c>
      <c r="DY6" s="90" t="s">
        <v>46</v>
      </c>
      <c r="DZ6" s="90" t="s">
        <v>47</v>
      </c>
      <c r="EA6" s="90" t="s">
        <v>48</v>
      </c>
      <c r="EB6" s="90" t="s">
        <v>49</v>
      </c>
      <c r="EC6" s="90" t="s">
        <v>50</v>
      </c>
      <c r="ED6" s="90" t="s">
        <v>51</v>
      </c>
      <c r="EE6" s="90" t="s">
        <v>52</v>
      </c>
      <c r="EF6" s="90" t="s">
        <v>53</v>
      </c>
      <c r="EG6" s="91" t="s">
        <v>54</v>
      </c>
      <c r="EH6" s="91" t="s">
        <v>55</v>
      </c>
      <c r="EI6" s="91" t="s">
        <v>56</v>
      </c>
      <c r="EJ6" s="91" t="s">
        <v>57</v>
      </c>
      <c r="EK6" s="92" t="s">
        <v>58</v>
      </c>
      <c r="EL6" s="92" t="s">
        <v>60</v>
      </c>
      <c r="EM6" s="93" t="s">
        <v>65</v>
      </c>
      <c r="EN6" s="92" t="s">
        <v>63</v>
      </c>
      <c r="EO6" s="92" t="s">
        <v>64</v>
      </c>
      <c r="EP6" s="81" t="s">
        <v>125</v>
      </c>
      <c r="EQ6" s="90" t="s">
        <v>45</v>
      </c>
      <c r="ER6" s="90" t="s">
        <v>46</v>
      </c>
      <c r="ES6" s="90" t="s">
        <v>47</v>
      </c>
      <c r="ET6" s="90" t="s">
        <v>48</v>
      </c>
      <c r="EU6" s="90" t="s">
        <v>49</v>
      </c>
      <c r="EV6" s="90" t="s">
        <v>50</v>
      </c>
      <c r="EW6" s="90" t="s">
        <v>51</v>
      </c>
      <c r="EX6" s="90" t="s">
        <v>52</v>
      </c>
      <c r="EY6" s="90" t="s">
        <v>53</v>
      </c>
      <c r="EZ6" s="91" t="s">
        <v>54</v>
      </c>
      <c r="FA6" s="91" t="s">
        <v>55</v>
      </c>
      <c r="FB6" s="91" t="s">
        <v>56</v>
      </c>
      <c r="FC6" s="91" t="s">
        <v>57</v>
      </c>
      <c r="FD6" s="92" t="s">
        <v>58</v>
      </c>
      <c r="FE6" s="92" t="s">
        <v>60</v>
      </c>
      <c r="FF6" s="93" t="s">
        <v>65</v>
      </c>
      <c r="FG6" s="92" t="s">
        <v>63</v>
      </c>
      <c r="FH6" s="92" t="s">
        <v>64</v>
      </c>
      <c r="FI6" s="81" t="s">
        <v>95</v>
      </c>
      <c r="FJ6" s="90" t="s">
        <v>45</v>
      </c>
      <c r="FK6" s="90" t="s">
        <v>46</v>
      </c>
      <c r="FL6" s="90" t="s">
        <v>47</v>
      </c>
      <c r="FM6" s="90" t="s">
        <v>48</v>
      </c>
      <c r="FN6" s="90" t="s">
        <v>49</v>
      </c>
      <c r="FO6" s="90" t="s">
        <v>50</v>
      </c>
      <c r="FP6" s="90" t="s">
        <v>51</v>
      </c>
      <c r="FQ6" s="90" t="s">
        <v>52</v>
      </c>
      <c r="FR6" s="90" t="s">
        <v>53</v>
      </c>
      <c r="FS6" s="91" t="s">
        <v>54</v>
      </c>
      <c r="FT6" s="91" t="s">
        <v>55</v>
      </c>
      <c r="FU6" s="91" t="s">
        <v>56</v>
      </c>
      <c r="FV6" s="91" t="s">
        <v>57</v>
      </c>
      <c r="FW6" s="92" t="s">
        <v>58</v>
      </c>
      <c r="FX6" s="92" t="s">
        <v>60</v>
      </c>
      <c r="FY6" s="93" t="s">
        <v>65</v>
      </c>
      <c r="FZ6" s="92" t="s">
        <v>63</v>
      </c>
      <c r="GA6" s="92" t="s">
        <v>64</v>
      </c>
      <c r="GB6" s="81" t="s">
        <v>96</v>
      </c>
      <c r="GC6" s="90" t="s">
        <v>45</v>
      </c>
      <c r="GD6" s="90" t="s">
        <v>46</v>
      </c>
      <c r="GE6" s="90" t="s">
        <v>47</v>
      </c>
      <c r="GF6" s="90" t="s">
        <v>48</v>
      </c>
      <c r="GG6" s="90" t="s">
        <v>49</v>
      </c>
      <c r="GH6" s="90" t="s">
        <v>50</v>
      </c>
      <c r="GI6" s="90" t="s">
        <v>51</v>
      </c>
      <c r="GJ6" s="90" t="s">
        <v>52</v>
      </c>
      <c r="GK6" s="90" t="s">
        <v>53</v>
      </c>
      <c r="GL6" s="91" t="s">
        <v>54</v>
      </c>
      <c r="GM6" s="91" t="s">
        <v>55</v>
      </c>
      <c r="GN6" s="91" t="s">
        <v>56</v>
      </c>
      <c r="GO6" s="91" t="s">
        <v>57</v>
      </c>
      <c r="GP6" s="92" t="s">
        <v>58</v>
      </c>
      <c r="GQ6" s="92" t="s">
        <v>60</v>
      </c>
      <c r="GR6" s="93" t="s">
        <v>65</v>
      </c>
      <c r="GS6" s="92" t="s">
        <v>63</v>
      </c>
      <c r="GT6" s="92" t="s">
        <v>64</v>
      </c>
      <c r="GU6" s="81" t="s">
        <v>97</v>
      </c>
      <c r="GV6" s="90" t="s">
        <v>45</v>
      </c>
      <c r="GW6" s="90" t="s">
        <v>46</v>
      </c>
      <c r="GX6" s="90" t="s">
        <v>47</v>
      </c>
      <c r="GY6" s="90" t="s">
        <v>48</v>
      </c>
      <c r="GZ6" s="90" t="s">
        <v>49</v>
      </c>
      <c r="HA6" s="90" t="s">
        <v>50</v>
      </c>
      <c r="HB6" s="90" t="s">
        <v>51</v>
      </c>
      <c r="HC6" s="90" t="s">
        <v>52</v>
      </c>
      <c r="HD6" s="90" t="s">
        <v>53</v>
      </c>
      <c r="HE6" s="91" t="s">
        <v>54</v>
      </c>
      <c r="HF6" s="91" t="s">
        <v>55</v>
      </c>
      <c r="HG6" s="91" t="s">
        <v>56</v>
      </c>
      <c r="HH6" s="91" t="s">
        <v>57</v>
      </c>
      <c r="HI6" s="92" t="s">
        <v>58</v>
      </c>
      <c r="HJ6" s="92" t="s">
        <v>60</v>
      </c>
      <c r="HK6" s="93" t="s">
        <v>65</v>
      </c>
      <c r="HL6" s="92" t="s">
        <v>63</v>
      </c>
      <c r="HM6" s="92" t="s">
        <v>64</v>
      </c>
      <c r="HN6" s="81" t="s">
        <v>98</v>
      </c>
      <c r="HO6" s="90" t="s">
        <v>45</v>
      </c>
      <c r="HP6" s="90" t="s">
        <v>46</v>
      </c>
      <c r="HQ6" s="90" t="s">
        <v>47</v>
      </c>
      <c r="HR6" s="90" t="s">
        <v>48</v>
      </c>
      <c r="HS6" s="90" t="s">
        <v>49</v>
      </c>
      <c r="HT6" s="90" t="s">
        <v>50</v>
      </c>
      <c r="HU6" s="90" t="s">
        <v>51</v>
      </c>
      <c r="HV6" s="90" t="s">
        <v>52</v>
      </c>
      <c r="HW6" s="90" t="s">
        <v>53</v>
      </c>
      <c r="HX6" s="91" t="s">
        <v>54</v>
      </c>
      <c r="HY6" s="91" t="s">
        <v>55</v>
      </c>
      <c r="HZ6" s="91" t="s">
        <v>56</v>
      </c>
      <c r="IA6" s="91" t="s">
        <v>57</v>
      </c>
      <c r="IB6" s="92" t="s">
        <v>58</v>
      </c>
      <c r="IC6" s="92" t="s">
        <v>60</v>
      </c>
      <c r="ID6" s="93" t="s">
        <v>65</v>
      </c>
      <c r="IE6" s="92" t="s">
        <v>63</v>
      </c>
      <c r="IF6" s="92" t="s">
        <v>64</v>
      </c>
      <c r="IG6" s="81" t="s">
        <v>99</v>
      </c>
      <c r="IH6" s="90" t="s">
        <v>45</v>
      </c>
      <c r="II6" s="81" t="s">
        <v>100</v>
      </c>
      <c r="IJ6" s="90" t="s">
        <v>45</v>
      </c>
      <c r="IK6" s="81" t="s">
        <v>101</v>
      </c>
      <c r="IL6" s="90" t="s">
        <v>45</v>
      </c>
      <c r="IM6" s="81" t="s">
        <v>102</v>
      </c>
      <c r="IN6" s="90" t="s">
        <v>45</v>
      </c>
      <c r="IO6" s="81" t="s">
        <v>103</v>
      </c>
      <c r="IP6" s="90" t="s">
        <v>47</v>
      </c>
      <c r="IQ6" s="81" t="s">
        <v>104</v>
      </c>
      <c r="IR6" s="90" t="s">
        <v>47</v>
      </c>
      <c r="IS6" s="81" t="s">
        <v>105</v>
      </c>
      <c r="IT6" s="90" t="s">
        <v>66</v>
      </c>
      <c r="IU6" s="90" t="s">
        <v>67</v>
      </c>
      <c r="IV6" s="94" t="s">
        <v>68</v>
      </c>
      <c r="IW6" s="94" t="s">
        <v>69</v>
      </c>
      <c r="IX6" s="94" t="s">
        <v>70</v>
      </c>
      <c r="IY6" s="94" t="s">
        <v>71</v>
      </c>
      <c r="IZ6" s="81" t="s">
        <v>126</v>
      </c>
      <c r="JA6" s="90" t="s">
        <v>45</v>
      </c>
      <c r="JB6" s="90" t="s">
        <v>46</v>
      </c>
      <c r="JC6" s="90" t="s">
        <v>47</v>
      </c>
      <c r="JD6" s="90" t="s">
        <v>48</v>
      </c>
      <c r="JE6" s="90" t="s">
        <v>49</v>
      </c>
      <c r="JF6" s="90" t="s">
        <v>50</v>
      </c>
      <c r="JG6" s="90" t="s">
        <v>51</v>
      </c>
      <c r="JH6" s="90" t="s">
        <v>52</v>
      </c>
      <c r="JI6" s="90" t="s">
        <v>53</v>
      </c>
      <c r="JJ6" s="91" t="s">
        <v>54</v>
      </c>
      <c r="JK6" s="91" t="s">
        <v>55</v>
      </c>
      <c r="JL6" s="91" t="s">
        <v>56</v>
      </c>
      <c r="JM6" s="91" t="s">
        <v>57</v>
      </c>
      <c r="JN6" s="92" t="s">
        <v>58</v>
      </c>
      <c r="JO6" s="92" t="s">
        <v>60</v>
      </c>
      <c r="JP6" s="93" t="s">
        <v>65</v>
      </c>
      <c r="JQ6" s="92" t="s">
        <v>63</v>
      </c>
      <c r="JR6" s="92" t="s">
        <v>64</v>
      </c>
      <c r="JS6" s="81" t="s">
        <v>127</v>
      </c>
      <c r="JT6" s="95" t="s">
        <v>88</v>
      </c>
      <c r="JU6" s="90" t="s">
        <v>45</v>
      </c>
      <c r="JV6" s="90" t="s">
        <v>46</v>
      </c>
      <c r="JW6" s="90" t="s">
        <v>47</v>
      </c>
      <c r="JX6" s="90" t="s">
        <v>48</v>
      </c>
      <c r="JY6" s="90" t="s">
        <v>49</v>
      </c>
      <c r="JZ6" s="90" t="s">
        <v>50</v>
      </c>
      <c r="KA6" s="90" t="s">
        <v>51</v>
      </c>
      <c r="KB6" s="90" t="s">
        <v>52</v>
      </c>
      <c r="KC6" s="90" t="s">
        <v>53</v>
      </c>
      <c r="KD6" s="91" t="s">
        <v>54</v>
      </c>
      <c r="KE6" s="91" t="s">
        <v>55</v>
      </c>
      <c r="KF6" s="91" t="s">
        <v>56</v>
      </c>
      <c r="KG6" s="91" t="s">
        <v>57</v>
      </c>
      <c r="KH6" s="92" t="s">
        <v>58</v>
      </c>
      <c r="KI6" s="92" t="s">
        <v>60</v>
      </c>
      <c r="KJ6" s="93" t="s">
        <v>65</v>
      </c>
      <c r="KK6" s="92" t="s">
        <v>63</v>
      </c>
      <c r="KL6" s="92" t="s">
        <v>64</v>
      </c>
      <c r="KM6" s="96" t="s">
        <v>72</v>
      </c>
      <c r="KN6" s="81" t="s">
        <v>106</v>
      </c>
      <c r="KO6" s="90" t="s">
        <v>45</v>
      </c>
      <c r="KP6" s="90" t="s">
        <v>46</v>
      </c>
      <c r="KQ6" s="90" t="s">
        <v>47</v>
      </c>
      <c r="KR6" s="90" t="s">
        <v>48</v>
      </c>
      <c r="KS6" s="90" t="s">
        <v>49</v>
      </c>
      <c r="KT6" s="90" t="s">
        <v>50</v>
      </c>
      <c r="KU6" s="90" t="s">
        <v>51</v>
      </c>
      <c r="KV6" s="90" t="s">
        <v>52</v>
      </c>
      <c r="KW6" s="90" t="s">
        <v>53</v>
      </c>
      <c r="KX6" s="91" t="s">
        <v>54</v>
      </c>
      <c r="KY6" s="91" t="s">
        <v>55</v>
      </c>
      <c r="KZ6" s="91" t="s">
        <v>56</v>
      </c>
      <c r="LA6" s="91" t="s">
        <v>57</v>
      </c>
      <c r="LB6" s="92" t="s">
        <v>58</v>
      </c>
      <c r="LC6" s="92" t="s">
        <v>60</v>
      </c>
      <c r="LD6" s="93" t="s">
        <v>65</v>
      </c>
      <c r="LE6" s="92" t="s">
        <v>63</v>
      </c>
      <c r="LF6" s="92" t="s">
        <v>64</v>
      </c>
      <c r="LG6" s="97" t="s">
        <v>72</v>
      </c>
      <c r="LH6" s="81" t="s">
        <v>89</v>
      </c>
      <c r="LI6" s="98" t="s">
        <v>29</v>
      </c>
      <c r="LJ6" s="98" t="s">
        <v>73</v>
      </c>
      <c r="LK6" s="99" t="s">
        <v>74</v>
      </c>
      <c r="LL6" s="81" t="s">
        <v>128</v>
      </c>
      <c r="LM6" s="90" t="s">
        <v>45</v>
      </c>
      <c r="LN6" s="90" t="s">
        <v>46</v>
      </c>
      <c r="LO6" s="90" t="s">
        <v>47</v>
      </c>
      <c r="LP6" s="90" t="s">
        <v>48</v>
      </c>
      <c r="LQ6" s="90" t="s">
        <v>49</v>
      </c>
      <c r="LR6" s="90" t="s">
        <v>50</v>
      </c>
      <c r="LS6" s="90" t="s">
        <v>51</v>
      </c>
      <c r="LT6" s="90" t="s">
        <v>52</v>
      </c>
      <c r="LU6" s="90" t="s">
        <v>53</v>
      </c>
      <c r="LV6" s="91" t="s">
        <v>54</v>
      </c>
      <c r="LW6" s="91" t="s">
        <v>55</v>
      </c>
      <c r="LX6" s="91" t="s">
        <v>56</v>
      </c>
      <c r="LY6" s="91" t="s">
        <v>57</v>
      </c>
      <c r="LZ6" s="92" t="s">
        <v>58</v>
      </c>
      <c r="MA6" s="92" t="s">
        <v>60</v>
      </c>
      <c r="MB6" s="93" t="s">
        <v>65</v>
      </c>
      <c r="MC6" s="92" t="s">
        <v>63</v>
      </c>
      <c r="MD6" s="92" t="s">
        <v>64</v>
      </c>
      <c r="ME6" s="100" t="s">
        <v>72</v>
      </c>
      <c r="MF6" s="81" t="s">
        <v>130</v>
      </c>
      <c r="MG6" s="101" t="s">
        <v>75</v>
      </c>
      <c r="MH6" s="102" t="s">
        <v>76</v>
      </c>
      <c r="MI6" s="81" t="s">
        <v>130</v>
      </c>
      <c r="MJ6" s="102" t="s">
        <v>50</v>
      </c>
      <c r="MK6" s="102" t="s">
        <v>51</v>
      </c>
      <c r="ML6" s="102" t="s">
        <v>52</v>
      </c>
      <c r="MM6" s="102" t="s">
        <v>53</v>
      </c>
      <c r="MN6" s="102" t="s">
        <v>55</v>
      </c>
      <c r="MO6" s="102" t="s">
        <v>56</v>
      </c>
      <c r="MP6" s="102" t="s">
        <v>57</v>
      </c>
      <c r="MQ6" s="102" t="s">
        <v>58</v>
      </c>
      <c r="MR6" s="102" t="s">
        <v>60</v>
      </c>
      <c r="MS6" s="102" t="s">
        <v>65</v>
      </c>
      <c r="MT6" s="102" t="s">
        <v>63</v>
      </c>
      <c r="MU6" s="102" t="s">
        <v>64</v>
      </c>
      <c r="MV6" s="101" t="s">
        <v>77</v>
      </c>
      <c r="MW6" s="103" t="s">
        <v>78</v>
      </c>
      <c r="MX6" s="104" t="s">
        <v>79</v>
      </c>
      <c r="MY6" s="81" t="s">
        <v>129</v>
      </c>
      <c r="MZ6" s="90" t="s">
        <v>45</v>
      </c>
      <c r="NA6" s="90" t="s">
        <v>46</v>
      </c>
      <c r="NB6" s="90" t="s">
        <v>47</v>
      </c>
      <c r="NC6" s="90" t="s">
        <v>48</v>
      </c>
      <c r="ND6" s="90" t="s">
        <v>49</v>
      </c>
      <c r="NE6" s="90" t="s">
        <v>50</v>
      </c>
      <c r="NF6" s="90" t="s">
        <v>51</v>
      </c>
      <c r="NG6" s="90" t="s">
        <v>52</v>
      </c>
      <c r="NH6" s="90" t="s">
        <v>53</v>
      </c>
      <c r="NI6" s="91" t="s">
        <v>54</v>
      </c>
      <c r="NJ6" s="91" t="s">
        <v>55</v>
      </c>
      <c r="NK6" s="91" t="s">
        <v>56</v>
      </c>
      <c r="NL6" s="91" t="s">
        <v>57</v>
      </c>
      <c r="NM6" s="92" t="s">
        <v>58</v>
      </c>
      <c r="NN6" s="92" t="s">
        <v>60</v>
      </c>
      <c r="NO6" s="93" t="s">
        <v>65</v>
      </c>
      <c r="NP6" s="92" t="s">
        <v>63</v>
      </c>
      <c r="NQ6" s="92" t="s">
        <v>64</v>
      </c>
      <c r="NR6" s="100" t="s">
        <v>72</v>
      </c>
      <c r="NS6" s="81" t="s">
        <v>130</v>
      </c>
      <c r="NW6" s="81" t="s">
        <v>130</v>
      </c>
      <c r="NX6" s="81" t="s">
        <v>158</v>
      </c>
      <c r="NY6" s="90" t="s">
        <v>45</v>
      </c>
      <c r="NZ6" s="90" t="s">
        <v>46</v>
      </c>
      <c r="OA6" s="90" t="s">
        <v>47</v>
      </c>
      <c r="OB6" s="90" t="s">
        <v>48</v>
      </c>
      <c r="OC6" s="90" t="s">
        <v>49</v>
      </c>
      <c r="OD6" s="90" t="s">
        <v>50</v>
      </c>
      <c r="OE6" s="90" t="s">
        <v>51</v>
      </c>
      <c r="OF6" s="90" t="s">
        <v>52</v>
      </c>
      <c r="OG6" s="90" t="s">
        <v>53</v>
      </c>
      <c r="OH6" s="91" t="s">
        <v>54</v>
      </c>
      <c r="OI6" s="91" t="s">
        <v>55</v>
      </c>
      <c r="OJ6" s="91" t="s">
        <v>56</v>
      </c>
      <c r="OK6" s="91" t="s">
        <v>57</v>
      </c>
      <c r="OL6" s="92" t="s">
        <v>58</v>
      </c>
      <c r="OM6" s="92" t="s">
        <v>60</v>
      </c>
      <c r="ON6" s="93" t="s">
        <v>65</v>
      </c>
      <c r="OO6" s="92" t="s">
        <v>63</v>
      </c>
      <c r="OP6" s="92" t="s">
        <v>64</v>
      </c>
      <c r="OQ6" s="100" t="s">
        <v>72</v>
      </c>
      <c r="OR6" s="81" t="s">
        <v>131</v>
      </c>
      <c r="OS6" s="105" t="s">
        <v>80</v>
      </c>
      <c r="OT6" s="81" t="s">
        <v>131</v>
      </c>
      <c r="OU6" s="106" t="s">
        <v>81</v>
      </c>
      <c r="OV6" s="105" t="s">
        <v>82</v>
      </c>
      <c r="OW6" s="81" t="s">
        <v>131</v>
      </c>
      <c r="OX6" s="107" t="s">
        <v>83</v>
      </c>
    </row>
    <row r="7" spans="1:414" ht="14.25" thickBot="1" x14ac:dyDescent="0.3">
      <c r="A7" s="141"/>
      <c r="B7" s="2">
        <v>1</v>
      </c>
      <c r="C7" s="115">
        <v>41071</v>
      </c>
      <c r="D7" s="72">
        <v>5</v>
      </c>
      <c r="E7" s="73">
        <v>0.1</v>
      </c>
      <c r="F7" s="73">
        <v>0</v>
      </c>
      <c r="G7" s="73" t="s">
        <v>141</v>
      </c>
      <c r="H7" s="73" t="s">
        <v>156</v>
      </c>
      <c r="I7" s="74">
        <v>1</v>
      </c>
      <c r="J7" s="75">
        <v>3670</v>
      </c>
      <c r="K7" s="73" t="s">
        <v>151</v>
      </c>
      <c r="L7" s="73" t="s">
        <v>152</v>
      </c>
      <c r="M7" s="74">
        <v>650</v>
      </c>
      <c r="N7" s="73" t="s">
        <v>150</v>
      </c>
      <c r="O7" s="73" t="s">
        <v>144</v>
      </c>
      <c r="P7" s="11">
        <v>2</v>
      </c>
      <c r="Q7" s="73" t="s">
        <v>135</v>
      </c>
      <c r="R7" s="44" t="s">
        <v>140</v>
      </c>
      <c r="S7" s="11">
        <v>0</v>
      </c>
      <c r="T7" s="44" t="s">
        <v>140</v>
      </c>
      <c r="U7" s="73" t="s">
        <v>135</v>
      </c>
      <c r="V7" s="44" t="s">
        <v>140</v>
      </c>
      <c r="W7" s="76" t="s">
        <v>146</v>
      </c>
      <c r="X7" s="76" t="s">
        <v>146</v>
      </c>
      <c r="Z7" s="108">
        <v>3200000</v>
      </c>
      <c r="AA7" s="109">
        <v>736000</v>
      </c>
      <c r="AB7" s="45"/>
      <c r="AC7" s="46">
        <v>3936000</v>
      </c>
      <c r="AD7" s="47">
        <v>125120.00000000001</v>
      </c>
      <c r="AE7" s="47">
        <v>125120.00000000001</v>
      </c>
      <c r="AF7" s="47">
        <v>747840</v>
      </c>
      <c r="AG7" s="44" t="s">
        <v>140</v>
      </c>
      <c r="AH7" s="47">
        <v>590400</v>
      </c>
      <c r="AI7" s="47">
        <v>448000.00000000006</v>
      </c>
      <c r="AJ7" s="47">
        <v>865920</v>
      </c>
      <c r="AK7" s="47">
        <v>1613760</v>
      </c>
      <c r="AL7" s="47">
        <v>1849920</v>
      </c>
      <c r="AM7" s="48"/>
      <c r="AN7" s="48"/>
      <c r="AO7" s="47">
        <v>448000.00000000006</v>
      </c>
      <c r="AP7" s="44" t="s">
        <v>140</v>
      </c>
      <c r="AQ7" s="44" t="s">
        <v>140</v>
      </c>
      <c r="AR7" s="44" t="s">
        <v>140</v>
      </c>
      <c r="AS7" s="44" t="s">
        <v>140</v>
      </c>
      <c r="AT7" s="44" t="s">
        <v>140</v>
      </c>
      <c r="AU7" s="44" t="s">
        <v>140</v>
      </c>
      <c r="AV7" s="44" t="s">
        <v>140</v>
      </c>
      <c r="AW7" s="47">
        <v>11000</v>
      </c>
      <c r="AX7" s="47">
        <v>20000</v>
      </c>
      <c r="AY7" s="45"/>
      <c r="AZ7" s="49">
        <v>8.5400000000000002E-5</v>
      </c>
      <c r="BA7" s="49">
        <v>1.4E-3</v>
      </c>
      <c r="BB7" s="49">
        <v>1.5E-3</v>
      </c>
      <c r="BC7" s="49">
        <v>2.3999999999999998E-3</v>
      </c>
      <c r="BD7" s="44" t="s">
        <v>140</v>
      </c>
      <c r="BE7" s="49">
        <v>2.9999999999999997E-4</v>
      </c>
      <c r="BF7" s="49">
        <v>2.5999999999999998E-4</v>
      </c>
      <c r="BG7" s="49">
        <v>5.3700000000000004E-4</v>
      </c>
      <c r="BH7" s="49">
        <v>3.2960000000000003E-3</v>
      </c>
      <c r="BI7" s="49">
        <v>3.3E-4</v>
      </c>
      <c r="BJ7" s="44" t="s">
        <v>140</v>
      </c>
      <c r="BK7" s="44" t="s">
        <v>140</v>
      </c>
      <c r="BL7" s="49">
        <v>1.5000000000000001E-4</v>
      </c>
      <c r="BM7" s="44" t="s">
        <v>140</v>
      </c>
      <c r="BN7" s="44" t="s">
        <v>140</v>
      </c>
      <c r="BO7" s="44" t="s">
        <v>140</v>
      </c>
      <c r="BP7" s="49">
        <v>0.02</v>
      </c>
      <c r="BQ7" s="50">
        <v>0.02</v>
      </c>
      <c r="BR7" s="45"/>
      <c r="BS7" s="51">
        <v>1</v>
      </c>
      <c r="BT7" s="51">
        <v>1</v>
      </c>
      <c r="BU7" s="51">
        <v>1</v>
      </c>
      <c r="BV7" s="52">
        <v>1</v>
      </c>
      <c r="BW7" s="44" t="s">
        <v>140</v>
      </c>
      <c r="BX7" s="52">
        <v>1</v>
      </c>
      <c r="BY7" s="52">
        <v>1</v>
      </c>
      <c r="BZ7" s="52">
        <v>1</v>
      </c>
      <c r="CA7" s="52">
        <v>1</v>
      </c>
      <c r="CB7" s="51">
        <v>1</v>
      </c>
      <c r="CC7" s="44" t="s">
        <v>140</v>
      </c>
      <c r="CD7" s="44" t="s">
        <v>140</v>
      </c>
      <c r="CE7" s="51">
        <v>1</v>
      </c>
      <c r="CF7" s="44" t="s">
        <v>140</v>
      </c>
      <c r="CG7" s="44" t="s">
        <v>140</v>
      </c>
      <c r="CH7" s="44" t="s">
        <v>140</v>
      </c>
      <c r="CI7" s="51">
        <v>1</v>
      </c>
      <c r="CJ7" s="51">
        <v>1</v>
      </c>
      <c r="CK7" s="45"/>
      <c r="CL7" s="51">
        <v>2</v>
      </c>
      <c r="CM7" s="51">
        <v>1.1000000000000001</v>
      </c>
      <c r="CN7" s="51">
        <v>1.1000000000000001</v>
      </c>
      <c r="CO7" s="52"/>
      <c r="CP7" s="44" t="s">
        <v>140</v>
      </c>
      <c r="CQ7" s="52"/>
      <c r="CR7" s="52"/>
      <c r="CS7" s="52"/>
      <c r="CT7" s="52"/>
      <c r="CU7" s="51">
        <v>1.5</v>
      </c>
      <c r="CV7" s="44" t="s">
        <v>140</v>
      </c>
      <c r="CW7" s="44" t="s">
        <v>140</v>
      </c>
      <c r="CX7" s="51">
        <v>2</v>
      </c>
      <c r="CY7" s="44" t="s">
        <v>140</v>
      </c>
      <c r="CZ7" s="44" t="s">
        <v>140</v>
      </c>
      <c r="DA7" s="44" t="s">
        <v>140</v>
      </c>
      <c r="DB7" s="52"/>
      <c r="DC7" s="53"/>
      <c r="DD7" s="45"/>
      <c r="DE7" s="54">
        <v>1</v>
      </c>
      <c r="DF7" s="54">
        <v>1</v>
      </c>
      <c r="DG7" s="54">
        <v>1</v>
      </c>
      <c r="DH7" s="54">
        <v>0.5</v>
      </c>
      <c r="DI7" s="44" t="s">
        <v>140</v>
      </c>
      <c r="DJ7" s="54">
        <v>0.5</v>
      </c>
      <c r="DK7" s="55"/>
      <c r="DL7" s="54">
        <v>0.5</v>
      </c>
      <c r="DM7" s="55"/>
      <c r="DN7" s="54">
        <v>1</v>
      </c>
      <c r="DO7" s="44" t="s">
        <v>140</v>
      </c>
      <c r="DP7" s="44" t="s">
        <v>140</v>
      </c>
      <c r="DQ7" s="54">
        <v>1</v>
      </c>
      <c r="DR7" s="44" t="s">
        <v>140</v>
      </c>
      <c r="DS7" s="44" t="s">
        <v>140</v>
      </c>
      <c r="DT7" s="44" t="s">
        <v>140</v>
      </c>
      <c r="DU7" s="55"/>
      <c r="DV7" s="56"/>
      <c r="DW7" s="45"/>
      <c r="DX7" s="54">
        <v>1.5</v>
      </c>
      <c r="DY7" s="54">
        <v>2</v>
      </c>
      <c r="DZ7" s="54">
        <v>2.5</v>
      </c>
      <c r="EA7" s="55"/>
      <c r="EB7" s="44" t="s">
        <v>140</v>
      </c>
      <c r="EC7" s="55"/>
      <c r="ED7" s="55"/>
      <c r="EE7" s="55"/>
      <c r="EF7" s="55"/>
      <c r="EG7" s="54">
        <v>1.5</v>
      </c>
      <c r="EH7" s="44" t="s">
        <v>140</v>
      </c>
      <c r="EI7" s="44" t="s">
        <v>140</v>
      </c>
      <c r="EJ7" s="54">
        <v>1.5</v>
      </c>
      <c r="EK7" s="44" t="s">
        <v>140</v>
      </c>
      <c r="EL7" s="44" t="s">
        <v>140</v>
      </c>
      <c r="EM7" s="44" t="s">
        <v>140</v>
      </c>
      <c r="EN7" s="55"/>
      <c r="EO7" s="55"/>
      <c r="EP7" s="45"/>
      <c r="EQ7" s="54">
        <v>1.1000000000000001</v>
      </c>
      <c r="ER7" s="54">
        <v>1.1000000000000001</v>
      </c>
      <c r="ES7" s="54">
        <v>1.1000000000000001</v>
      </c>
      <c r="ET7" s="55"/>
      <c r="EU7" s="44" t="s">
        <v>140</v>
      </c>
      <c r="EV7" s="55"/>
      <c r="EW7" s="55"/>
      <c r="EX7" s="55"/>
      <c r="EY7" s="55"/>
      <c r="EZ7" s="54">
        <v>1.1000000000000001</v>
      </c>
      <c r="FA7" s="44" t="s">
        <v>140</v>
      </c>
      <c r="FB7" s="44" t="s">
        <v>140</v>
      </c>
      <c r="FC7" s="54">
        <v>1.1000000000000001</v>
      </c>
      <c r="FD7" s="44" t="s">
        <v>140</v>
      </c>
      <c r="FE7" s="44" t="s">
        <v>140</v>
      </c>
      <c r="FF7" s="44" t="s">
        <v>140</v>
      </c>
      <c r="FG7" s="55"/>
      <c r="FH7" s="55"/>
      <c r="FI7" s="45"/>
      <c r="FJ7" s="54">
        <v>0.9</v>
      </c>
      <c r="FK7" s="54">
        <v>0.9</v>
      </c>
      <c r="FL7" s="54">
        <v>0.9</v>
      </c>
      <c r="FM7" s="55"/>
      <c r="FN7" s="44" t="s">
        <v>140</v>
      </c>
      <c r="FO7" s="55"/>
      <c r="FP7" s="55"/>
      <c r="FQ7" s="55"/>
      <c r="FR7" s="55"/>
      <c r="FS7" s="54">
        <v>0.9</v>
      </c>
      <c r="FT7" s="44" t="s">
        <v>140</v>
      </c>
      <c r="FU7" s="44" t="s">
        <v>140</v>
      </c>
      <c r="FV7" s="54">
        <v>0.9</v>
      </c>
      <c r="FW7" s="44" t="s">
        <v>140</v>
      </c>
      <c r="FX7" s="44" t="s">
        <v>140</v>
      </c>
      <c r="FY7" s="44" t="s">
        <v>140</v>
      </c>
      <c r="FZ7" s="55"/>
      <c r="GA7" s="55"/>
      <c r="GB7" s="45"/>
      <c r="GC7" s="54">
        <v>0.9</v>
      </c>
      <c r="GD7" s="54">
        <v>1</v>
      </c>
      <c r="GE7" s="54">
        <v>1</v>
      </c>
      <c r="GF7" s="55"/>
      <c r="GG7" s="44" t="s">
        <v>140</v>
      </c>
      <c r="GH7" s="55"/>
      <c r="GI7" s="55"/>
      <c r="GJ7" s="55"/>
      <c r="GK7" s="55"/>
      <c r="GL7" s="54">
        <v>1</v>
      </c>
      <c r="GM7" s="44" t="s">
        <v>140</v>
      </c>
      <c r="GN7" s="44" t="s">
        <v>140</v>
      </c>
      <c r="GO7" s="54">
        <v>1</v>
      </c>
      <c r="GP7" s="44" t="s">
        <v>140</v>
      </c>
      <c r="GQ7" s="44" t="s">
        <v>140</v>
      </c>
      <c r="GR7" s="44" t="s">
        <v>140</v>
      </c>
      <c r="GS7" s="55"/>
      <c r="GT7" s="55"/>
      <c r="GU7" s="45"/>
      <c r="GV7" s="54">
        <v>1</v>
      </c>
      <c r="GW7" s="54">
        <v>1</v>
      </c>
      <c r="GX7" s="54">
        <v>1</v>
      </c>
      <c r="GY7" s="55"/>
      <c r="GZ7" s="54"/>
      <c r="HA7" s="55"/>
      <c r="HB7" s="55"/>
      <c r="HC7" s="55"/>
      <c r="HD7" s="55"/>
      <c r="HE7" s="54">
        <v>1</v>
      </c>
      <c r="HF7" s="44" t="s">
        <v>140</v>
      </c>
      <c r="HG7" s="44" t="s">
        <v>140</v>
      </c>
      <c r="HH7" s="54">
        <v>1</v>
      </c>
      <c r="HI7" s="44" t="s">
        <v>140</v>
      </c>
      <c r="HJ7" s="44" t="s">
        <v>140</v>
      </c>
      <c r="HK7" s="44" t="s">
        <v>140</v>
      </c>
      <c r="HL7" s="55"/>
      <c r="HM7" s="55"/>
      <c r="HN7" s="45"/>
      <c r="HO7" s="54">
        <v>1</v>
      </c>
      <c r="HP7" s="54">
        <v>1</v>
      </c>
      <c r="HQ7" s="54">
        <v>1</v>
      </c>
      <c r="HR7" s="55"/>
      <c r="HS7" s="54"/>
      <c r="HT7" s="55"/>
      <c r="HU7" s="55"/>
      <c r="HV7" s="55"/>
      <c r="HW7" s="55"/>
      <c r="HX7" s="54">
        <v>1</v>
      </c>
      <c r="HY7" s="44" t="s">
        <v>140</v>
      </c>
      <c r="HZ7" s="44" t="s">
        <v>140</v>
      </c>
      <c r="IA7" s="54">
        <v>1</v>
      </c>
      <c r="IB7" s="44" t="s">
        <v>140</v>
      </c>
      <c r="IC7" s="44" t="s">
        <v>140</v>
      </c>
      <c r="ID7" s="44" t="s">
        <v>140</v>
      </c>
      <c r="IE7" s="55"/>
      <c r="IF7" s="55"/>
      <c r="IG7" s="45"/>
      <c r="IH7" s="51">
        <v>1</v>
      </c>
      <c r="II7" s="45"/>
      <c r="IJ7" s="44" t="s">
        <v>140</v>
      </c>
      <c r="IK7" s="45"/>
      <c r="IL7" s="51">
        <v>1</v>
      </c>
      <c r="IM7" s="45"/>
      <c r="IN7" s="44" t="s">
        <v>140</v>
      </c>
      <c r="IO7" s="45"/>
      <c r="IP7" s="52">
        <v>1</v>
      </c>
      <c r="IQ7" s="45"/>
      <c r="IR7" s="55">
        <v>0.95</v>
      </c>
      <c r="IS7" s="45"/>
      <c r="IT7" s="44" t="s">
        <v>140</v>
      </c>
      <c r="IU7" s="44" t="s">
        <v>140</v>
      </c>
      <c r="IV7" s="44" t="s">
        <v>140</v>
      </c>
      <c r="IW7" s="44" t="s">
        <v>140</v>
      </c>
      <c r="IX7" s="44" t="s">
        <v>140</v>
      </c>
      <c r="IY7" s="44" t="s">
        <v>140</v>
      </c>
      <c r="IZ7" s="45"/>
      <c r="JA7" s="54">
        <v>0.79738176618037271</v>
      </c>
      <c r="JB7" s="54">
        <v>0.93698883317611481</v>
      </c>
      <c r="JC7" s="54">
        <v>0.96888334869295878</v>
      </c>
      <c r="JD7" s="54">
        <v>1</v>
      </c>
      <c r="JE7" s="44" t="s">
        <v>140</v>
      </c>
      <c r="JF7" s="54">
        <v>0.90423482689289258</v>
      </c>
      <c r="JG7" s="54">
        <v>1</v>
      </c>
      <c r="JH7" s="54">
        <v>0.80084581479905492</v>
      </c>
      <c r="JI7" s="54">
        <v>1</v>
      </c>
      <c r="JJ7" s="54">
        <v>0.8336966691497818</v>
      </c>
      <c r="JK7" s="44" t="s">
        <v>140</v>
      </c>
      <c r="JL7" s="44" t="s">
        <v>140</v>
      </c>
      <c r="JM7" s="54">
        <v>1</v>
      </c>
      <c r="JN7" s="44" t="s">
        <v>140</v>
      </c>
      <c r="JO7" s="44" t="s">
        <v>140</v>
      </c>
      <c r="JP7" s="44" t="s">
        <v>140</v>
      </c>
      <c r="JQ7" s="54"/>
      <c r="JR7" s="54"/>
      <c r="JS7" s="45"/>
      <c r="JT7" s="57">
        <v>72</v>
      </c>
      <c r="JU7" s="58">
        <v>788.43735125240437</v>
      </c>
      <c r="JV7" s="59">
        <v>357.47614172709069</v>
      </c>
      <c r="JW7" s="59">
        <v>470.30649952872915</v>
      </c>
      <c r="JX7" s="59">
        <v>897.4079999999999</v>
      </c>
      <c r="JY7" s="44" t="s">
        <v>140</v>
      </c>
      <c r="JZ7" s="60">
        <v>80.079036269634557</v>
      </c>
      <c r="KA7" s="59">
        <v>116.48</v>
      </c>
      <c r="KB7" s="59">
        <v>186.19626753478917</v>
      </c>
      <c r="KC7" s="59">
        <v>5318.9529600000005</v>
      </c>
      <c r="KD7" s="59">
        <v>1133.6856949229345</v>
      </c>
      <c r="KE7" s="44" t="s">
        <v>140</v>
      </c>
      <c r="KF7" s="44" t="s">
        <v>140</v>
      </c>
      <c r="KG7" s="61">
        <v>199.58400000000006</v>
      </c>
      <c r="KH7" s="44" t="s">
        <v>140</v>
      </c>
      <c r="KI7" s="44" t="s">
        <v>140</v>
      </c>
      <c r="KJ7" s="44" t="s">
        <v>140</v>
      </c>
      <c r="KK7" s="59">
        <v>220</v>
      </c>
      <c r="KL7" s="59">
        <v>400</v>
      </c>
      <c r="KM7" s="62">
        <v>10168.605951235584</v>
      </c>
      <c r="KN7" s="45"/>
      <c r="KO7" s="59">
        <v>1458.6090998169482</v>
      </c>
      <c r="KP7" s="59">
        <v>661.3308621951179</v>
      </c>
      <c r="KQ7" s="59">
        <v>870.06702412814911</v>
      </c>
      <c r="KR7" s="59">
        <v>1660.2048</v>
      </c>
      <c r="KS7" s="44" t="s">
        <v>140</v>
      </c>
      <c r="KT7" s="59">
        <v>148.14621709882397</v>
      </c>
      <c r="KU7" s="59">
        <v>215.48800000000006</v>
      </c>
      <c r="KV7" s="59">
        <v>344.46309493936002</v>
      </c>
      <c r="KW7" s="59">
        <v>9840.0629760000029</v>
      </c>
      <c r="KX7" s="59">
        <v>2097.3185356074291</v>
      </c>
      <c r="KY7" s="44" t="s">
        <v>140</v>
      </c>
      <c r="KZ7" s="44" t="s">
        <v>140</v>
      </c>
      <c r="LA7" s="61">
        <v>369.23040000000015</v>
      </c>
      <c r="LB7" s="44" t="s">
        <v>140</v>
      </c>
      <c r="LC7" s="44" t="s">
        <v>140</v>
      </c>
      <c r="LD7" s="44" t="s">
        <v>140</v>
      </c>
      <c r="LE7" s="59">
        <v>407.00000000000006</v>
      </c>
      <c r="LF7" s="59">
        <v>740.00000000000011</v>
      </c>
      <c r="LG7" s="63">
        <v>18811.921009785834</v>
      </c>
      <c r="LH7" s="45"/>
      <c r="LI7" s="64">
        <v>0</v>
      </c>
      <c r="LJ7" s="65">
        <v>1</v>
      </c>
      <c r="LK7" s="66">
        <v>0.97</v>
      </c>
      <c r="LL7" s="45"/>
      <c r="LM7" s="59">
        <v>1414.8508268224398</v>
      </c>
      <c r="LN7" s="59">
        <v>641.4909363292644</v>
      </c>
      <c r="LO7" s="59">
        <v>843.96501340430461</v>
      </c>
      <c r="LP7" s="59">
        <v>1610.3986559999998</v>
      </c>
      <c r="LQ7" s="44" t="s">
        <v>140</v>
      </c>
      <c r="LR7" s="59">
        <v>143.70183058585926</v>
      </c>
      <c r="LS7" s="59">
        <v>209.02336000000005</v>
      </c>
      <c r="LT7" s="59">
        <v>334.1292020911792</v>
      </c>
      <c r="LU7" s="59">
        <v>9544.8610867200023</v>
      </c>
      <c r="LV7" s="59">
        <v>2034.3989795392063</v>
      </c>
      <c r="LW7" s="44" t="s">
        <v>140</v>
      </c>
      <c r="LX7" s="44" t="s">
        <v>140</v>
      </c>
      <c r="LY7" s="59">
        <v>358.15348800000015</v>
      </c>
      <c r="LZ7" s="44" t="s">
        <v>140</v>
      </c>
      <c r="MA7" s="44" t="s">
        <v>140</v>
      </c>
      <c r="MB7" s="44" t="s">
        <v>140</v>
      </c>
      <c r="MC7" s="59">
        <v>394.79</v>
      </c>
      <c r="MD7" s="59">
        <v>717.80000000000007</v>
      </c>
      <c r="ME7" s="59">
        <v>18247.563379492258</v>
      </c>
      <c r="MF7" s="45"/>
      <c r="MG7" s="53">
        <v>0</v>
      </c>
      <c r="MH7" s="53">
        <v>1</v>
      </c>
      <c r="MI7" s="45"/>
      <c r="MJ7" s="55">
        <v>1</v>
      </c>
      <c r="MK7" s="55">
        <v>1</v>
      </c>
      <c r="ML7" s="55">
        <v>1</v>
      </c>
      <c r="MM7" s="55">
        <v>1</v>
      </c>
      <c r="MN7" s="44" t="s">
        <v>140</v>
      </c>
      <c r="MO7" s="44" t="s">
        <v>140</v>
      </c>
      <c r="MP7" s="55">
        <v>1</v>
      </c>
      <c r="MQ7" s="44" t="s">
        <v>140</v>
      </c>
      <c r="MR7" s="44" t="s">
        <v>140</v>
      </c>
      <c r="MS7" s="44" t="s">
        <v>140</v>
      </c>
      <c r="MT7" s="55">
        <v>1</v>
      </c>
      <c r="MU7" s="55">
        <v>1</v>
      </c>
      <c r="MV7" s="67">
        <v>7</v>
      </c>
      <c r="MW7" s="67">
        <v>0.95</v>
      </c>
      <c r="MX7" s="68">
        <v>0.95</v>
      </c>
      <c r="MY7" s="45"/>
      <c r="MZ7" s="59">
        <v>1344.1082854813178</v>
      </c>
      <c r="NA7" s="59">
        <v>609.41638951280117</v>
      </c>
      <c r="NB7" s="59">
        <v>801.7667627340893</v>
      </c>
      <c r="NC7" s="59">
        <v>1529.8787231999997</v>
      </c>
      <c r="ND7" s="44" t="s">
        <v>140</v>
      </c>
      <c r="NE7" s="59">
        <v>136.51673905656628</v>
      </c>
      <c r="NF7" s="59">
        <v>198.57219200000003</v>
      </c>
      <c r="NG7" s="59">
        <v>317.42274198662022</v>
      </c>
      <c r="NH7" s="59">
        <v>9067.6180323840017</v>
      </c>
      <c r="NI7" s="59">
        <v>1932.6790305622458</v>
      </c>
      <c r="NJ7" s="44" t="s">
        <v>140</v>
      </c>
      <c r="NK7" s="44" t="s">
        <v>140</v>
      </c>
      <c r="NL7" s="59">
        <v>340.24581360000013</v>
      </c>
      <c r="NM7" s="44" t="s">
        <v>140</v>
      </c>
      <c r="NN7" s="44" t="s">
        <v>140</v>
      </c>
      <c r="NO7" s="44" t="s">
        <v>140</v>
      </c>
      <c r="NP7" s="59">
        <v>375.0505</v>
      </c>
      <c r="NQ7" s="59">
        <v>681.91000000000008</v>
      </c>
      <c r="NR7" s="69">
        <v>17335.18521051764</v>
      </c>
      <c r="NS7" s="45"/>
      <c r="NT7" s="110">
        <v>3</v>
      </c>
      <c r="NU7" s="111">
        <v>150</v>
      </c>
      <c r="NV7" s="112">
        <v>0</v>
      </c>
      <c r="NW7" s="113"/>
      <c r="NX7" s="113"/>
      <c r="NY7" s="114">
        <v>1344.1082854813178</v>
      </c>
      <c r="NZ7" s="114">
        <v>609.41638951280117</v>
      </c>
      <c r="OA7" s="114">
        <v>801.7667627340893</v>
      </c>
      <c r="OB7" s="114">
        <v>1529.8787231999997</v>
      </c>
      <c r="OC7" s="114" t="s">
        <v>140</v>
      </c>
      <c r="OD7" s="114">
        <v>136.51673905656628</v>
      </c>
      <c r="OE7" s="114">
        <v>198.57219200000003</v>
      </c>
      <c r="OF7" s="114">
        <v>317.42274198662022</v>
      </c>
      <c r="OG7" s="114">
        <v>9067.6180323840017</v>
      </c>
      <c r="OH7" s="114">
        <v>1932.6790305622458</v>
      </c>
      <c r="OI7" s="114" t="s">
        <v>140</v>
      </c>
      <c r="OJ7" s="114" t="s">
        <v>140</v>
      </c>
      <c r="OK7" s="114">
        <v>340.24581360000013</v>
      </c>
      <c r="OL7" s="114" t="s">
        <v>140</v>
      </c>
      <c r="OM7" s="114" t="s">
        <v>140</v>
      </c>
      <c r="ON7" s="114" t="s">
        <v>140</v>
      </c>
      <c r="OO7" s="114">
        <v>375.0505</v>
      </c>
      <c r="OP7" s="114">
        <v>681.91000000000008</v>
      </c>
      <c r="OQ7" s="114">
        <v>17335.18521051764</v>
      </c>
      <c r="OR7" s="113"/>
      <c r="OS7" s="70">
        <v>912.37816897461744</v>
      </c>
      <c r="OT7" s="45"/>
      <c r="OU7" s="70">
        <v>60</v>
      </c>
      <c r="OV7" s="70">
        <v>1283.764668536202</v>
      </c>
      <c r="OW7" s="45"/>
      <c r="OX7" s="71">
        <v>18678.949879053842</v>
      </c>
    </row>
    <row r="8" spans="1:414" ht="14.25" thickBot="1" x14ac:dyDescent="0.3">
      <c r="A8" s="141"/>
      <c r="B8" s="2">
        <v>2</v>
      </c>
      <c r="C8" s="115">
        <v>41071</v>
      </c>
      <c r="D8" s="72">
        <v>5</v>
      </c>
      <c r="E8" s="73">
        <v>0.1</v>
      </c>
      <c r="F8" s="73">
        <v>0</v>
      </c>
      <c r="G8" s="73" t="s">
        <v>141</v>
      </c>
      <c r="H8" s="73" t="s">
        <v>142</v>
      </c>
      <c r="I8" s="74">
        <v>1</v>
      </c>
      <c r="J8" s="75">
        <v>1240</v>
      </c>
      <c r="K8" s="73" t="s">
        <v>153</v>
      </c>
      <c r="L8" s="73" t="s">
        <v>147</v>
      </c>
      <c r="M8" s="74">
        <v>1100</v>
      </c>
      <c r="N8" s="73" t="s">
        <v>150</v>
      </c>
      <c r="O8" s="73" t="s">
        <v>149</v>
      </c>
      <c r="P8" s="11">
        <v>2</v>
      </c>
      <c r="Q8" s="73" t="s">
        <v>155</v>
      </c>
      <c r="R8" s="44" t="s">
        <v>140</v>
      </c>
      <c r="S8" s="11">
        <v>0</v>
      </c>
      <c r="T8" s="44" t="s">
        <v>140</v>
      </c>
      <c r="U8" s="73" t="s">
        <v>135</v>
      </c>
      <c r="V8" s="44" t="s">
        <v>140</v>
      </c>
      <c r="W8" s="76" t="s">
        <v>146</v>
      </c>
      <c r="X8" s="76" t="s">
        <v>146</v>
      </c>
      <c r="Z8" s="108">
        <v>1300000</v>
      </c>
      <c r="AA8" s="109">
        <v>962000</v>
      </c>
      <c r="AB8" s="45"/>
      <c r="AC8" s="46">
        <v>2262000</v>
      </c>
      <c r="AD8" s="47">
        <v>134680</v>
      </c>
      <c r="AE8" s="47">
        <v>404040</v>
      </c>
      <c r="AF8" s="47">
        <v>1017900</v>
      </c>
      <c r="AG8" s="44" t="s">
        <v>140</v>
      </c>
      <c r="AH8" s="47">
        <v>701220</v>
      </c>
      <c r="AI8" s="47">
        <v>611000</v>
      </c>
      <c r="AJ8" s="47">
        <v>769080</v>
      </c>
      <c r="AK8" s="47">
        <v>226200</v>
      </c>
      <c r="AL8" s="47">
        <v>1017900</v>
      </c>
      <c r="AM8" s="48"/>
      <c r="AN8" s="48"/>
      <c r="AO8" s="47">
        <v>338000</v>
      </c>
      <c r="AP8" s="44" t="s">
        <v>140</v>
      </c>
      <c r="AQ8" s="44" t="s">
        <v>140</v>
      </c>
      <c r="AR8" s="44" t="s">
        <v>140</v>
      </c>
      <c r="AS8" s="44" t="s">
        <v>140</v>
      </c>
      <c r="AT8" s="44" t="s">
        <v>140</v>
      </c>
      <c r="AU8" s="44" t="s">
        <v>140</v>
      </c>
      <c r="AV8" s="44" t="s">
        <v>140</v>
      </c>
      <c r="AW8" s="47">
        <v>3000</v>
      </c>
      <c r="AX8" s="47">
        <v>8000</v>
      </c>
      <c r="AY8" s="45"/>
      <c r="AZ8" s="49">
        <v>8.5400000000000002E-5</v>
      </c>
      <c r="BA8" s="49">
        <v>1.4E-3</v>
      </c>
      <c r="BB8" s="49">
        <v>1.5E-3</v>
      </c>
      <c r="BC8" s="49">
        <v>2.3999999999999998E-3</v>
      </c>
      <c r="BD8" s="44" t="s">
        <v>140</v>
      </c>
      <c r="BE8" s="49">
        <v>2.9999999999999997E-4</v>
      </c>
      <c r="BF8" s="49">
        <v>2.5999999999999998E-4</v>
      </c>
      <c r="BG8" s="49">
        <v>5.3700000000000004E-4</v>
      </c>
      <c r="BH8" s="49">
        <v>3.2960000000000003E-3</v>
      </c>
      <c r="BI8" s="49">
        <v>3.3E-4</v>
      </c>
      <c r="BJ8" s="44" t="s">
        <v>140</v>
      </c>
      <c r="BK8" s="44" t="s">
        <v>140</v>
      </c>
      <c r="BL8" s="49">
        <v>1.5000000000000001E-4</v>
      </c>
      <c r="BM8" s="44" t="s">
        <v>140</v>
      </c>
      <c r="BN8" s="44" t="s">
        <v>140</v>
      </c>
      <c r="BO8" s="44" t="s">
        <v>140</v>
      </c>
      <c r="BP8" s="49">
        <v>0.02</v>
      </c>
      <c r="BQ8" s="50">
        <v>0.02</v>
      </c>
      <c r="BR8" s="45"/>
      <c r="BS8" s="51">
        <v>1</v>
      </c>
      <c r="BT8" s="51">
        <v>1</v>
      </c>
      <c r="BU8" s="51">
        <v>1</v>
      </c>
      <c r="BV8" s="52">
        <v>1</v>
      </c>
      <c r="BW8" s="44" t="s">
        <v>140</v>
      </c>
      <c r="BX8" s="52">
        <v>1</v>
      </c>
      <c r="BY8" s="52">
        <v>1</v>
      </c>
      <c r="BZ8" s="52">
        <v>1</v>
      </c>
      <c r="CA8" s="52">
        <v>1</v>
      </c>
      <c r="CB8" s="51">
        <v>1</v>
      </c>
      <c r="CC8" s="44" t="s">
        <v>140</v>
      </c>
      <c r="CD8" s="44" t="s">
        <v>140</v>
      </c>
      <c r="CE8" s="51">
        <v>1</v>
      </c>
      <c r="CF8" s="44" t="s">
        <v>140</v>
      </c>
      <c r="CG8" s="44" t="s">
        <v>140</v>
      </c>
      <c r="CH8" s="44" t="s">
        <v>140</v>
      </c>
      <c r="CI8" s="51">
        <v>1</v>
      </c>
      <c r="CJ8" s="51">
        <v>1</v>
      </c>
      <c r="CK8" s="45"/>
      <c r="CL8" s="51">
        <v>2</v>
      </c>
      <c r="CM8" s="51">
        <v>1.5</v>
      </c>
      <c r="CN8" s="51">
        <v>1.5</v>
      </c>
      <c r="CO8" s="52"/>
      <c r="CP8" s="44" t="s">
        <v>140</v>
      </c>
      <c r="CQ8" s="52"/>
      <c r="CR8" s="52"/>
      <c r="CS8" s="52"/>
      <c r="CT8" s="52"/>
      <c r="CU8" s="51">
        <v>1.5</v>
      </c>
      <c r="CV8" s="44" t="s">
        <v>140</v>
      </c>
      <c r="CW8" s="44" t="s">
        <v>140</v>
      </c>
      <c r="CX8" s="51">
        <v>2</v>
      </c>
      <c r="CY8" s="44" t="s">
        <v>140</v>
      </c>
      <c r="CZ8" s="44" t="s">
        <v>140</v>
      </c>
      <c r="DA8" s="44" t="s">
        <v>140</v>
      </c>
      <c r="DB8" s="52"/>
      <c r="DC8" s="53"/>
      <c r="DD8" s="45"/>
      <c r="DE8" s="54">
        <v>1.3</v>
      </c>
      <c r="DF8" s="54">
        <v>2.5</v>
      </c>
      <c r="DG8" s="54">
        <v>2</v>
      </c>
      <c r="DH8" s="54">
        <v>1</v>
      </c>
      <c r="DI8" s="44" t="s">
        <v>140</v>
      </c>
      <c r="DJ8" s="54">
        <v>1</v>
      </c>
      <c r="DK8" s="55"/>
      <c r="DL8" s="54">
        <v>1</v>
      </c>
      <c r="DM8" s="55"/>
      <c r="DN8" s="54">
        <v>1</v>
      </c>
      <c r="DO8" s="44" t="s">
        <v>140</v>
      </c>
      <c r="DP8" s="44" t="s">
        <v>140</v>
      </c>
      <c r="DQ8" s="54">
        <v>2</v>
      </c>
      <c r="DR8" s="44" t="s">
        <v>140</v>
      </c>
      <c r="DS8" s="44" t="s">
        <v>140</v>
      </c>
      <c r="DT8" s="44" t="s">
        <v>140</v>
      </c>
      <c r="DU8" s="55"/>
      <c r="DV8" s="56"/>
      <c r="DW8" s="45"/>
      <c r="DX8" s="54">
        <v>1.5</v>
      </c>
      <c r="DY8" s="54">
        <v>2</v>
      </c>
      <c r="DZ8" s="54">
        <v>2.5</v>
      </c>
      <c r="EA8" s="55"/>
      <c r="EB8" s="44" t="s">
        <v>140</v>
      </c>
      <c r="EC8" s="55"/>
      <c r="ED8" s="55"/>
      <c r="EE8" s="55"/>
      <c r="EF8" s="55"/>
      <c r="EG8" s="54">
        <v>1.5</v>
      </c>
      <c r="EH8" s="44" t="s">
        <v>140</v>
      </c>
      <c r="EI8" s="44" t="s">
        <v>140</v>
      </c>
      <c r="EJ8" s="54">
        <v>1.5</v>
      </c>
      <c r="EK8" s="44" t="s">
        <v>140</v>
      </c>
      <c r="EL8" s="44" t="s">
        <v>140</v>
      </c>
      <c r="EM8" s="44" t="s">
        <v>140</v>
      </c>
      <c r="EN8" s="55"/>
      <c r="EO8" s="55"/>
      <c r="EP8" s="45"/>
      <c r="EQ8" s="54">
        <v>1.1000000000000001</v>
      </c>
      <c r="ER8" s="54">
        <v>1.1000000000000001</v>
      </c>
      <c r="ES8" s="54">
        <v>1.1000000000000001</v>
      </c>
      <c r="ET8" s="55"/>
      <c r="EU8" s="44" t="s">
        <v>140</v>
      </c>
      <c r="EV8" s="55"/>
      <c r="EW8" s="55"/>
      <c r="EX8" s="55"/>
      <c r="EY8" s="55"/>
      <c r="EZ8" s="54">
        <v>1.1000000000000001</v>
      </c>
      <c r="FA8" s="44" t="s">
        <v>140</v>
      </c>
      <c r="FB8" s="44" t="s">
        <v>140</v>
      </c>
      <c r="FC8" s="54">
        <v>1.1000000000000001</v>
      </c>
      <c r="FD8" s="44" t="s">
        <v>140</v>
      </c>
      <c r="FE8" s="44" t="s">
        <v>140</v>
      </c>
      <c r="FF8" s="44" t="s">
        <v>140</v>
      </c>
      <c r="FG8" s="55"/>
      <c r="FH8" s="55"/>
      <c r="FI8" s="45"/>
      <c r="FJ8" s="54">
        <v>0.9</v>
      </c>
      <c r="FK8" s="54">
        <v>0.9</v>
      </c>
      <c r="FL8" s="54">
        <v>0.9</v>
      </c>
      <c r="FM8" s="55"/>
      <c r="FN8" s="44" t="s">
        <v>140</v>
      </c>
      <c r="FO8" s="55"/>
      <c r="FP8" s="55"/>
      <c r="FQ8" s="55"/>
      <c r="FR8" s="55"/>
      <c r="FS8" s="54">
        <v>0.9</v>
      </c>
      <c r="FT8" s="44" t="s">
        <v>140</v>
      </c>
      <c r="FU8" s="44" t="s">
        <v>140</v>
      </c>
      <c r="FV8" s="54">
        <v>0.9</v>
      </c>
      <c r="FW8" s="44" t="s">
        <v>140</v>
      </c>
      <c r="FX8" s="44" t="s">
        <v>140</v>
      </c>
      <c r="FY8" s="44" t="s">
        <v>140</v>
      </c>
      <c r="FZ8" s="55"/>
      <c r="GA8" s="55"/>
      <c r="GB8" s="45"/>
      <c r="GC8" s="54">
        <v>1</v>
      </c>
      <c r="GD8" s="54">
        <v>1</v>
      </c>
      <c r="GE8" s="54">
        <v>1</v>
      </c>
      <c r="GF8" s="55"/>
      <c r="GG8" s="44" t="s">
        <v>140</v>
      </c>
      <c r="GH8" s="55"/>
      <c r="GI8" s="55"/>
      <c r="GJ8" s="55"/>
      <c r="GK8" s="55"/>
      <c r="GL8" s="54">
        <v>1</v>
      </c>
      <c r="GM8" s="44" t="s">
        <v>140</v>
      </c>
      <c r="GN8" s="44" t="s">
        <v>140</v>
      </c>
      <c r="GO8" s="54">
        <v>1</v>
      </c>
      <c r="GP8" s="44" t="s">
        <v>140</v>
      </c>
      <c r="GQ8" s="44" t="s">
        <v>140</v>
      </c>
      <c r="GR8" s="44" t="s">
        <v>140</v>
      </c>
      <c r="GS8" s="55"/>
      <c r="GT8" s="55"/>
      <c r="GU8" s="45"/>
      <c r="GV8" s="54">
        <v>1</v>
      </c>
      <c r="GW8" s="54">
        <v>1</v>
      </c>
      <c r="GX8" s="54">
        <v>1</v>
      </c>
      <c r="GY8" s="55"/>
      <c r="GZ8" s="54"/>
      <c r="HA8" s="55"/>
      <c r="HB8" s="55"/>
      <c r="HC8" s="55"/>
      <c r="HD8" s="55"/>
      <c r="HE8" s="54">
        <v>1</v>
      </c>
      <c r="HF8" s="44" t="s">
        <v>140</v>
      </c>
      <c r="HG8" s="44" t="s">
        <v>140</v>
      </c>
      <c r="HH8" s="54">
        <v>1</v>
      </c>
      <c r="HI8" s="44" t="s">
        <v>140</v>
      </c>
      <c r="HJ8" s="44" t="s">
        <v>140</v>
      </c>
      <c r="HK8" s="44" t="s">
        <v>140</v>
      </c>
      <c r="HL8" s="55"/>
      <c r="HM8" s="55"/>
      <c r="HN8" s="45"/>
      <c r="HO8" s="54">
        <v>1</v>
      </c>
      <c r="HP8" s="54">
        <v>1</v>
      </c>
      <c r="HQ8" s="54">
        <v>1</v>
      </c>
      <c r="HR8" s="55"/>
      <c r="HS8" s="54"/>
      <c r="HT8" s="55"/>
      <c r="HU8" s="55"/>
      <c r="HV8" s="55"/>
      <c r="HW8" s="55"/>
      <c r="HX8" s="54">
        <v>1</v>
      </c>
      <c r="HY8" s="44" t="s">
        <v>140</v>
      </c>
      <c r="HZ8" s="44" t="s">
        <v>140</v>
      </c>
      <c r="IA8" s="54">
        <v>1</v>
      </c>
      <c r="IB8" s="44" t="s">
        <v>140</v>
      </c>
      <c r="IC8" s="44" t="s">
        <v>140</v>
      </c>
      <c r="ID8" s="44" t="s">
        <v>140</v>
      </c>
      <c r="IE8" s="55"/>
      <c r="IF8" s="55"/>
      <c r="IG8" s="45"/>
      <c r="IH8" s="51">
        <v>0.97</v>
      </c>
      <c r="II8" s="45"/>
      <c r="IJ8" s="44" t="s">
        <v>140</v>
      </c>
      <c r="IK8" s="45"/>
      <c r="IL8" s="51">
        <v>1</v>
      </c>
      <c r="IM8" s="45"/>
      <c r="IN8" s="44" t="s">
        <v>140</v>
      </c>
      <c r="IO8" s="45"/>
      <c r="IP8" s="52">
        <v>1</v>
      </c>
      <c r="IQ8" s="45"/>
      <c r="IR8" s="55">
        <v>0.95</v>
      </c>
      <c r="IS8" s="45"/>
      <c r="IT8" s="44" t="s">
        <v>140</v>
      </c>
      <c r="IU8" s="44" t="s">
        <v>140</v>
      </c>
      <c r="IV8" s="44" t="s">
        <v>140</v>
      </c>
      <c r="IW8" s="44" t="s">
        <v>140</v>
      </c>
      <c r="IX8" s="44" t="s">
        <v>140</v>
      </c>
      <c r="IY8" s="44" t="s">
        <v>140</v>
      </c>
      <c r="IZ8" s="45"/>
      <c r="JA8" s="54">
        <v>0.84046520182524953</v>
      </c>
      <c r="JB8" s="54">
        <v>0.93224066968444741</v>
      </c>
      <c r="JC8" s="54">
        <v>0.90998612216689201</v>
      </c>
      <c r="JD8" s="54">
        <v>1</v>
      </c>
      <c r="JE8" s="44" t="s">
        <v>140</v>
      </c>
      <c r="JF8" s="54">
        <v>0.89759411093936481</v>
      </c>
      <c r="JG8" s="54">
        <v>1</v>
      </c>
      <c r="JH8" s="54">
        <v>0.80819264123996426</v>
      </c>
      <c r="JI8" s="54">
        <v>1</v>
      </c>
      <c r="JJ8" s="54">
        <v>0.85948817482985718</v>
      </c>
      <c r="JK8" s="44" t="s">
        <v>140</v>
      </c>
      <c r="JL8" s="44" t="s">
        <v>140</v>
      </c>
      <c r="JM8" s="54">
        <v>1</v>
      </c>
      <c r="JN8" s="44" t="s">
        <v>140</v>
      </c>
      <c r="JO8" s="44" t="s">
        <v>140</v>
      </c>
      <c r="JP8" s="44" t="s">
        <v>140</v>
      </c>
      <c r="JQ8" s="54"/>
      <c r="JR8" s="54"/>
      <c r="JS8" s="45"/>
      <c r="JT8" s="57">
        <v>72</v>
      </c>
      <c r="JU8" s="58">
        <v>680.05343191300892</v>
      </c>
      <c r="JV8" s="59">
        <v>1305.1356324212888</v>
      </c>
      <c r="JW8" s="59">
        <v>3890.1867820727916</v>
      </c>
      <c r="JX8" s="59">
        <v>2442.9599999999996</v>
      </c>
      <c r="JY8" s="44" t="s">
        <v>140</v>
      </c>
      <c r="JZ8" s="60">
        <v>188.8232827418704</v>
      </c>
      <c r="KA8" s="59">
        <v>158.85999999999999</v>
      </c>
      <c r="KB8" s="59">
        <v>333.78029573383463</v>
      </c>
      <c r="KC8" s="59">
        <v>745.55520000000013</v>
      </c>
      <c r="KD8" s="59">
        <v>643.09728014808104</v>
      </c>
      <c r="KE8" s="44" t="s">
        <v>140</v>
      </c>
      <c r="KF8" s="44" t="s">
        <v>140</v>
      </c>
      <c r="KG8" s="61">
        <v>301.15800000000007</v>
      </c>
      <c r="KH8" s="44" t="s">
        <v>140</v>
      </c>
      <c r="KI8" s="44" t="s">
        <v>140</v>
      </c>
      <c r="KJ8" s="44" t="s">
        <v>140</v>
      </c>
      <c r="KK8" s="59">
        <v>60</v>
      </c>
      <c r="KL8" s="59">
        <v>160</v>
      </c>
      <c r="KM8" s="62">
        <v>10909.609905030875</v>
      </c>
      <c r="KN8" s="45"/>
      <c r="KO8" s="59">
        <v>1258.0988490390666</v>
      </c>
      <c r="KP8" s="59">
        <v>2414.5009199793844</v>
      </c>
      <c r="KQ8" s="59">
        <v>7196.8455468346656</v>
      </c>
      <c r="KR8" s="59">
        <v>4519.4759999999997</v>
      </c>
      <c r="KS8" s="44" t="s">
        <v>140</v>
      </c>
      <c r="KT8" s="59">
        <v>349.32307307246026</v>
      </c>
      <c r="KU8" s="59">
        <v>293.89100000000002</v>
      </c>
      <c r="KV8" s="59">
        <v>617.49354710759417</v>
      </c>
      <c r="KW8" s="59">
        <v>1379.2771200000004</v>
      </c>
      <c r="KX8" s="59">
        <v>1189.7299682739501</v>
      </c>
      <c r="KY8" s="44" t="s">
        <v>140</v>
      </c>
      <c r="KZ8" s="44" t="s">
        <v>140</v>
      </c>
      <c r="LA8" s="61">
        <v>557.1423000000002</v>
      </c>
      <c r="LB8" s="44" t="s">
        <v>140</v>
      </c>
      <c r="LC8" s="44" t="s">
        <v>140</v>
      </c>
      <c r="LD8" s="44" t="s">
        <v>140</v>
      </c>
      <c r="LE8" s="59">
        <v>111.00000000000001</v>
      </c>
      <c r="LF8" s="59">
        <v>296.00000000000006</v>
      </c>
      <c r="LG8" s="63">
        <v>20182.778324307121</v>
      </c>
      <c r="LH8" s="45"/>
      <c r="LI8" s="64">
        <v>0</v>
      </c>
      <c r="LJ8" s="65">
        <v>1</v>
      </c>
      <c r="LK8" s="66">
        <v>0.97</v>
      </c>
      <c r="LL8" s="45"/>
      <c r="LM8" s="59">
        <v>1220.3558835678946</v>
      </c>
      <c r="LN8" s="59">
        <v>2342.0658923800029</v>
      </c>
      <c r="LO8" s="59">
        <v>6980.9401804296258</v>
      </c>
      <c r="LP8" s="59">
        <v>4383.8917199999996</v>
      </c>
      <c r="LQ8" s="44" t="s">
        <v>140</v>
      </c>
      <c r="LR8" s="59">
        <v>338.84338088028642</v>
      </c>
      <c r="LS8" s="59">
        <v>285.07427000000001</v>
      </c>
      <c r="LT8" s="59">
        <v>598.96874069436637</v>
      </c>
      <c r="LU8" s="59">
        <v>1337.8988064000005</v>
      </c>
      <c r="LV8" s="59">
        <v>1154.0380692257315</v>
      </c>
      <c r="LW8" s="44" t="s">
        <v>140</v>
      </c>
      <c r="LX8" s="44" t="s">
        <v>140</v>
      </c>
      <c r="LY8" s="59">
        <v>540.42803100000015</v>
      </c>
      <c r="LZ8" s="44" t="s">
        <v>140</v>
      </c>
      <c r="MA8" s="44" t="s">
        <v>140</v>
      </c>
      <c r="MB8" s="44" t="s">
        <v>140</v>
      </c>
      <c r="MC8" s="59">
        <v>107.67000000000002</v>
      </c>
      <c r="MD8" s="59">
        <v>287.12000000000006</v>
      </c>
      <c r="ME8" s="59">
        <v>19577.294974577908</v>
      </c>
      <c r="MF8" s="45"/>
      <c r="MG8" s="53">
        <v>0</v>
      </c>
      <c r="MH8" s="53">
        <v>1</v>
      </c>
      <c r="MI8" s="45"/>
      <c r="MJ8" s="55">
        <v>1</v>
      </c>
      <c r="MK8" s="55">
        <v>1</v>
      </c>
      <c r="ML8" s="55">
        <v>1</v>
      </c>
      <c r="MM8" s="55">
        <v>1</v>
      </c>
      <c r="MN8" s="44" t="s">
        <v>140</v>
      </c>
      <c r="MO8" s="44" t="s">
        <v>140</v>
      </c>
      <c r="MP8" s="55">
        <v>1</v>
      </c>
      <c r="MQ8" s="44" t="s">
        <v>140</v>
      </c>
      <c r="MR8" s="44" t="s">
        <v>140</v>
      </c>
      <c r="MS8" s="44" t="s">
        <v>140</v>
      </c>
      <c r="MT8" s="55">
        <v>1</v>
      </c>
      <c r="MU8" s="55">
        <v>1</v>
      </c>
      <c r="MV8" s="67">
        <v>7</v>
      </c>
      <c r="MW8" s="67">
        <v>0.95</v>
      </c>
      <c r="MX8" s="68">
        <v>0.95</v>
      </c>
      <c r="MY8" s="45"/>
      <c r="MZ8" s="59">
        <v>1159.3380893894998</v>
      </c>
      <c r="NA8" s="59">
        <v>2224.9625977610026</v>
      </c>
      <c r="NB8" s="59">
        <v>6631.8931714081446</v>
      </c>
      <c r="NC8" s="59">
        <v>4164.6971339999991</v>
      </c>
      <c r="ND8" s="44" t="s">
        <v>140</v>
      </c>
      <c r="NE8" s="59">
        <v>321.90121183627207</v>
      </c>
      <c r="NF8" s="59">
        <v>270.82055650000001</v>
      </c>
      <c r="NG8" s="59">
        <v>569.02030365964799</v>
      </c>
      <c r="NH8" s="59">
        <v>1271.0038660800003</v>
      </c>
      <c r="NI8" s="59">
        <v>1096.336165764445</v>
      </c>
      <c r="NJ8" s="44" t="s">
        <v>140</v>
      </c>
      <c r="NK8" s="44" t="s">
        <v>140</v>
      </c>
      <c r="NL8" s="59">
        <v>513.40662945000008</v>
      </c>
      <c r="NM8" s="44" t="s">
        <v>140</v>
      </c>
      <c r="NN8" s="44" t="s">
        <v>140</v>
      </c>
      <c r="NO8" s="44" t="s">
        <v>140</v>
      </c>
      <c r="NP8" s="59">
        <v>102.2865</v>
      </c>
      <c r="NQ8" s="59">
        <v>272.76400000000007</v>
      </c>
      <c r="NR8" s="69">
        <v>18598.43022584901</v>
      </c>
      <c r="NS8" s="45"/>
      <c r="NT8" s="110">
        <v>3</v>
      </c>
      <c r="NU8" s="111">
        <v>150</v>
      </c>
      <c r="NV8" s="112">
        <v>0</v>
      </c>
      <c r="NW8" s="113"/>
      <c r="NX8" s="113"/>
      <c r="NY8" s="114">
        <v>1159.3380893894998</v>
      </c>
      <c r="NZ8" s="114">
        <v>2224.9625977610026</v>
      </c>
      <c r="OA8" s="114">
        <v>6631.8931714081446</v>
      </c>
      <c r="OB8" s="114">
        <v>4164.6971339999991</v>
      </c>
      <c r="OC8" s="114" t="s">
        <v>140</v>
      </c>
      <c r="OD8" s="114">
        <v>321.90121183627207</v>
      </c>
      <c r="OE8" s="114">
        <v>270.82055650000001</v>
      </c>
      <c r="OF8" s="114">
        <v>569.02030365964799</v>
      </c>
      <c r="OG8" s="114">
        <v>1271.0038660800003</v>
      </c>
      <c r="OH8" s="114">
        <v>1096.336165764445</v>
      </c>
      <c r="OI8" s="114" t="s">
        <v>140</v>
      </c>
      <c r="OJ8" s="114" t="s">
        <v>140</v>
      </c>
      <c r="OK8" s="114">
        <v>513.40662945000008</v>
      </c>
      <c r="OL8" s="114" t="s">
        <v>140</v>
      </c>
      <c r="OM8" s="114" t="s">
        <v>140</v>
      </c>
      <c r="ON8" s="114" t="s">
        <v>140</v>
      </c>
      <c r="OO8" s="114">
        <v>102.2865</v>
      </c>
      <c r="OP8" s="114">
        <v>272.76400000000007</v>
      </c>
      <c r="OQ8" s="114">
        <v>18598.43022584901</v>
      </c>
      <c r="OR8" s="113"/>
      <c r="OS8" s="70">
        <v>978.86474872889812</v>
      </c>
      <c r="OT8" s="45"/>
      <c r="OU8" s="70">
        <v>60</v>
      </c>
      <c r="OV8" s="70">
        <v>1376.9921506676569</v>
      </c>
      <c r="OW8" s="45"/>
      <c r="OX8" s="71">
        <v>20035.422376516668</v>
      </c>
    </row>
    <row r="9" spans="1:414" ht="14.25" thickBot="1" x14ac:dyDescent="0.3">
      <c r="A9" s="141"/>
      <c r="B9" s="2">
        <v>3</v>
      </c>
      <c r="C9" s="115">
        <v>41071</v>
      </c>
      <c r="D9" s="72">
        <v>5</v>
      </c>
      <c r="E9" s="73">
        <v>0.1</v>
      </c>
      <c r="F9" s="73">
        <v>0</v>
      </c>
      <c r="G9" s="73" t="s">
        <v>141</v>
      </c>
      <c r="H9" s="73" t="s">
        <v>142</v>
      </c>
      <c r="I9" s="74">
        <v>1</v>
      </c>
      <c r="J9" s="75">
        <v>2215</v>
      </c>
      <c r="K9" s="73" t="s">
        <v>143</v>
      </c>
      <c r="L9" s="73" t="s">
        <v>147</v>
      </c>
      <c r="M9" s="74">
        <v>65</v>
      </c>
      <c r="N9" s="73" t="s">
        <v>150</v>
      </c>
      <c r="O9" s="73" t="s">
        <v>144</v>
      </c>
      <c r="P9" s="11">
        <v>0</v>
      </c>
      <c r="Q9" s="73" t="s">
        <v>135</v>
      </c>
      <c r="R9" s="44" t="s">
        <v>140</v>
      </c>
      <c r="S9" s="11">
        <v>0</v>
      </c>
      <c r="T9" s="44" t="s">
        <v>140</v>
      </c>
      <c r="U9" s="73" t="s">
        <v>148</v>
      </c>
      <c r="V9" s="44" t="s">
        <v>140</v>
      </c>
      <c r="W9" s="76" t="s">
        <v>146</v>
      </c>
      <c r="X9" s="76" t="s">
        <v>146</v>
      </c>
      <c r="Z9" s="108">
        <v>700000</v>
      </c>
      <c r="AA9" s="109">
        <v>518000</v>
      </c>
      <c r="AB9" s="45"/>
      <c r="AC9" s="46">
        <v>1218000</v>
      </c>
      <c r="AD9" s="47">
        <v>233100</v>
      </c>
      <c r="AE9" s="47">
        <v>160580</v>
      </c>
      <c r="AF9" s="47">
        <v>462840</v>
      </c>
      <c r="AG9" s="44" t="s">
        <v>140</v>
      </c>
      <c r="AH9" s="47">
        <v>121800</v>
      </c>
      <c r="AI9" s="47">
        <v>210000</v>
      </c>
      <c r="AJ9" s="47">
        <v>548100</v>
      </c>
      <c r="AK9" s="47">
        <v>475020</v>
      </c>
      <c r="AL9" s="47">
        <v>572460</v>
      </c>
      <c r="AM9" s="48"/>
      <c r="AN9" s="48"/>
      <c r="AO9" s="47">
        <v>266000</v>
      </c>
      <c r="AP9" s="44" t="s">
        <v>140</v>
      </c>
      <c r="AQ9" s="44" t="s">
        <v>140</v>
      </c>
      <c r="AR9" s="44" t="s">
        <v>140</v>
      </c>
      <c r="AS9" s="44" t="s">
        <v>140</v>
      </c>
      <c r="AT9" s="44" t="s">
        <v>140</v>
      </c>
      <c r="AU9" s="44" t="s">
        <v>140</v>
      </c>
      <c r="AV9" s="44" t="s">
        <v>140</v>
      </c>
      <c r="AW9" s="47">
        <v>2000</v>
      </c>
      <c r="AX9" s="47">
        <v>5000</v>
      </c>
      <c r="AY9" s="45"/>
      <c r="AZ9" s="49">
        <v>8.5400000000000002E-5</v>
      </c>
      <c r="BA9" s="49">
        <v>1.4E-3</v>
      </c>
      <c r="BB9" s="49">
        <v>1.5E-3</v>
      </c>
      <c r="BC9" s="49">
        <v>2.3999999999999998E-3</v>
      </c>
      <c r="BD9" s="44" t="s">
        <v>140</v>
      </c>
      <c r="BE9" s="49">
        <v>2.9999999999999997E-4</v>
      </c>
      <c r="BF9" s="49">
        <v>2.5999999999999998E-4</v>
      </c>
      <c r="BG9" s="49">
        <v>5.3700000000000004E-4</v>
      </c>
      <c r="BH9" s="49">
        <v>3.2960000000000003E-3</v>
      </c>
      <c r="BI9" s="49">
        <v>3.3E-4</v>
      </c>
      <c r="BJ9" s="44" t="s">
        <v>140</v>
      </c>
      <c r="BK9" s="44" t="s">
        <v>140</v>
      </c>
      <c r="BL9" s="49">
        <v>1.5000000000000001E-4</v>
      </c>
      <c r="BM9" s="44" t="s">
        <v>140</v>
      </c>
      <c r="BN9" s="44" t="s">
        <v>140</v>
      </c>
      <c r="BO9" s="44" t="s">
        <v>140</v>
      </c>
      <c r="BP9" s="49">
        <v>0.02</v>
      </c>
      <c r="BQ9" s="50">
        <v>0.02</v>
      </c>
      <c r="BR9" s="45"/>
      <c r="BS9" s="51">
        <v>1</v>
      </c>
      <c r="BT9" s="51">
        <v>1</v>
      </c>
      <c r="BU9" s="51">
        <v>1</v>
      </c>
      <c r="BV9" s="52">
        <v>1</v>
      </c>
      <c r="BW9" s="44" t="s">
        <v>140</v>
      </c>
      <c r="BX9" s="52">
        <v>1</v>
      </c>
      <c r="BY9" s="52">
        <v>1</v>
      </c>
      <c r="BZ9" s="52">
        <v>1</v>
      </c>
      <c r="CA9" s="52">
        <v>1</v>
      </c>
      <c r="CB9" s="51">
        <v>1</v>
      </c>
      <c r="CC9" s="44" t="s">
        <v>140</v>
      </c>
      <c r="CD9" s="44" t="s">
        <v>140</v>
      </c>
      <c r="CE9" s="51">
        <v>1</v>
      </c>
      <c r="CF9" s="44" t="s">
        <v>140</v>
      </c>
      <c r="CG9" s="44" t="s">
        <v>140</v>
      </c>
      <c r="CH9" s="44" t="s">
        <v>140</v>
      </c>
      <c r="CI9" s="51">
        <v>1</v>
      </c>
      <c r="CJ9" s="51">
        <v>1</v>
      </c>
      <c r="CK9" s="45"/>
      <c r="CL9" s="51">
        <v>2</v>
      </c>
      <c r="CM9" s="51">
        <v>1.5</v>
      </c>
      <c r="CN9" s="51">
        <v>1.5</v>
      </c>
      <c r="CO9" s="52"/>
      <c r="CP9" s="44" t="s">
        <v>140</v>
      </c>
      <c r="CQ9" s="52"/>
      <c r="CR9" s="52"/>
      <c r="CS9" s="52"/>
      <c r="CT9" s="52"/>
      <c r="CU9" s="51">
        <v>1.5</v>
      </c>
      <c r="CV9" s="44" t="s">
        <v>140</v>
      </c>
      <c r="CW9" s="44" t="s">
        <v>140</v>
      </c>
      <c r="CX9" s="51">
        <v>2</v>
      </c>
      <c r="CY9" s="44" t="s">
        <v>140</v>
      </c>
      <c r="CZ9" s="44" t="s">
        <v>140</v>
      </c>
      <c r="DA9" s="44" t="s">
        <v>140</v>
      </c>
      <c r="DB9" s="52"/>
      <c r="DC9" s="53"/>
      <c r="DD9" s="45"/>
      <c r="DE9" s="54">
        <v>1.3</v>
      </c>
      <c r="DF9" s="54">
        <v>2.5</v>
      </c>
      <c r="DG9" s="54">
        <v>2</v>
      </c>
      <c r="DH9" s="54">
        <v>1</v>
      </c>
      <c r="DI9" s="44" t="s">
        <v>140</v>
      </c>
      <c r="DJ9" s="54">
        <v>1</v>
      </c>
      <c r="DK9" s="55"/>
      <c r="DL9" s="54">
        <v>1</v>
      </c>
      <c r="DM9" s="55"/>
      <c r="DN9" s="54">
        <v>1</v>
      </c>
      <c r="DO9" s="44" t="s">
        <v>140</v>
      </c>
      <c r="DP9" s="44" t="s">
        <v>140</v>
      </c>
      <c r="DQ9" s="54">
        <v>2</v>
      </c>
      <c r="DR9" s="44" t="s">
        <v>140</v>
      </c>
      <c r="DS9" s="44" t="s">
        <v>140</v>
      </c>
      <c r="DT9" s="44" t="s">
        <v>140</v>
      </c>
      <c r="DU9" s="55"/>
      <c r="DV9" s="56"/>
      <c r="DW9" s="45"/>
      <c r="DX9" s="54">
        <v>1.5</v>
      </c>
      <c r="DY9" s="54">
        <v>2</v>
      </c>
      <c r="DZ9" s="54">
        <v>2.5</v>
      </c>
      <c r="EA9" s="55"/>
      <c r="EB9" s="44" t="s">
        <v>140</v>
      </c>
      <c r="EC9" s="55"/>
      <c r="ED9" s="55"/>
      <c r="EE9" s="55"/>
      <c r="EF9" s="55"/>
      <c r="EG9" s="54">
        <v>1.5</v>
      </c>
      <c r="EH9" s="44" t="s">
        <v>140</v>
      </c>
      <c r="EI9" s="44" t="s">
        <v>140</v>
      </c>
      <c r="EJ9" s="54">
        <v>1.5</v>
      </c>
      <c r="EK9" s="44" t="s">
        <v>140</v>
      </c>
      <c r="EL9" s="44" t="s">
        <v>140</v>
      </c>
      <c r="EM9" s="44" t="s">
        <v>140</v>
      </c>
      <c r="EN9" s="55"/>
      <c r="EO9" s="55"/>
      <c r="EP9" s="45"/>
      <c r="EQ9" s="54">
        <v>1</v>
      </c>
      <c r="ER9" s="54">
        <v>1</v>
      </c>
      <c r="ES9" s="54">
        <v>1</v>
      </c>
      <c r="ET9" s="55"/>
      <c r="EU9" s="44" t="s">
        <v>140</v>
      </c>
      <c r="EV9" s="55"/>
      <c r="EW9" s="55"/>
      <c r="EX9" s="55"/>
      <c r="EY9" s="55"/>
      <c r="EZ9" s="54">
        <v>1</v>
      </c>
      <c r="FA9" s="44" t="s">
        <v>140</v>
      </c>
      <c r="FB9" s="44" t="s">
        <v>140</v>
      </c>
      <c r="FC9" s="54">
        <v>1</v>
      </c>
      <c r="FD9" s="44" t="s">
        <v>140</v>
      </c>
      <c r="FE9" s="44" t="s">
        <v>140</v>
      </c>
      <c r="FF9" s="44" t="s">
        <v>140</v>
      </c>
      <c r="FG9" s="55"/>
      <c r="FH9" s="55"/>
      <c r="FI9" s="45"/>
      <c r="FJ9" s="54">
        <v>0.9</v>
      </c>
      <c r="FK9" s="54">
        <v>0.9</v>
      </c>
      <c r="FL9" s="54">
        <v>0.9</v>
      </c>
      <c r="FM9" s="55"/>
      <c r="FN9" s="44" t="s">
        <v>140</v>
      </c>
      <c r="FO9" s="55"/>
      <c r="FP9" s="55"/>
      <c r="FQ9" s="55"/>
      <c r="FR9" s="55"/>
      <c r="FS9" s="54">
        <v>0.9</v>
      </c>
      <c r="FT9" s="44" t="s">
        <v>140</v>
      </c>
      <c r="FU9" s="44" t="s">
        <v>140</v>
      </c>
      <c r="FV9" s="54">
        <v>0.9</v>
      </c>
      <c r="FW9" s="44" t="s">
        <v>140</v>
      </c>
      <c r="FX9" s="44" t="s">
        <v>140</v>
      </c>
      <c r="FY9" s="44" t="s">
        <v>140</v>
      </c>
      <c r="FZ9" s="55"/>
      <c r="GA9" s="55"/>
      <c r="GB9" s="45"/>
      <c r="GC9" s="54">
        <v>1</v>
      </c>
      <c r="GD9" s="54">
        <v>1</v>
      </c>
      <c r="GE9" s="54">
        <v>1</v>
      </c>
      <c r="GF9" s="55"/>
      <c r="GG9" s="44" t="s">
        <v>140</v>
      </c>
      <c r="GH9" s="55"/>
      <c r="GI9" s="55"/>
      <c r="GJ9" s="55"/>
      <c r="GK9" s="55"/>
      <c r="GL9" s="54">
        <v>1</v>
      </c>
      <c r="GM9" s="44" t="s">
        <v>140</v>
      </c>
      <c r="GN9" s="44" t="s">
        <v>140</v>
      </c>
      <c r="GO9" s="54">
        <v>1</v>
      </c>
      <c r="GP9" s="44" t="s">
        <v>140</v>
      </c>
      <c r="GQ9" s="44" t="s">
        <v>140</v>
      </c>
      <c r="GR9" s="44" t="s">
        <v>140</v>
      </c>
      <c r="GS9" s="55"/>
      <c r="GT9" s="55"/>
      <c r="GU9" s="45"/>
      <c r="GV9" s="54">
        <v>1</v>
      </c>
      <c r="GW9" s="54">
        <v>1</v>
      </c>
      <c r="GX9" s="54">
        <v>1</v>
      </c>
      <c r="GY9" s="55"/>
      <c r="GZ9" s="54"/>
      <c r="HA9" s="55"/>
      <c r="HB9" s="55"/>
      <c r="HC9" s="55"/>
      <c r="HD9" s="55"/>
      <c r="HE9" s="54">
        <v>1</v>
      </c>
      <c r="HF9" s="44" t="s">
        <v>140</v>
      </c>
      <c r="HG9" s="44" t="s">
        <v>140</v>
      </c>
      <c r="HH9" s="54">
        <v>1</v>
      </c>
      <c r="HI9" s="44" t="s">
        <v>140</v>
      </c>
      <c r="HJ9" s="44" t="s">
        <v>140</v>
      </c>
      <c r="HK9" s="44" t="s">
        <v>140</v>
      </c>
      <c r="HL9" s="55"/>
      <c r="HM9" s="55"/>
      <c r="HN9" s="45"/>
      <c r="HO9" s="54">
        <v>1</v>
      </c>
      <c r="HP9" s="54">
        <v>1</v>
      </c>
      <c r="HQ9" s="54">
        <v>1</v>
      </c>
      <c r="HR9" s="55"/>
      <c r="HS9" s="54"/>
      <c r="HT9" s="55"/>
      <c r="HU9" s="55"/>
      <c r="HV9" s="55"/>
      <c r="HW9" s="55"/>
      <c r="HX9" s="54">
        <v>1</v>
      </c>
      <c r="HY9" s="44" t="s">
        <v>140</v>
      </c>
      <c r="HZ9" s="44" t="s">
        <v>140</v>
      </c>
      <c r="IA9" s="54">
        <v>1</v>
      </c>
      <c r="IB9" s="44" t="s">
        <v>140</v>
      </c>
      <c r="IC9" s="44" t="s">
        <v>140</v>
      </c>
      <c r="ID9" s="44" t="s">
        <v>140</v>
      </c>
      <c r="IE9" s="55"/>
      <c r="IF9" s="55"/>
      <c r="IG9" s="45"/>
      <c r="IH9" s="51">
        <v>1</v>
      </c>
      <c r="II9" s="45"/>
      <c r="IJ9" s="44" t="s">
        <v>140</v>
      </c>
      <c r="IK9" s="45"/>
      <c r="IL9" s="51">
        <v>1</v>
      </c>
      <c r="IM9" s="45"/>
      <c r="IN9" s="44" t="s">
        <v>140</v>
      </c>
      <c r="IO9" s="45"/>
      <c r="IP9" s="52">
        <v>0.97</v>
      </c>
      <c r="IQ9" s="45"/>
      <c r="IR9" s="55">
        <v>0.95</v>
      </c>
      <c r="IS9" s="45"/>
      <c r="IT9" s="44" t="s">
        <v>140</v>
      </c>
      <c r="IU9" s="44" t="s">
        <v>140</v>
      </c>
      <c r="IV9" s="44" t="s">
        <v>140</v>
      </c>
      <c r="IW9" s="44" t="s">
        <v>140</v>
      </c>
      <c r="IX9" s="44" t="s">
        <v>140</v>
      </c>
      <c r="IY9" s="44" t="s">
        <v>140</v>
      </c>
      <c r="IZ9" s="45"/>
      <c r="JA9" s="54">
        <v>0.89137416272036296</v>
      </c>
      <c r="JB9" s="54">
        <v>0.89761384575392567</v>
      </c>
      <c r="JC9" s="54">
        <v>0.95603541353933108</v>
      </c>
      <c r="JD9" s="54">
        <v>1</v>
      </c>
      <c r="JE9" s="44" t="s">
        <v>140</v>
      </c>
      <c r="JF9" s="54">
        <v>0.96750866835909033</v>
      </c>
      <c r="JG9" s="54">
        <v>1</v>
      </c>
      <c r="JH9" s="54">
        <v>0.8295498590772421</v>
      </c>
      <c r="JI9" s="54">
        <v>1</v>
      </c>
      <c r="JJ9" s="54">
        <v>0.88509087685790344</v>
      </c>
      <c r="JK9" s="44" t="s">
        <v>140</v>
      </c>
      <c r="JL9" s="44" t="s">
        <v>140</v>
      </c>
      <c r="JM9" s="54">
        <v>1</v>
      </c>
      <c r="JN9" s="44" t="s">
        <v>140</v>
      </c>
      <c r="JO9" s="44" t="s">
        <v>140</v>
      </c>
      <c r="JP9" s="44" t="s">
        <v>140</v>
      </c>
      <c r="JQ9" s="54"/>
      <c r="JR9" s="54"/>
      <c r="JS9" s="45"/>
      <c r="JT9" s="57">
        <v>72</v>
      </c>
      <c r="JU9" s="58">
        <v>397.4410384003931</v>
      </c>
      <c r="JV9" s="59">
        <v>1977.2592913575188</v>
      </c>
      <c r="JW9" s="59">
        <v>1432.3719403995976</v>
      </c>
      <c r="JX9" s="59">
        <v>1110.8159999999998</v>
      </c>
      <c r="JY9" s="44" t="s">
        <v>140</v>
      </c>
      <c r="JZ9" s="60">
        <v>35.352766741841158</v>
      </c>
      <c r="KA9" s="59">
        <v>54.599999999999994</v>
      </c>
      <c r="KB9" s="59">
        <v>244.16116115724694</v>
      </c>
      <c r="KC9" s="59">
        <v>1565.6659200000001</v>
      </c>
      <c r="KD9" s="59">
        <v>338.58832418937993</v>
      </c>
      <c r="KE9" s="44" t="s">
        <v>140</v>
      </c>
      <c r="KF9" s="44" t="s">
        <v>140</v>
      </c>
      <c r="KG9" s="61">
        <v>215.46000000000004</v>
      </c>
      <c r="KH9" s="44" t="s">
        <v>140</v>
      </c>
      <c r="KI9" s="44" t="s">
        <v>140</v>
      </c>
      <c r="KJ9" s="44" t="s">
        <v>140</v>
      </c>
      <c r="KK9" s="59">
        <v>40</v>
      </c>
      <c r="KL9" s="59">
        <v>100</v>
      </c>
      <c r="KM9" s="62">
        <v>7511.7164422459782</v>
      </c>
      <c r="KN9" s="45"/>
      <c r="KO9" s="59">
        <v>735.26592104072733</v>
      </c>
      <c r="KP9" s="59">
        <v>3657.9296890114106</v>
      </c>
      <c r="KQ9" s="59">
        <v>2649.888089739256</v>
      </c>
      <c r="KR9" s="59">
        <v>2055.0095999999999</v>
      </c>
      <c r="KS9" s="44" t="s">
        <v>140</v>
      </c>
      <c r="KT9" s="59">
        <v>65.402618472406147</v>
      </c>
      <c r="KU9" s="59">
        <v>101.01</v>
      </c>
      <c r="KV9" s="59">
        <v>451.69814814090694</v>
      </c>
      <c r="KW9" s="59">
        <v>2896.481952000001</v>
      </c>
      <c r="KX9" s="59">
        <v>626.38839975035296</v>
      </c>
      <c r="KY9" s="44" t="s">
        <v>140</v>
      </c>
      <c r="KZ9" s="44" t="s">
        <v>140</v>
      </c>
      <c r="LA9" s="61">
        <v>398.60100000000011</v>
      </c>
      <c r="LB9" s="44" t="s">
        <v>140</v>
      </c>
      <c r="LC9" s="44" t="s">
        <v>140</v>
      </c>
      <c r="LD9" s="44" t="s">
        <v>140</v>
      </c>
      <c r="LE9" s="59">
        <v>74.000000000000014</v>
      </c>
      <c r="LF9" s="59">
        <v>185.00000000000003</v>
      </c>
      <c r="LG9" s="63">
        <v>13896.675418155062</v>
      </c>
      <c r="LH9" s="45"/>
      <c r="LI9" s="64">
        <v>0</v>
      </c>
      <c r="LJ9" s="65">
        <v>1</v>
      </c>
      <c r="LK9" s="66">
        <v>0.97</v>
      </c>
      <c r="LL9" s="45"/>
      <c r="LM9" s="59">
        <v>713.20794340950545</v>
      </c>
      <c r="LN9" s="59">
        <v>3548.1917983410681</v>
      </c>
      <c r="LO9" s="59">
        <v>2570.3914470470781</v>
      </c>
      <c r="LP9" s="59">
        <v>1993.3593119999998</v>
      </c>
      <c r="LQ9" s="44" t="s">
        <v>140</v>
      </c>
      <c r="LR9" s="59">
        <v>63.440539918233959</v>
      </c>
      <c r="LS9" s="59">
        <v>97.979700000000008</v>
      </c>
      <c r="LT9" s="59">
        <v>438.1472036966797</v>
      </c>
      <c r="LU9" s="59">
        <v>2809.5874934400008</v>
      </c>
      <c r="LV9" s="59">
        <v>607.59674775784231</v>
      </c>
      <c r="LW9" s="44" t="s">
        <v>140</v>
      </c>
      <c r="LX9" s="44" t="s">
        <v>140</v>
      </c>
      <c r="LY9" s="59">
        <v>386.6429700000001</v>
      </c>
      <c r="LZ9" s="44" t="s">
        <v>140</v>
      </c>
      <c r="MA9" s="44" t="s">
        <v>140</v>
      </c>
      <c r="MB9" s="44" t="s">
        <v>140</v>
      </c>
      <c r="MC9" s="59">
        <v>71.780000000000015</v>
      </c>
      <c r="MD9" s="59">
        <v>179.45000000000002</v>
      </c>
      <c r="ME9" s="59">
        <v>13479.77515561041</v>
      </c>
      <c r="MF9" s="45"/>
      <c r="MG9" s="53">
        <v>0</v>
      </c>
      <c r="MH9" s="53">
        <v>1</v>
      </c>
      <c r="MI9" s="45"/>
      <c r="MJ9" s="55">
        <v>1</v>
      </c>
      <c r="MK9" s="55">
        <v>1</v>
      </c>
      <c r="ML9" s="55">
        <v>1</v>
      </c>
      <c r="MM9" s="55">
        <v>1</v>
      </c>
      <c r="MN9" s="44" t="s">
        <v>140</v>
      </c>
      <c r="MO9" s="44" t="s">
        <v>140</v>
      </c>
      <c r="MP9" s="55">
        <v>1</v>
      </c>
      <c r="MQ9" s="44" t="s">
        <v>140</v>
      </c>
      <c r="MR9" s="44" t="s">
        <v>140</v>
      </c>
      <c r="MS9" s="44" t="s">
        <v>140</v>
      </c>
      <c r="MT9" s="55">
        <v>1</v>
      </c>
      <c r="MU9" s="55">
        <v>1</v>
      </c>
      <c r="MV9" s="67">
        <v>7</v>
      </c>
      <c r="MW9" s="67">
        <v>0.95</v>
      </c>
      <c r="MX9" s="68">
        <v>0.95</v>
      </c>
      <c r="MY9" s="45"/>
      <c r="MZ9" s="59">
        <v>677.54754623903011</v>
      </c>
      <c r="NA9" s="59">
        <v>3370.7822084240147</v>
      </c>
      <c r="NB9" s="59">
        <v>2441.8718746947243</v>
      </c>
      <c r="NC9" s="59">
        <v>1893.6913463999997</v>
      </c>
      <c r="ND9" s="44" t="s">
        <v>140</v>
      </c>
      <c r="NE9" s="59">
        <v>60.268512922322259</v>
      </c>
      <c r="NF9" s="59">
        <v>93.080714999999998</v>
      </c>
      <c r="NG9" s="59">
        <v>416.23984351184572</v>
      </c>
      <c r="NH9" s="59">
        <v>2669.1081187680006</v>
      </c>
      <c r="NI9" s="59">
        <v>577.21691036995014</v>
      </c>
      <c r="NJ9" s="44" t="s">
        <v>140</v>
      </c>
      <c r="NK9" s="44" t="s">
        <v>140</v>
      </c>
      <c r="NL9" s="59">
        <v>367.31082150000009</v>
      </c>
      <c r="NM9" s="44" t="s">
        <v>140</v>
      </c>
      <c r="NN9" s="44" t="s">
        <v>140</v>
      </c>
      <c r="NO9" s="44" t="s">
        <v>140</v>
      </c>
      <c r="NP9" s="59">
        <v>68.191000000000017</v>
      </c>
      <c r="NQ9" s="59">
        <v>170.47750000000002</v>
      </c>
      <c r="NR9" s="69">
        <v>12805.78639782989</v>
      </c>
      <c r="NS9" s="45"/>
      <c r="NT9" s="110">
        <v>3</v>
      </c>
      <c r="NU9" s="111">
        <v>150</v>
      </c>
      <c r="NV9" s="112">
        <v>0</v>
      </c>
      <c r="NW9" s="113"/>
      <c r="NX9" s="113"/>
      <c r="NY9" s="114">
        <v>677.54754623903011</v>
      </c>
      <c r="NZ9" s="114">
        <v>3370.7822084240147</v>
      </c>
      <c r="OA9" s="114">
        <v>2441.8718746947243</v>
      </c>
      <c r="OB9" s="114">
        <v>1893.6913463999997</v>
      </c>
      <c r="OC9" s="114" t="s">
        <v>140</v>
      </c>
      <c r="OD9" s="114">
        <v>60.268512922322259</v>
      </c>
      <c r="OE9" s="114">
        <v>93.080714999999998</v>
      </c>
      <c r="OF9" s="114">
        <v>416.23984351184572</v>
      </c>
      <c r="OG9" s="114">
        <v>2669.1081187680006</v>
      </c>
      <c r="OH9" s="114">
        <v>577.21691036995014</v>
      </c>
      <c r="OI9" s="114" t="s">
        <v>140</v>
      </c>
      <c r="OJ9" s="114" t="s">
        <v>140</v>
      </c>
      <c r="OK9" s="114">
        <v>367.31082150000009</v>
      </c>
      <c r="OL9" s="114" t="s">
        <v>140</v>
      </c>
      <c r="OM9" s="114" t="s">
        <v>140</v>
      </c>
      <c r="ON9" s="114" t="s">
        <v>140</v>
      </c>
      <c r="OO9" s="114">
        <v>68.191000000000017</v>
      </c>
      <c r="OP9" s="114">
        <v>170.47750000000002</v>
      </c>
      <c r="OQ9" s="114">
        <v>12805.78639782989</v>
      </c>
      <c r="OR9" s="113"/>
      <c r="OS9" s="70">
        <v>673.98875778052025</v>
      </c>
      <c r="OT9" s="45"/>
      <c r="OU9" s="70">
        <v>60</v>
      </c>
      <c r="OV9" s="70">
        <v>949.49503615984599</v>
      </c>
      <c r="OW9" s="45"/>
      <c r="OX9" s="71">
        <v>13815.281433989736</v>
      </c>
    </row>
    <row r="10" spans="1:414" ht="14.25" thickBot="1" x14ac:dyDescent="0.3">
      <c r="A10" s="141"/>
      <c r="B10" s="2">
        <v>4</v>
      </c>
      <c r="C10" s="115">
        <v>41071</v>
      </c>
      <c r="D10" s="72">
        <v>5</v>
      </c>
      <c r="E10" s="73">
        <v>0.1</v>
      </c>
      <c r="F10" s="73">
        <v>0</v>
      </c>
      <c r="G10" s="73" t="s">
        <v>141</v>
      </c>
      <c r="H10" s="73" t="s">
        <v>156</v>
      </c>
      <c r="I10" s="74">
        <v>1</v>
      </c>
      <c r="J10" s="75">
        <v>27338</v>
      </c>
      <c r="K10" s="73" t="s">
        <v>143</v>
      </c>
      <c r="L10" s="73" t="s">
        <v>152</v>
      </c>
      <c r="M10" s="74">
        <v>400</v>
      </c>
      <c r="N10" s="73" t="s">
        <v>150</v>
      </c>
      <c r="O10" s="73" t="s">
        <v>136</v>
      </c>
      <c r="P10" s="11">
        <v>0</v>
      </c>
      <c r="Q10" s="73" t="s">
        <v>155</v>
      </c>
      <c r="R10" s="44" t="s">
        <v>140</v>
      </c>
      <c r="S10" s="11">
        <v>0</v>
      </c>
      <c r="T10" s="44" t="s">
        <v>140</v>
      </c>
      <c r="U10" s="73" t="s">
        <v>135</v>
      </c>
      <c r="V10" s="44" t="s">
        <v>140</v>
      </c>
      <c r="W10" s="76" t="s">
        <v>146</v>
      </c>
      <c r="X10" s="76" t="s">
        <v>146</v>
      </c>
      <c r="Z10" s="108">
        <v>2500000</v>
      </c>
      <c r="AA10" s="109">
        <v>275000</v>
      </c>
      <c r="AB10" s="45"/>
      <c r="AC10" s="46">
        <v>2775000</v>
      </c>
      <c r="AD10" s="47">
        <v>123750</v>
      </c>
      <c r="AE10" s="47">
        <v>55000</v>
      </c>
      <c r="AF10" s="47">
        <v>360750</v>
      </c>
      <c r="AG10" s="44" t="s">
        <v>140</v>
      </c>
      <c r="AH10" s="47">
        <v>305250</v>
      </c>
      <c r="AI10" s="47">
        <v>975000</v>
      </c>
      <c r="AJ10" s="47">
        <v>721500</v>
      </c>
      <c r="AK10" s="47">
        <v>360750</v>
      </c>
      <c r="AL10" s="47">
        <v>1082250</v>
      </c>
      <c r="AM10" s="48"/>
      <c r="AN10" s="48"/>
      <c r="AO10" s="47">
        <v>575000</v>
      </c>
      <c r="AP10" s="44" t="s">
        <v>140</v>
      </c>
      <c r="AQ10" s="44" t="s">
        <v>140</v>
      </c>
      <c r="AR10" s="44" t="s">
        <v>140</v>
      </c>
      <c r="AS10" s="44" t="s">
        <v>140</v>
      </c>
      <c r="AT10" s="44" t="s">
        <v>140</v>
      </c>
      <c r="AU10" s="44" t="s">
        <v>140</v>
      </c>
      <c r="AV10" s="44" t="s">
        <v>140</v>
      </c>
      <c r="AW10" s="47">
        <v>1000</v>
      </c>
      <c r="AX10" s="47">
        <v>19000</v>
      </c>
      <c r="AY10" s="45"/>
      <c r="AZ10" s="49">
        <v>8.5400000000000002E-5</v>
      </c>
      <c r="BA10" s="49">
        <v>1.4E-3</v>
      </c>
      <c r="BB10" s="49">
        <v>1.5E-3</v>
      </c>
      <c r="BC10" s="49">
        <v>2.3999999999999998E-3</v>
      </c>
      <c r="BD10" s="44" t="s">
        <v>140</v>
      </c>
      <c r="BE10" s="49">
        <v>2.9999999999999997E-4</v>
      </c>
      <c r="BF10" s="49">
        <v>2.5999999999999998E-4</v>
      </c>
      <c r="BG10" s="49">
        <v>5.3700000000000004E-4</v>
      </c>
      <c r="BH10" s="49">
        <v>3.2960000000000003E-3</v>
      </c>
      <c r="BI10" s="49">
        <v>3.3E-4</v>
      </c>
      <c r="BJ10" s="44" t="s">
        <v>140</v>
      </c>
      <c r="BK10" s="44" t="s">
        <v>140</v>
      </c>
      <c r="BL10" s="49">
        <v>1.5000000000000001E-4</v>
      </c>
      <c r="BM10" s="44" t="s">
        <v>140</v>
      </c>
      <c r="BN10" s="44" t="s">
        <v>140</v>
      </c>
      <c r="BO10" s="44" t="s">
        <v>140</v>
      </c>
      <c r="BP10" s="49">
        <v>0.02</v>
      </c>
      <c r="BQ10" s="50">
        <v>0.02</v>
      </c>
      <c r="BR10" s="45"/>
      <c r="BS10" s="51">
        <v>1</v>
      </c>
      <c r="BT10" s="51">
        <v>0.95502502765325337</v>
      </c>
      <c r="BU10" s="51">
        <v>1</v>
      </c>
      <c r="BV10" s="52">
        <v>1</v>
      </c>
      <c r="BW10" s="44" t="s">
        <v>140</v>
      </c>
      <c r="BX10" s="52">
        <v>1.07</v>
      </c>
      <c r="BY10" s="52">
        <v>1</v>
      </c>
      <c r="BZ10" s="52">
        <v>1.2</v>
      </c>
      <c r="CA10" s="52">
        <v>1.0029539235552791</v>
      </c>
      <c r="CB10" s="51">
        <v>0.95</v>
      </c>
      <c r="CC10" s="44" t="s">
        <v>140</v>
      </c>
      <c r="CD10" s="44" t="s">
        <v>140</v>
      </c>
      <c r="CE10" s="51">
        <v>1.0362759789036828</v>
      </c>
      <c r="CF10" s="44" t="s">
        <v>140</v>
      </c>
      <c r="CG10" s="44" t="s">
        <v>140</v>
      </c>
      <c r="CH10" s="44" t="s">
        <v>140</v>
      </c>
      <c r="CI10" s="51">
        <v>1</v>
      </c>
      <c r="CJ10" s="51">
        <v>1</v>
      </c>
      <c r="CK10" s="45"/>
      <c r="CL10" s="51">
        <v>2</v>
      </c>
      <c r="CM10" s="51">
        <v>1.1000000000000001</v>
      </c>
      <c r="CN10" s="51">
        <v>1.1000000000000001</v>
      </c>
      <c r="CO10" s="52"/>
      <c r="CP10" s="44" t="s">
        <v>140</v>
      </c>
      <c r="CQ10" s="52"/>
      <c r="CR10" s="52"/>
      <c r="CS10" s="52"/>
      <c r="CT10" s="52"/>
      <c r="CU10" s="51">
        <v>1.5</v>
      </c>
      <c r="CV10" s="44" t="s">
        <v>140</v>
      </c>
      <c r="CW10" s="44" t="s">
        <v>140</v>
      </c>
      <c r="CX10" s="51">
        <v>2</v>
      </c>
      <c r="CY10" s="44" t="s">
        <v>140</v>
      </c>
      <c r="CZ10" s="44" t="s">
        <v>140</v>
      </c>
      <c r="DA10" s="44" t="s">
        <v>140</v>
      </c>
      <c r="DB10" s="52"/>
      <c r="DC10" s="53"/>
      <c r="DD10" s="45"/>
      <c r="DE10" s="54">
        <v>1</v>
      </c>
      <c r="DF10" s="54">
        <v>1</v>
      </c>
      <c r="DG10" s="54">
        <v>1</v>
      </c>
      <c r="DH10" s="54">
        <v>0.5</v>
      </c>
      <c r="DI10" s="44" t="s">
        <v>140</v>
      </c>
      <c r="DJ10" s="54">
        <v>0.5</v>
      </c>
      <c r="DK10" s="55"/>
      <c r="DL10" s="54">
        <v>0.5</v>
      </c>
      <c r="DM10" s="55"/>
      <c r="DN10" s="54">
        <v>1</v>
      </c>
      <c r="DO10" s="44" t="s">
        <v>140</v>
      </c>
      <c r="DP10" s="44" t="s">
        <v>140</v>
      </c>
      <c r="DQ10" s="54">
        <v>1</v>
      </c>
      <c r="DR10" s="44" t="s">
        <v>140</v>
      </c>
      <c r="DS10" s="44" t="s">
        <v>140</v>
      </c>
      <c r="DT10" s="44" t="s">
        <v>140</v>
      </c>
      <c r="DU10" s="55"/>
      <c r="DV10" s="56"/>
      <c r="DW10" s="45"/>
      <c r="DX10" s="54">
        <v>1</v>
      </c>
      <c r="DY10" s="54">
        <v>1</v>
      </c>
      <c r="DZ10" s="54">
        <v>1</v>
      </c>
      <c r="EA10" s="55"/>
      <c r="EB10" s="44" t="s">
        <v>140</v>
      </c>
      <c r="EC10" s="55"/>
      <c r="ED10" s="55"/>
      <c r="EE10" s="55"/>
      <c r="EF10" s="55"/>
      <c r="EG10" s="54">
        <v>1</v>
      </c>
      <c r="EH10" s="44" t="s">
        <v>140</v>
      </c>
      <c r="EI10" s="44" t="s">
        <v>140</v>
      </c>
      <c r="EJ10" s="54">
        <v>1</v>
      </c>
      <c r="EK10" s="44" t="s">
        <v>140</v>
      </c>
      <c r="EL10" s="44" t="s">
        <v>140</v>
      </c>
      <c r="EM10" s="44" t="s">
        <v>140</v>
      </c>
      <c r="EN10" s="55"/>
      <c r="EO10" s="55"/>
      <c r="EP10" s="45"/>
      <c r="EQ10" s="54">
        <v>1</v>
      </c>
      <c r="ER10" s="54">
        <v>1</v>
      </c>
      <c r="ES10" s="54">
        <v>1</v>
      </c>
      <c r="ET10" s="55"/>
      <c r="EU10" s="44" t="s">
        <v>140</v>
      </c>
      <c r="EV10" s="55"/>
      <c r="EW10" s="55"/>
      <c r="EX10" s="55"/>
      <c r="EY10" s="55"/>
      <c r="EZ10" s="54">
        <v>1</v>
      </c>
      <c r="FA10" s="44" t="s">
        <v>140</v>
      </c>
      <c r="FB10" s="44" t="s">
        <v>140</v>
      </c>
      <c r="FC10" s="54">
        <v>1</v>
      </c>
      <c r="FD10" s="44" t="s">
        <v>140</v>
      </c>
      <c r="FE10" s="44" t="s">
        <v>140</v>
      </c>
      <c r="FF10" s="44" t="s">
        <v>140</v>
      </c>
      <c r="FG10" s="55"/>
      <c r="FH10" s="55"/>
      <c r="FI10" s="45"/>
      <c r="FJ10" s="54">
        <v>0.9</v>
      </c>
      <c r="FK10" s="54">
        <v>0.9</v>
      </c>
      <c r="FL10" s="54">
        <v>0.9</v>
      </c>
      <c r="FM10" s="55"/>
      <c r="FN10" s="44" t="s">
        <v>140</v>
      </c>
      <c r="FO10" s="55"/>
      <c r="FP10" s="55"/>
      <c r="FQ10" s="55"/>
      <c r="FR10" s="55"/>
      <c r="FS10" s="54">
        <v>0.9</v>
      </c>
      <c r="FT10" s="44" t="s">
        <v>140</v>
      </c>
      <c r="FU10" s="44" t="s">
        <v>140</v>
      </c>
      <c r="FV10" s="54">
        <v>0.9</v>
      </c>
      <c r="FW10" s="44" t="s">
        <v>140</v>
      </c>
      <c r="FX10" s="44" t="s">
        <v>140</v>
      </c>
      <c r="FY10" s="44" t="s">
        <v>140</v>
      </c>
      <c r="FZ10" s="55"/>
      <c r="GA10" s="55"/>
      <c r="GB10" s="45"/>
      <c r="GC10" s="54">
        <v>1</v>
      </c>
      <c r="GD10" s="54">
        <v>1</v>
      </c>
      <c r="GE10" s="54">
        <v>1</v>
      </c>
      <c r="GF10" s="55"/>
      <c r="GG10" s="44" t="s">
        <v>140</v>
      </c>
      <c r="GH10" s="55"/>
      <c r="GI10" s="55"/>
      <c r="GJ10" s="55"/>
      <c r="GK10" s="55"/>
      <c r="GL10" s="54">
        <v>1</v>
      </c>
      <c r="GM10" s="44" t="s">
        <v>140</v>
      </c>
      <c r="GN10" s="44" t="s">
        <v>140</v>
      </c>
      <c r="GO10" s="54">
        <v>1</v>
      </c>
      <c r="GP10" s="44" t="s">
        <v>140</v>
      </c>
      <c r="GQ10" s="44" t="s">
        <v>140</v>
      </c>
      <c r="GR10" s="44" t="s">
        <v>140</v>
      </c>
      <c r="GS10" s="55"/>
      <c r="GT10" s="55"/>
      <c r="GU10" s="45"/>
      <c r="GV10" s="54">
        <v>1</v>
      </c>
      <c r="GW10" s="54">
        <v>1</v>
      </c>
      <c r="GX10" s="54">
        <v>1</v>
      </c>
      <c r="GY10" s="55"/>
      <c r="GZ10" s="54"/>
      <c r="HA10" s="55"/>
      <c r="HB10" s="55"/>
      <c r="HC10" s="55"/>
      <c r="HD10" s="55"/>
      <c r="HE10" s="54">
        <v>1</v>
      </c>
      <c r="HF10" s="44" t="s">
        <v>140</v>
      </c>
      <c r="HG10" s="44" t="s">
        <v>140</v>
      </c>
      <c r="HH10" s="54">
        <v>1</v>
      </c>
      <c r="HI10" s="44" t="s">
        <v>140</v>
      </c>
      <c r="HJ10" s="44" t="s">
        <v>140</v>
      </c>
      <c r="HK10" s="44" t="s">
        <v>140</v>
      </c>
      <c r="HL10" s="55"/>
      <c r="HM10" s="55"/>
      <c r="HN10" s="45"/>
      <c r="HO10" s="54">
        <v>1</v>
      </c>
      <c r="HP10" s="54">
        <v>1</v>
      </c>
      <c r="HQ10" s="54">
        <v>1</v>
      </c>
      <c r="HR10" s="55"/>
      <c r="HS10" s="54"/>
      <c r="HT10" s="55"/>
      <c r="HU10" s="55"/>
      <c r="HV10" s="55"/>
      <c r="HW10" s="55"/>
      <c r="HX10" s="54">
        <v>1</v>
      </c>
      <c r="HY10" s="44" t="s">
        <v>140</v>
      </c>
      <c r="HZ10" s="44" t="s">
        <v>140</v>
      </c>
      <c r="IA10" s="54">
        <v>1</v>
      </c>
      <c r="IB10" s="44" t="s">
        <v>140</v>
      </c>
      <c r="IC10" s="44" t="s">
        <v>140</v>
      </c>
      <c r="ID10" s="44" t="s">
        <v>140</v>
      </c>
      <c r="IE10" s="55"/>
      <c r="IF10" s="55"/>
      <c r="IG10" s="45"/>
      <c r="IH10" s="51">
        <v>0.97</v>
      </c>
      <c r="II10" s="45"/>
      <c r="IJ10" s="44" t="s">
        <v>140</v>
      </c>
      <c r="IK10" s="45"/>
      <c r="IL10" s="51">
        <v>1</v>
      </c>
      <c r="IM10" s="45"/>
      <c r="IN10" s="44" t="s">
        <v>140</v>
      </c>
      <c r="IO10" s="45"/>
      <c r="IP10" s="52">
        <v>1</v>
      </c>
      <c r="IQ10" s="45"/>
      <c r="IR10" s="55">
        <v>0.95</v>
      </c>
      <c r="IS10" s="45"/>
      <c r="IT10" s="44" t="s">
        <v>140</v>
      </c>
      <c r="IU10" s="44" t="s">
        <v>140</v>
      </c>
      <c r="IV10" s="44" t="s">
        <v>140</v>
      </c>
      <c r="IW10" s="44" t="s">
        <v>140</v>
      </c>
      <c r="IX10" s="44" t="s">
        <v>140</v>
      </c>
      <c r="IY10" s="44" t="s">
        <v>140</v>
      </c>
      <c r="IZ10" s="45"/>
      <c r="JA10" s="54">
        <v>0.82430237301051856</v>
      </c>
      <c r="JB10" s="54">
        <v>0.9377009166077962</v>
      </c>
      <c r="JC10" s="54">
        <v>1.0124394719028225</v>
      </c>
      <c r="JD10" s="54">
        <v>1</v>
      </c>
      <c r="JE10" s="44" t="s">
        <v>140</v>
      </c>
      <c r="JF10" s="54">
        <v>0.93015934896230457</v>
      </c>
      <c r="JG10" s="54">
        <v>1</v>
      </c>
      <c r="JH10" s="54">
        <v>0.81217665262656003</v>
      </c>
      <c r="JI10" s="54">
        <v>1</v>
      </c>
      <c r="JJ10" s="54">
        <v>0.85680532980855673</v>
      </c>
      <c r="JK10" s="44" t="s">
        <v>140</v>
      </c>
      <c r="JL10" s="44" t="s">
        <v>140</v>
      </c>
      <c r="JM10" s="54">
        <v>1</v>
      </c>
      <c r="JN10" s="44" t="s">
        <v>140</v>
      </c>
      <c r="JO10" s="44" t="s">
        <v>140</v>
      </c>
      <c r="JP10" s="44" t="s">
        <v>140</v>
      </c>
      <c r="JQ10" s="54"/>
      <c r="JR10" s="54"/>
      <c r="JS10" s="45"/>
      <c r="JT10" s="57">
        <v>72</v>
      </c>
      <c r="JU10" s="58">
        <v>413.07638207734948</v>
      </c>
      <c r="JV10" s="59">
        <v>153.59869695134057</v>
      </c>
      <c r="JW10" s="59">
        <v>78.556444174279875</v>
      </c>
      <c r="JX10" s="59">
        <v>432.9</v>
      </c>
      <c r="JY10" s="44" t="s">
        <v>140</v>
      </c>
      <c r="JZ10" s="60">
        <v>45.570948173954321</v>
      </c>
      <c r="KA10" s="59">
        <v>253.49999999999997</v>
      </c>
      <c r="KB10" s="59">
        <v>188.80451355913434</v>
      </c>
      <c r="KC10" s="59">
        <v>1192.5443096327808</v>
      </c>
      <c r="KD10" s="59">
        <v>392.44704879522806</v>
      </c>
      <c r="KE10" s="44" t="s">
        <v>140</v>
      </c>
      <c r="KF10" s="44" t="s">
        <v>140</v>
      </c>
      <c r="KG10" s="61">
        <v>160.88184572479679</v>
      </c>
      <c r="KH10" s="44" t="s">
        <v>140</v>
      </c>
      <c r="KI10" s="44" t="s">
        <v>140</v>
      </c>
      <c r="KJ10" s="44" t="s">
        <v>140</v>
      </c>
      <c r="KK10" s="59">
        <v>20</v>
      </c>
      <c r="KL10" s="59">
        <v>380</v>
      </c>
      <c r="KM10" s="62">
        <v>3711.8801890888644</v>
      </c>
      <c r="KN10" s="45"/>
      <c r="KO10" s="59">
        <v>764.19130684309664</v>
      </c>
      <c r="KP10" s="59">
        <v>284.15758935998008</v>
      </c>
      <c r="KQ10" s="59">
        <v>145.32942172241778</v>
      </c>
      <c r="KR10" s="59">
        <v>800.86500000000001</v>
      </c>
      <c r="KS10" s="44" t="s">
        <v>140</v>
      </c>
      <c r="KT10" s="59">
        <v>84.306254121815499</v>
      </c>
      <c r="KU10" s="59">
        <v>468.97500000000002</v>
      </c>
      <c r="KV10" s="59">
        <v>349.28835008439859</v>
      </c>
      <c r="KW10" s="59">
        <v>2206.2069728206448</v>
      </c>
      <c r="KX10" s="59">
        <v>726.02704027117204</v>
      </c>
      <c r="KY10" s="44" t="s">
        <v>140</v>
      </c>
      <c r="KZ10" s="44" t="s">
        <v>140</v>
      </c>
      <c r="LA10" s="61">
        <v>297.6314145908741</v>
      </c>
      <c r="LB10" s="44" t="s">
        <v>140</v>
      </c>
      <c r="LC10" s="44" t="s">
        <v>140</v>
      </c>
      <c r="LD10" s="44" t="s">
        <v>140</v>
      </c>
      <c r="LE10" s="59">
        <v>37.000000000000007</v>
      </c>
      <c r="LF10" s="59">
        <v>703</v>
      </c>
      <c r="LG10" s="63">
        <v>6866.9783498144006</v>
      </c>
      <c r="LH10" s="45"/>
      <c r="LI10" s="64">
        <v>0</v>
      </c>
      <c r="LJ10" s="65">
        <v>1</v>
      </c>
      <c r="LK10" s="66">
        <v>0.97</v>
      </c>
      <c r="LL10" s="45"/>
      <c r="LM10" s="59">
        <v>741.26556763780377</v>
      </c>
      <c r="LN10" s="59">
        <v>275.63286167918068</v>
      </c>
      <c r="LO10" s="59">
        <v>140.96953907074524</v>
      </c>
      <c r="LP10" s="59">
        <v>776.83905000000004</v>
      </c>
      <c r="LQ10" s="44" t="s">
        <v>140</v>
      </c>
      <c r="LR10" s="59">
        <v>81.777066498161034</v>
      </c>
      <c r="LS10" s="59">
        <v>454.90575000000001</v>
      </c>
      <c r="LT10" s="59">
        <v>338.8096995818666</v>
      </c>
      <c r="LU10" s="59">
        <v>2140.0207636360255</v>
      </c>
      <c r="LV10" s="59">
        <v>704.24622906303682</v>
      </c>
      <c r="LW10" s="44" t="s">
        <v>140</v>
      </c>
      <c r="LX10" s="44" t="s">
        <v>140</v>
      </c>
      <c r="LY10" s="59">
        <v>288.70247215314788</v>
      </c>
      <c r="LZ10" s="44" t="s">
        <v>140</v>
      </c>
      <c r="MA10" s="44" t="s">
        <v>140</v>
      </c>
      <c r="MB10" s="44" t="s">
        <v>140</v>
      </c>
      <c r="MC10" s="59">
        <v>35.890000000000008</v>
      </c>
      <c r="MD10" s="59">
        <v>681.91</v>
      </c>
      <c r="ME10" s="59">
        <v>6660.9689993199681</v>
      </c>
      <c r="MF10" s="45"/>
      <c r="MG10" s="53">
        <v>0</v>
      </c>
      <c r="MH10" s="53">
        <v>1</v>
      </c>
      <c r="MI10" s="45"/>
      <c r="MJ10" s="55">
        <v>1</v>
      </c>
      <c r="MK10" s="55">
        <v>1</v>
      </c>
      <c r="ML10" s="55">
        <v>1</v>
      </c>
      <c r="MM10" s="55">
        <v>1</v>
      </c>
      <c r="MN10" s="44" t="s">
        <v>140</v>
      </c>
      <c r="MO10" s="44" t="s">
        <v>140</v>
      </c>
      <c r="MP10" s="55">
        <v>1</v>
      </c>
      <c r="MQ10" s="44" t="s">
        <v>140</v>
      </c>
      <c r="MR10" s="44" t="s">
        <v>140</v>
      </c>
      <c r="MS10" s="44" t="s">
        <v>140</v>
      </c>
      <c r="MT10" s="55">
        <v>1</v>
      </c>
      <c r="MU10" s="55">
        <v>1</v>
      </c>
      <c r="MV10" s="67">
        <v>7</v>
      </c>
      <c r="MW10" s="67">
        <v>0.95</v>
      </c>
      <c r="MX10" s="68">
        <v>0.95</v>
      </c>
      <c r="MY10" s="45"/>
      <c r="MZ10" s="59">
        <v>704.20228925591357</v>
      </c>
      <c r="NA10" s="59">
        <v>261.85121859522161</v>
      </c>
      <c r="NB10" s="59">
        <v>133.92106211720798</v>
      </c>
      <c r="NC10" s="59">
        <v>737.9970975</v>
      </c>
      <c r="ND10" s="44" t="s">
        <v>140</v>
      </c>
      <c r="NE10" s="59">
        <v>77.688213173252976</v>
      </c>
      <c r="NF10" s="59">
        <v>432.16046249999999</v>
      </c>
      <c r="NG10" s="59">
        <v>321.86921460277324</v>
      </c>
      <c r="NH10" s="59">
        <v>2033.0197254542243</v>
      </c>
      <c r="NI10" s="59">
        <v>669.03391760988495</v>
      </c>
      <c r="NJ10" s="44" t="s">
        <v>140</v>
      </c>
      <c r="NK10" s="44" t="s">
        <v>140</v>
      </c>
      <c r="NL10" s="59">
        <v>274.26734854549045</v>
      </c>
      <c r="NM10" s="44" t="s">
        <v>140</v>
      </c>
      <c r="NN10" s="44" t="s">
        <v>140</v>
      </c>
      <c r="NO10" s="44" t="s">
        <v>140</v>
      </c>
      <c r="NP10" s="59">
        <v>34.095500000000008</v>
      </c>
      <c r="NQ10" s="59">
        <v>647.81449999999995</v>
      </c>
      <c r="NR10" s="69">
        <v>6327.9205493539703</v>
      </c>
      <c r="NS10" s="45"/>
      <c r="NT10" s="110">
        <v>8</v>
      </c>
      <c r="NU10" s="111">
        <v>150</v>
      </c>
      <c r="NV10" s="112">
        <v>0</v>
      </c>
      <c r="NW10" s="113"/>
      <c r="NX10" s="113"/>
      <c r="NY10" s="114">
        <v>704.20228925591357</v>
      </c>
      <c r="NZ10" s="114">
        <v>261.85121859522161</v>
      </c>
      <c r="OA10" s="114">
        <v>133.92106211720798</v>
      </c>
      <c r="OB10" s="114">
        <v>737.9970975</v>
      </c>
      <c r="OC10" s="114" t="s">
        <v>140</v>
      </c>
      <c r="OD10" s="114">
        <v>77.688213173252976</v>
      </c>
      <c r="OE10" s="114">
        <v>432.16046249999999</v>
      </c>
      <c r="OF10" s="114">
        <v>321.86921460277324</v>
      </c>
      <c r="OG10" s="114">
        <v>2033.0197254542243</v>
      </c>
      <c r="OH10" s="114">
        <v>669.03391760988495</v>
      </c>
      <c r="OI10" s="114" t="s">
        <v>140</v>
      </c>
      <c r="OJ10" s="114" t="s">
        <v>140</v>
      </c>
      <c r="OK10" s="114">
        <v>274.26734854549045</v>
      </c>
      <c r="OL10" s="114" t="s">
        <v>140</v>
      </c>
      <c r="OM10" s="114" t="s">
        <v>140</v>
      </c>
      <c r="ON10" s="114" t="s">
        <v>140</v>
      </c>
      <c r="OO10" s="114">
        <v>34.095500000000008</v>
      </c>
      <c r="OP10" s="114">
        <v>647.81449999999995</v>
      </c>
      <c r="OQ10" s="114">
        <v>6327.9205493539703</v>
      </c>
      <c r="OR10" s="113"/>
      <c r="OS10" s="70">
        <v>333.04844996599786</v>
      </c>
      <c r="OT10" s="45"/>
      <c r="OU10" s="70">
        <v>60</v>
      </c>
      <c r="OV10" s="70">
        <v>471.42853654232306</v>
      </c>
      <c r="OW10" s="45"/>
      <c r="OX10" s="71">
        <v>6859.3490858962932</v>
      </c>
    </row>
    <row r="11" spans="1:414" ht="14.25" thickBot="1" x14ac:dyDescent="0.3">
      <c r="A11" s="141"/>
      <c r="B11" s="2">
        <v>6</v>
      </c>
      <c r="C11" s="115">
        <v>41071</v>
      </c>
      <c r="D11" s="72">
        <v>5</v>
      </c>
      <c r="E11" s="73">
        <v>0.1</v>
      </c>
      <c r="F11" s="73">
        <v>0</v>
      </c>
      <c r="G11" s="73" t="s">
        <v>154</v>
      </c>
      <c r="H11" s="73" t="s">
        <v>156</v>
      </c>
      <c r="I11" s="74">
        <v>1</v>
      </c>
      <c r="J11" s="75">
        <v>28425</v>
      </c>
      <c r="K11" s="73" t="s">
        <v>138</v>
      </c>
      <c r="L11" s="73" t="s">
        <v>147</v>
      </c>
      <c r="M11" s="74">
        <v>900</v>
      </c>
      <c r="N11" s="73" t="s">
        <v>134</v>
      </c>
      <c r="O11" s="73" t="s">
        <v>144</v>
      </c>
      <c r="P11" s="11">
        <v>0</v>
      </c>
      <c r="Q11" s="73" t="s">
        <v>148</v>
      </c>
      <c r="R11" s="44" t="s">
        <v>140</v>
      </c>
      <c r="S11" s="11">
        <v>2</v>
      </c>
      <c r="T11" s="44" t="s">
        <v>140</v>
      </c>
      <c r="U11" s="73" t="s">
        <v>145</v>
      </c>
      <c r="V11" s="44" t="s">
        <v>140</v>
      </c>
      <c r="W11" s="76" t="s">
        <v>146</v>
      </c>
      <c r="X11" s="76" t="s">
        <v>146</v>
      </c>
      <c r="Z11" s="108">
        <v>500000</v>
      </c>
      <c r="AA11" s="109">
        <v>310000</v>
      </c>
      <c r="AB11" s="45"/>
      <c r="AC11" s="46">
        <v>810000</v>
      </c>
      <c r="AD11" s="47">
        <v>83700</v>
      </c>
      <c r="AE11" s="47">
        <v>62000</v>
      </c>
      <c r="AF11" s="47">
        <v>186300</v>
      </c>
      <c r="AG11" s="44" t="s">
        <v>140</v>
      </c>
      <c r="AH11" s="47">
        <v>259200</v>
      </c>
      <c r="AI11" s="47">
        <v>185000</v>
      </c>
      <c r="AJ11" s="47">
        <v>396900</v>
      </c>
      <c r="AK11" s="47">
        <v>291600</v>
      </c>
      <c r="AL11" s="47">
        <v>89100</v>
      </c>
      <c r="AM11" s="48"/>
      <c r="AN11" s="48"/>
      <c r="AO11" s="47">
        <v>100000</v>
      </c>
      <c r="AP11" s="44" t="s">
        <v>140</v>
      </c>
      <c r="AQ11" s="44" t="s">
        <v>140</v>
      </c>
      <c r="AR11" s="44" t="s">
        <v>140</v>
      </c>
      <c r="AS11" s="44" t="s">
        <v>140</v>
      </c>
      <c r="AT11" s="44" t="s">
        <v>140</v>
      </c>
      <c r="AU11" s="44" t="s">
        <v>140</v>
      </c>
      <c r="AV11" s="44" t="s">
        <v>140</v>
      </c>
      <c r="AW11" s="47">
        <v>10000</v>
      </c>
      <c r="AX11" s="47">
        <v>6000</v>
      </c>
      <c r="AY11" s="45"/>
      <c r="AZ11" s="49">
        <v>8.5400000000000002E-5</v>
      </c>
      <c r="BA11" s="49">
        <v>1.4E-3</v>
      </c>
      <c r="BB11" s="49">
        <v>1.5E-3</v>
      </c>
      <c r="BC11" s="49">
        <v>2.3999999999999998E-3</v>
      </c>
      <c r="BD11" s="44" t="s">
        <v>140</v>
      </c>
      <c r="BE11" s="49">
        <v>2.9999999999999997E-4</v>
      </c>
      <c r="BF11" s="49">
        <v>2.5999999999999998E-4</v>
      </c>
      <c r="BG11" s="49">
        <v>5.3700000000000004E-4</v>
      </c>
      <c r="BH11" s="49">
        <v>3.2960000000000003E-3</v>
      </c>
      <c r="BI11" s="49">
        <v>3.3E-4</v>
      </c>
      <c r="BJ11" s="44" t="s">
        <v>140</v>
      </c>
      <c r="BK11" s="44" t="s">
        <v>140</v>
      </c>
      <c r="BL11" s="49">
        <v>1.5000000000000001E-4</v>
      </c>
      <c r="BM11" s="44" t="s">
        <v>140</v>
      </c>
      <c r="BN11" s="44" t="s">
        <v>140</v>
      </c>
      <c r="BO11" s="44" t="s">
        <v>140</v>
      </c>
      <c r="BP11" s="49">
        <v>0.02</v>
      </c>
      <c r="BQ11" s="50">
        <v>0.02</v>
      </c>
      <c r="BR11" s="45"/>
      <c r="BS11" s="51">
        <v>1</v>
      </c>
      <c r="BT11" s="51">
        <v>0.95502502765325337</v>
      </c>
      <c r="BU11" s="51">
        <v>1</v>
      </c>
      <c r="BV11" s="52">
        <v>1</v>
      </c>
      <c r="BW11" s="44" t="s">
        <v>140</v>
      </c>
      <c r="BX11" s="52">
        <v>1.07</v>
      </c>
      <c r="BY11" s="52">
        <v>1</v>
      </c>
      <c r="BZ11" s="52">
        <v>1.2</v>
      </c>
      <c r="CA11" s="52">
        <v>1.0029539235552791</v>
      </c>
      <c r="CB11" s="51">
        <v>0.95</v>
      </c>
      <c r="CC11" s="44" t="s">
        <v>140</v>
      </c>
      <c r="CD11" s="44" t="s">
        <v>140</v>
      </c>
      <c r="CE11" s="51">
        <v>1.0362759789036828</v>
      </c>
      <c r="CF11" s="44" t="s">
        <v>140</v>
      </c>
      <c r="CG11" s="44" t="s">
        <v>140</v>
      </c>
      <c r="CH11" s="44" t="s">
        <v>140</v>
      </c>
      <c r="CI11" s="51">
        <v>1</v>
      </c>
      <c r="CJ11" s="51">
        <v>1</v>
      </c>
      <c r="CK11" s="45"/>
      <c r="CL11" s="51">
        <v>2</v>
      </c>
      <c r="CM11" s="51">
        <v>1.5</v>
      </c>
      <c r="CN11" s="51">
        <v>1.5</v>
      </c>
      <c r="CO11" s="52"/>
      <c r="CP11" s="44" t="s">
        <v>140</v>
      </c>
      <c r="CQ11" s="52"/>
      <c r="CR11" s="52"/>
      <c r="CS11" s="52"/>
      <c r="CT11" s="52"/>
      <c r="CU11" s="51">
        <v>1.5</v>
      </c>
      <c r="CV11" s="44" t="s">
        <v>140</v>
      </c>
      <c r="CW11" s="44" t="s">
        <v>140</v>
      </c>
      <c r="CX11" s="51">
        <v>2</v>
      </c>
      <c r="CY11" s="44" t="s">
        <v>140</v>
      </c>
      <c r="CZ11" s="44" t="s">
        <v>140</v>
      </c>
      <c r="DA11" s="44" t="s">
        <v>140</v>
      </c>
      <c r="DB11" s="52"/>
      <c r="DC11" s="53"/>
      <c r="DD11" s="45"/>
      <c r="DE11" s="54">
        <v>1</v>
      </c>
      <c r="DF11" s="54">
        <v>1</v>
      </c>
      <c r="DG11" s="54">
        <v>1</v>
      </c>
      <c r="DH11" s="54">
        <v>0.5</v>
      </c>
      <c r="DI11" s="44" t="s">
        <v>140</v>
      </c>
      <c r="DJ11" s="54">
        <v>0.5</v>
      </c>
      <c r="DK11" s="55"/>
      <c r="DL11" s="54">
        <v>0.5</v>
      </c>
      <c r="DM11" s="55"/>
      <c r="DN11" s="54">
        <v>1</v>
      </c>
      <c r="DO11" s="44" t="s">
        <v>140</v>
      </c>
      <c r="DP11" s="44" t="s">
        <v>140</v>
      </c>
      <c r="DQ11" s="54">
        <v>1</v>
      </c>
      <c r="DR11" s="44" t="s">
        <v>140</v>
      </c>
      <c r="DS11" s="44" t="s">
        <v>140</v>
      </c>
      <c r="DT11" s="44" t="s">
        <v>140</v>
      </c>
      <c r="DU11" s="55"/>
      <c r="DV11" s="56"/>
      <c r="DW11" s="45"/>
      <c r="DX11" s="54">
        <v>1.5</v>
      </c>
      <c r="DY11" s="54">
        <v>2</v>
      </c>
      <c r="DZ11" s="54">
        <v>2.5</v>
      </c>
      <c r="EA11" s="55"/>
      <c r="EB11" s="44" t="s">
        <v>140</v>
      </c>
      <c r="EC11" s="55"/>
      <c r="ED11" s="55"/>
      <c r="EE11" s="55"/>
      <c r="EF11" s="55"/>
      <c r="EG11" s="54">
        <v>1.5</v>
      </c>
      <c r="EH11" s="44" t="s">
        <v>140</v>
      </c>
      <c r="EI11" s="44" t="s">
        <v>140</v>
      </c>
      <c r="EJ11" s="54">
        <v>1.5</v>
      </c>
      <c r="EK11" s="44" t="s">
        <v>140</v>
      </c>
      <c r="EL11" s="44" t="s">
        <v>140</v>
      </c>
      <c r="EM11" s="44" t="s">
        <v>140</v>
      </c>
      <c r="EN11" s="55"/>
      <c r="EO11" s="55"/>
      <c r="EP11" s="45"/>
      <c r="EQ11" s="54">
        <v>1</v>
      </c>
      <c r="ER11" s="54">
        <v>1</v>
      </c>
      <c r="ES11" s="54">
        <v>1</v>
      </c>
      <c r="ET11" s="55"/>
      <c r="EU11" s="44" t="s">
        <v>140</v>
      </c>
      <c r="EV11" s="55"/>
      <c r="EW11" s="55"/>
      <c r="EX11" s="55"/>
      <c r="EY11" s="55"/>
      <c r="EZ11" s="54">
        <v>1</v>
      </c>
      <c r="FA11" s="44" t="s">
        <v>140</v>
      </c>
      <c r="FB11" s="44" t="s">
        <v>140</v>
      </c>
      <c r="FC11" s="54">
        <v>1</v>
      </c>
      <c r="FD11" s="44" t="s">
        <v>140</v>
      </c>
      <c r="FE11" s="44" t="s">
        <v>140</v>
      </c>
      <c r="FF11" s="44" t="s">
        <v>140</v>
      </c>
      <c r="FG11" s="55"/>
      <c r="FH11" s="55"/>
      <c r="FI11" s="45"/>
      <c r="FJ11" s="54">
        <v>1</v>
      </c>
      <c r="FK11" s="54">
        <v>1</v>
      </c>
      <c r="FL11" s="54">
        <v>1</v>
      </c>
      <c r="FM11" s="55"/>
      <c r="FN11" s="44" t="s">
        <v>140</v>
      </c>
      <c r="FO11" s="55"/>
      <c r="FP11" s="55"/>
      <c r="FQ11" s="55"/>
      <c r="FR11" s="55"/>
      <c r="FS11" s="54">
        <v>1</v>
      </c>
      <c r="FT11" s="44" t="s">
        <v>140</v>
      </c>
      <c r="FU11" s="44" t="s">
        <v>140</v>
      </c>
      <c r="FV11" s="54">
        <v>1</v>
      </c>
      <c r="FW11" s="44" t="s">
        <v>140</v>
      </c>
      <c r="FX11" s="44" t="s">
        <v>140</v>
      </c>
      <c r="FY11" s="44" t="s">
        <v>140</v>
      </c>
      <c r="FZ11" s="55"/>
      <c r="GA11" s="55"/>
      <c r="GB11" s="45"/>
      <c r="GC11" s="54">
        <v>1</v>
      </c>
      <c r="GD11" s="54">
        <v>1</v>
      </c>
      <c r="GE11" s="54">
        <v>1</v>
      </c>
      <c r="GF11" s="55"/>
      <c r="GG11" s="44" t="s">
        <v>140</v>
      </c>
      <c r="GH11" s="55"/>
      <c r="GI11" s="55"/>
      <c r="GJ11" s="55"/>
      <c r="GK11" s="55"/>
      <c r="GL11" s="54">
        <v>1</v>
      </c>
      <c r="GM11" s="44" t="s">
        <v>140</v>
      </c>
      <c r="GN11" s="44" t="s">
        <v>140</v>
      </c>
      <c r="GO11" s="54">
        <v>1</v>
      </c>
      <c r="GP11" s="44" t="s">
        <v>140</v>
      </c>
      <c r="GQ11" s="44" t="s">
        <v>140</v>
      </c>
      <c r="GR11" s="44" t="s">
        <v>140</v>
      </c>
      <c r="GS11" s="55"/>
      <c r="GT11" s="55"/>
      <c r="GU11" s="45"/>
      <c r="GV11" s="54">
        <v>1</v>
      </c>
      <c r="GW11" s="54">
        <v>1</v>
      </c>
      <c r="GX11" s="54">
        <v>1</v>
      </c>
      <c r="GY11" s="55"/>
      <c r="GZ11" s="54"/>
      <c r="HA11" s="55"/>
      <c r="HB11" s="55"/>
      <c r="HC11" s="55"/>
      <c r="HD11" s="55"/>
      <c r="HE11" s="54">
        <v>1</v>
      </c>
      <c r="HF11" s="44" t="s">
        <v>140</v>
      </c>
      <c r="HG11" s="44" t="s">
        <v>140</v>
      </c>
      <c r="HH11" s="54">
        <v>1</v>
      </c>
      <c r="HI11" s="44" t="s">
        <v>140</v>
      </c>
      <c r="HJ11" s="44" t="s">
        <v>140</v>
      </c>
      <c r="HK11" s="44" t="s">
        <v>140</v>
      </c>
      <c r="HL11" s="55"/>
      <c r="HM11" s="55"/>
      <c r="HN11" s="45"/>
      <c r="HO11" s="54">
        <v>1</v>
      </c>
      <c r="HP11" s="54">
        <v>1</v>
      </c>
      <c r="HQ11" s="54">
        <v>1</v>
      </c>
      <c r="HR11" s="55"/>
      <c r="HS11" s="54"/>
      <c r="HT11" s="55"/>
      <c r="HU11" s="55"/>
      <c r="HV11" s="55"/>
      <c r="HW11" s="55"/>
      <c r="HX11" s="54">
        <v>1</v>
      </c>
      <c r="HY11" s="44" t="s">
        <v>140</v>
      </c>
      <c r="HZ11" s="44" t="s">
        <v>140</v>
      </c>
      <c r="IA11" s="54">
        <v>1</v>
      </c>
      <c r="IB11" s="44" t="s">
        <v>140</v>
      </c>
      <c r="IC11" s="44" t="s">
        <v>140</v>
      </c>
      <c r="ID11" s="44" t="s">
        <v>140</v>
      </c>
      <c r="IE11" s="55"/>
      <c r="IF11" s="55"/>
      <c r="IG11" s="45"/>
      <c r="IH11" s="51">
        <v>0.97</v>
      </c>
      <c r="II11" s="45"/>
      <c r="IJ11" s="44" t="s">
        <v>140</v>
      </c>
      <c r="IK11" s="45"/>
      <c r="IL11" s="51">
        <v>0.99</v>
      </c>
      <c r="IM11" s="45"/>
      <c r="IN11" s="44" t="s">
        <v>140</v>
      </c>
      <c r="IO11" s="45"/>
      <c r="IP11" s="52">
        <v>0.97</v>
      </c>
      <c r="IQ11" s="45"/>
      <c r="IR11" s="55">
        <v>0.95</v>
      </c>
      <c r="IS11" s="45"/>
      <c r="IT11" s="44" t="s">
        <v>140</v>
      </c>
      <c r="IU11" s="44" t="s">
        <v>140</v>
      </c>
      <c r="IV11" s="44" t="s">
        <v>140</v>
      </c>
      <c r="IW11" s="44" t="s">
        <v>140</v>
      </c>
      <c r="IX11" s="44" t="s">
        <v>140</v>
      </c>
      <c r="IY11" s="44" t="s">
        <v>140</v>
      </c>
      <c r="IZ11" s="45"/>
      <c r="JA11" s="54">
        <v>0.92659607688615109</v>
      </c>
      <c r="JB11" s="54">
        <v>0.96334512339742651</v>
      </c>
      <c r="JC11" s="54">
        <v>1.0059711297306833</v>
      </c>
      <c r="JD11" s="54">
        <v>1</v>
      </c>
      <c r="JE11" s="44" t="s">
        <v>140</v>
      </c>
      <c r="JF11" s="54">
        <v>0.93670015356136993</v>
      </c>
      <c r="JG11" s="54">
        <v>1</v>
      </c>
      <c r="JH11" s="54">
        <v>0.85042546083610626</v>
      </c>
      <c r="JI11" s="54">
        <v>1</v>
      </c>
      <c r="JJ11" s="54">
        <v>0.97317087698505544</v>
      </c>
      <c r="JK11" s="44" t="s">
        <v>140</v>
      </c>
      <c r="JL11" s="44" t="s">
        <v>140</v>
      </c>
      <c r="JM11" s="54">
        <v>1</v>
      </c>
      <c r="JN11" s="44" t="s">
        <v>140</v>
      </c>
      <c r="JO11" s="44" t="s">
        <v>140</v>
      </c>
      <c r="JP11" s="44" t="s">
        <v>140</v>
      </c>
      <c r="JQ11" s="54"/>
      <c r="JR11" s="54"/>
      <c r="JS11" s="45"/>
      <c r="JT11" s="57">
        <v>72</v>
      </c>
      <c r="JU11" s="58">
        <v>256.65519494618542</v>
      </c>
      <c r="JV11" s="59">
        <v>323.42337489208177</v>
      </c>
      <c r="JW11" s="59">
        <v>323.29208562133005</v>
      </c>
      <c r="JX11" s="59">
        <v>223.55999999999997</v>
      </c>
      <c r="JY11" s="44" t="s">
        <v>140</v>
      </c>
      <c r="JZ11" s="60">
        <v>38.968225108398684</v>
      </c>
      <c r="KA11" s="59">
        <v>48.099999999999994</v>
      </c>
      <c r="KB11" s="59">
        <v>108.75341143376507</v>
      </c>
      <c r="KC11" s="59">
        <v>963.95265610233923</v>
      </c>
      <c r="KD11" s="59">
        <v>61.162731295182013</v>
      </c>
      <c r="KE11" s="44" t="s">
        <v>140</v>
      </c>
      <c r="KF11" s="44" t="s">
        <v>140</v>
      </c>
      <c r="KG11" s="61">
        <v>46.632419050665732</v>
      </c>
      <c r="KH11" s="44" t="s">
        <v>140</v>
      </c>
      <c r="KI11" s="44" t="s">
        <v>140</v>
      </c>
      <c r="KJ11" s="44" t="s">
        <v>140</v>
      </c>
      <c r="KK11" s="59">
        <v>200</v>
      </c>
      <c r="KL11" s="59">
        <v>120</v>
      </c>
      <c r="KM11" s="62">
        <v>2714.5000984499475</v>
      </c>
      <c r="KN11" s="45"/>
      <c r="KO11" s="59">
        <v>474.81211065044306</v>
      </c>
      <c r="KP11" s="59">
        <v>598.33324355035131</v>
      </c>
      <c r="KQ11" s="59">
        <v>598.09035839946068</v>
      </c>
      <c r="KR11" s="59">
        <v>413.58600000000001</v>
      </c>
      <c r="KS11" s="44" t="s">
        <v>140</v>
      </c>
      <c r="KT11" s="59">
        <v>72.091216450537573</v>
      </c>
      <c r="KU11" s="59">
        <v>88.984999999999999</v>
      </c>
      <c r="KV11" s="59">
        <v>201.1938111524654</v>
      </c>
      <c r="KW11" s="59">
        <v>1783.3124137893276</v>
      </c>
      <c r="KX11" s="59">
        <v>113.15105289608674</v>
      </c>
      <c r="KY11" s="44" t="s">
        <v>140</v>
      </c>
      <c r="KZ11" s="44" t="s">
        <v>140</v>
      </c>
      <c r="LA11" s="61">
        <v>86.269975243731608</v>
      </c>
      <c r="LB11" s="44" t="s">
        <v>140</v>
      </c>
      <c r="LC11" s="44" t="s">
        <v>140</v>
      </c>
      <c r="LD11" s="44" t="s">
        <v>140</v>
      </c>
      <c r="LE11" s="59">
        <v>370.00000000000006</v>
      </c>
      <c r="LF11" s="59">
        <v>222.00000000000003</v>
      </c>
      <c r="LG11" s="63">
        <v>5021.8251821324038</v>
      </c>
      <c r="LH11" s="45"/>
      <c r="LI11" s="64">
        <v>0</v>
      </c>
      <c r="LJ11" s="65">
        <v>1</v>
      </c>
      <c r="LK11" s="66">
        <v>1</v>
      </c>
      <c r="LL11" s="45"/>
      <c r="LM11" s="59">
        <v>474.81211065044306</v>
      </c>
      <c r="LN11" s="59">
        <v>598.33324355035131</v>
      </c>
      <c r="LO11" s="59">
        <v>598.09035839946068</v>
      </c>
      <c r="LP11" s="59">
        <v>413.58600000000001</v>
      </c>
      <c r="LQ11" s="44" t="s">
        <v>140</v>
      </c>
      <c r="LR11" s="59">
        <v>72.091216450537573</v>
      </c>
      <c r="LS11" s="59">
        <v>88.984999999999999</v>
      </c>
      <c r="LT11" s="59">
        <v>201.1938111524654</v>
      </c>
      <c r="LU11" s="59">
        <v>1783.3124137893276</v>
      </c>
      <c r="LV11" s="59">
        <v>113.15105289608674</v>
      </c>
      <c r="LW11" s="44" t="s">
        <v>140</v>
      </c>
      <c r="LX11" s="44" t="s">
        <v>140</v>
      </c>
      <c r="LY11" s="59">
        <v>86.269975243731608</v>
      </c>
      <c r="LZ11" s="44" t="s">
        <v>140</v>
      </c>
      <c r="MA11" s="44" t="s">
        <v>140</v>
      </c>
      <c r="MB11" s="44" t="s">
        <v>140</v>
      </c>
      <c r="MC11" s="59">
        <v>370.00000000000006</v>
      </c>
      <c r="MD11" s="59">
        <v>222.00000000000003</v>
      </c>
      <c r="ME11" s="59">
        <v>5021.8251821324038</v>
      </c>
      <c r="MF11" s="45"/>
      <c r="MG11" s="53">
        <v>0</v>
      </c>
      <c r="MH11" s="53">
        <v>1</v>
      </c>
      <c r="MI11" s="45"/>
      <c r="MJ11" s="55">
        <v>1</v>
      </c>
      <c r="MK11" s="55">
        <v>1</v>
      </c>
      <c r="ML11" s="55">
        <v>1</v>
      </c>
      <c r="MM11" s="55">
        <v>1</v>
      </c>
      <c r="MN11" s="44" t="s">
        <v>140</v>
      </c>
      <c r="MO11" s="44" t="s">
        <v>140</v>
      </c>
      <c r="MP11" s="55">
        <v>1</v>
      </c>
      <c r="MQ11" s="44" t="s">
        <v>140</v>
      </c>
      <c r="MR11" s="44" t="s">
        <v>140</v>
      </c>
      <c r="MS11" s="44" t="s">
        <v>140</v>
      </c>
      <c r="MT11" s="55">
        <v>1</v>
      </c>
      <c r="MU11" s="55">
        <v>1</v>
      </c>
      <c r="MV11" s="67">
        <v>7</v>
      </c>
      <c r="MW11" s="67">
        <v>0.95</v>
      </c>
      <c r="MX11" s="68">
        <v>0.95</v>
      </c>
      <c r="MY11" s="45"/>
      <c r="MZ11" s="59">
        <v>451.07150511792088</v>
      </c>
      <c r="NA11" s="59">
        <v>568.41658137283378</v>
      </c>
      <c r="NB11" s="59">
        <v>568.18584047948764</v>
      </c>
      <c r="NC11" s="59">
        <v>392.9067</v>
      </c>
      <c r="ND11" s="44" t="s">
        <v>140</v>
      </c>
      <c r="NE11" s="59">
        <v>68.486655628010695</v>
      </c>
      <c r="NF11" s="59">
        <v>84.535749999999993</v>
      </c>
      <c r="NG11" s="59">
        <v>191.13412059484213</v>
      </c>
      <c r="NH11" s="59">
        <v>1694.146793099861</v>
      </c>
      <c r="NI11" s="59">
        <v>107.4935002512824</v>
      </c>
      <c r="NJ11" s="44" t="s">
        <v>140</v>
      </c>
      <c r="NK11" s="44" t="s">
        <v>140</v>
      </c>
      <c r="NL11" s="59">
        <v>81.956476481545025</v>
      </c>
      <c r="NM11" s="44" t="s">
        <v>140</v>
      </c>
      <c r="NN11" s="44" t="s">
        <v>140</v>
      </c>
      <c r="NO11" s="44" t="s">
        <v>140</v>
      </c>
      <c r="NP11" s="59">
        <v>351.50000000000006</v>
      </c>
      <c r="NQ11" s="59">
        <v>210.9</v>
      </c>
      <c r="NR11" s="69">
        <v>4770.733923025783</v>
      </c>
      <c r="NS11" s="45"/>
      <c r="NT11" s="110">
        <v>8</v>
      </c>
      <c r="NU11" s="111">
        <v>150</v>
      </c>
      <c r="NV11" s="112">
        <v>0</v>
      </c>
      <c r="NW11" s="113"/>
      <c r="NX11" s="113"/>
      <c r="NY11" s="114">
        <v>451.07150511792088</v>
      </c>
      <c r="NZ11" s="114">
        <v>568.41658137283378</v>
      </c>
      <c r="OA11" s="114">
        <v>568.18584047948764</v>
      </c>
      <c r="OB11" s="114">
        <v>392.9067</v>
      </c>
      <c r="OC11" s="114" t="s">
        <v>140</v>
      </c>
      <c r="OD11" s="114">
        <v>68.486655628010695</v>
      </c>
      <c r="OE11" s="114">
        <v>84.535749999999993</v>
      </c>
      <c r="OF11" s="114">
        <v>191.13412059484213</v>
      </c>
      <c r="OG11" s="114">
        <v>1694.146793099861</v>
      </c>
      <c r="OH11" s="114">
        <v>107.4935002512824</v>
      </c>
      <c r="OI11" s="114" t="s">
        <v>140</v>
      </c>
      <c r="OJ11" s="114" t="s">
        <v>140</v>
      </c>
      <c r="OK11" s="114">
        <v>81.956476481545025</v>
      </c>
      <c r="OL11" s="114" t="s">
        <v>140</v>
      </c>
      <c r="OM11" s="114" t="s">
        <v>140</v>
      </c>
      <c r="ON11" s="114" t="s">
        <v>140</v>
      </c>
      <c r="OO11" s="114">
        <v>351.50000000000006</v>
      </c>
      <c r="OP11" s="114">
        <v>210.9</v>
      </c>
      <c r="OQ11" s="114">
        <v>4770.733923025783</v>
      </c>
      <c r="OR11" s="113"/>
      <c r="OS11" s="70">
        <v>251.09125910662078</v>
      </c>
      <c r="OT11" s="45"/>
      <c r="OU11" s="70">
        <v>60</v>
      </c>
      <c r="OV11" s="70">
        <v>356.5081635193028</v>
      </c>
      <c r="OW11" s="45"/>
      <c r="OX11" s="71">
        <v>5187.2420865450858</v>
      </c>
    </row>
    <row r="12" spans="1:414" ht="14.25" thickBot="1" x14ac:dyDescent="0.3">
      <c r="A12" s="141"/>
      <c r="B12" s="2">
        <v>7</v>
      </c>
      <c r="C12" s="115">
        <v>41071</v>
      </c>
      <c r="D12" s="72">
        <v>5</v>
      </c>
      <c r="E12" s="73">
        <v>0.1</v>
      </c>
      <c r="F12" s="73">
        <v>0</v>
      </c>
      <c r="G12" s="73" t="s">
        <v>141</v>
      </c>
      <c r="H12" s="73" t="s">
        <v>142</v>
      </c>
      <c r="I12" s="74">
        <v>1</v>
      </c>
      <c r="J12" s="75">
        <v>68545</v>
      </c>
      <c r="K12" s="73" t="s">
        <v>157</v>
      </c>
      <c r="L12" s="73" t="s">
        <v>147</v>
      </c>
      <c r="M12" s="74">
        <v>65</v>
      </c>
      <c r="N12" s="73" t="s">
        <v>150</v>
      </c>
      <c r="O12" s="73" t="s">
        <v>136</v>
      </c>
      <c r="P12" s="11">
        <v>0</v>
      </c>
      <c r="Q12" s="73" t="s">
        <v>145</v>
      </c>
      <c r="R12" s="44" t="s">
        <v>140</v>
      </c>
      <c r="S12" s="11">
        <v>0</v>
      </c>
      <c r="T12" s="44" t="s">
        <v>140</v>
      </c>
      <c r="U12" s="73" t="s">
        <v>148</v>
      </c>
      <c r="V12" s="44" t="s">
        <v>140</v>
      </c>
      <c r="W12" s="76" t="s">
        <v>133</v>
      </c>
      <c r="X12" s="76" t="s">
        <v>133</v>
      </c>
      <c r="Z12" s="108">
        <v>800000</v>
      </c>
      <c r="AA12" s="109">
        <v>336000</v>
      </c>
      <c r="AB12" s="45"/>
      <c r="AC12" s="46">
        <v>1136000</v>
      </c>
      <c r="AD12" s="47">
        <v>63840</v>
      </c>
      <c r="AE12" s="47">
        <v>161280</v>
      </c>
      <c r="AF12" s="47">
        <v>261280</v>
      </c>
      <c r="AG12" s="44" t="s">
        <v>140</v>
      </c>
      <c r="AH12" s="47">
        <v>522560</v>
      </c>
      <c r="AI12" s="47">
        <v>248000</v>
      </c>
      <c r="AJ12" s="47">
        <v>568000</v>
      </c>
      <c r="AK12" s="47">
        <v>284000</v>
      </c>
      <c r="AL12" s="47">
        <v>159040.00000000003</v>
      </c>
      <c r="AM12" s="48"/>
      <c r="AN12" s="48"/>
      <c r="AO12" s="47">
        <v>376000</v>
      </c>
      <c r="AP12" s="44" t="s">
        <v>140</v>
      </c>
      <c r="AQ12" s="44" t="s">
        <v>140</v>
      </c>
      <c r="AR12" s="44" t="s">
        <v>140</v>
      </c>
      <c r="AS12" s="44" t="s">
        <v>140</v>
      </c>
      <c r="AT12" s="44" t="s">
        <v>140</v>
      </c>
      <c r="AU12" s="44" t="s">
        <v>140</v>
      </c>
      <c r="AV12" s="44" t="s">
        <v>140</v>
      </c>
      <c r="AW12" s="47">
        <v>16000</v>
      </c>
      <c r="AX12" s="47">
        <v>10000</v>
      </c>
      <c r="AY12" s="45"/>
      <c r="AZ12" s="49">
        <v>8.5400000000000002E-5</v>
      </c>
      <c r="BA12" s="49">
        <v>1.4E-3</v>
      </c>
      <c r="BB12" s="49">
        <v>1.5E-3</v>
      </c>
      <c r="BC12" s="49">
        <v>2.3999999999999998E-3</v>
      </c>
      <c r="BD12" s="44" t="s">
        <v>140</v>
      </c>
      <c r="BE12" s="49">
        <v>2.9999999999999997E-4</v>
      </c>
      <c r="BF12" s="49">
        <v>2.5999999999999998E-4</v>
      </c>
      <c r="BG12" s="49">
        <v>5.3700000000000004E-4</v>
      </c>
      <c r="BH12" s="49">
        <v>3.2960000000000003E-3</v>
      </c>
      <c r="BI12" s="49">
        <v>3.3E-4</v>
      </c>
      <c r="BJ12" s="44" t="s">
        <v>140</v>
      </c>
      <c r="BK12" s="44" t="s">
        <v>140</v>
      </c>
      <c r="BL12" s="49">
        <v>1.5000000000000001E-4</v>
      </c>
      <c r="BM12" s="44" t="s">
        <v>140</v>
      </c>
      <c r="BN12" s="44" t="s">
        <v>140</v>
      </c>
      <c r="BO12" s="44" t="s">
        <v>140</v>
      </c>
      <c r="BP12" s="49">
        <v>0.02</v>
      </c>
      <c r="BQ12" s="50">
        <v>0.02</v>
      </c>
      <c r="BR12" s="45"/>
      <c r="BS12" s="51">
        <v>1.18</v>
      </c>
      <c r="BT12" s="51">
        <v>1.05</v>
      </c>
      <c r="BU12" s="51">
        <v>1.3</v>
      </c>
      <c r="BV12" s="52">
        <v>1</v>
      </c>
      <c r="BW12" s="44" t="s">
        <v>140</v>
      </c>
      <c r="BX12" s="52">
        <v>1.4</v>
      </c>
      <c r="BY12" s="52">
        <v>1</v>
      </c>
      <c r="BZ12" s="52">
        <v>1.25</v>
      </c>
      <c r="CA12" s="52">
        <v>0.99583862943716728</v>
      </c>
      <c r="CB12" s="51">
        <v>1.05</v>
      </c>
      <c r="CC12" s="44" t="s">
        <v>140</v>
      </c>
      <c r="CD12" s="44" t="s">
        <v>140</v>
      </c>
      <c r="CE12" s="51">
        <v>1.0423721177664895</v>
      </c>
      <c r="CF12" s="44" t="s">
        <v>140</v>
      </c>
      <c r="CG12" s="44" t="s">
        <v>140</v>
      </c>
      <c r="CH12" s="44" t="s">
        <v>140</v>
      </c>
      <c r="CI12" s="51">
        <v>1</v>
      </c>
      <c r="CJ12" s="51">
        <v>1</v>
      </c>
      <c r="CK12" s="45"/>
      <c r="CL12" s="51">
        <v>2</v>
      </c>
      <c r="CM12" s="51">
        <v>1.5</v>
      </c>
      <c r="CN12" s="51">
        <v>1.5</v>
      </c>
      <c r="CO12" s="52"/>
      <c r="CP12" s="44" t="s">
        <v>140</v>
      </c>
      <c r="CQ12" s="52"/>
      <c r="CR12" s="52"/>
      <c r="CS12" s="52"/>
      <c r="CT12" s="52"/>
      <c r="CU12" s="51">
        <v>1.5</v>
      </c>
      <c r="CV12" s="44" t="s">
        <v>140</v>
      </c>
      <c r="CW12" s="44" t="s">
        <v>140</v>
      </c>
      <c r="CX12" s="51">
        <v>2</v>
      </c>
      <c r="CY12" s="44" t="s">
        <v>140</v>
      </c>
      <c r="CZ12" s="44" t="s">
        <v>140</v>
      </c>
      <c r="DA12" s="44" t="s">
        <v>140</v>
      </c>
      <c r="DB12" s="52"/>
      <c r="DC12" s="53"/>
      <c r="DD12" s="45"/>
      <c r="DE12" s="54">
        <v>1.3</v>
      </c>
      <c r="DF12" s="54">
        <v>2.5</v>
      </c>
      <c r="DG12" s="54">
        <v>2</v>
      </c>
      <c r="DH12" s="54">
        <v>1</v>
      </c>
      <c r="DI12" s="44" t="s">
        <v>140</v>
      </c>
      <c r="DJ12" s="54">
        <v>1</v>
      </c>
      <c r="DK12" s="55"/>
      <c r="DL12" s="54">
        <v>1</v>
      </c>
      <c r="DM12" s="55"/>
      <c r="DN12" s="54">
        <v>1</v>
      </c>
      <c r="DO12" s="44" t="s">
        <v>140</v>
      </c>
      <c r="DP12" s="44" t="s">
        <v>140</v>
      </c>
      <c r="DQ12" s="54">
        <v>2</v>
      </c>
      <c r="DR12" s="44" t="s">
        <v>140</v>
      </c>
      <c r="DS12" s="44" t="s">
        <v>140</v>
      </c>
      <c r="DT12" s="44" t="s">
        <v>140</v>
      </c>
      <c r="DU12" s="55"/>
      <c r="DV12" s="56"/>
      <c r="DW12" s="45"/>
      <c r="DX12" s="54">
        <v>1</v>
      </c>
      <c r="DY12" s="54">
        <v>1</v>
      </c>
      <c r="DZ12" s="54">
        <v>1</v>
      </c>
      <c r="EA12" s="55"/>
      <c r="EB12" s="44" t="s">
        <v>140</v>
      </c>
      <c r="EC12" s="55"/>
      <c r="ED12" s="55"/>
      <c r="EE12" s="55"/>
      <c r="EF12" s="55"/>
      <c r="EG12" s="54">
        <v>1</v>
      </c>
      <c r="EH12" s="44" t="s">
        <v>140</v>
      </c>
      <c r="EI12" s="44" t="s">
        <v>140</v>
      </c>
      <c r="EJ12" s="54">
        <v>1</v>
      </c>
      <c r="EK12" s="44" t="s">
        <v>140</v>
      </c>
      <c r="EL12" s="44" t="s">
        <v>140</v>
      </c>
      <c r="EM12" s="44" t="s">
        <v>140</v>
      </c>
      <c r="EN12" s="55"/>
      <c r="EO12" s="55"/>
      <c r="EP12" s="45"/>
      <c r="EQ12" s="54">
        <v>1</v>
      </c>
      <c r="ER12" s="54">
        <v>1</v>
      </c>
      <c r="ES12" s="54">
        <v>1</v>
      </c>
      <c r="ET12" s="55"/>
      <c r="EU12" s="44" t="s">
        <v>140</v>
      </c>
      <c r="EV12" s="55"/>
      <c r="EW12" s="55"/>
      <c r="EX12" s="55"/>
      <c r="EY12" s="55"/>
      <c r="EZ12" s="54">
        <v>1</v>
      </c>
      <c r="FA12" s="44" t="s">
        <v>140</v>
      </c>
      <c r="FB12" s="44" t="s">
        <v>140</v>
      </c>
      <c r="FC12" s="54">
        <v>1</v>
      </c>
      <c r="FD12" s="44" t="s">
        <v>140</v>
      </c>
      <c r="FE12" s="44" t="s">
        <v>140</v>
      </c>
      <c r="FF12" s="44" t="s">
        <v>140</v>
      </c>
      <c r="FG12" s="55"/>
      <c r="FH12" s="55"/>
      <c r="FI12" s="45"/>
      <c r="FJ12" s="54">
        <v>0.9</v>
      </c>
      <c r="FK12" s="54">
        <v>0.9</v>
      </c>
      <c r="FL12" s="54">
        <v>0.9</v>
      </c>
      <c r="FM12" s="55"/>
      <c r="FN12" s="44" t="s">
        <v>140</v>
      </c>
      <c r="FO12" s="55"/>
      <c r="FP12" s="55"/>
      <c r="FQ12" s="55"/>
      <c r="FR12" s="55"/>
      <c r="FS12" s="54">
        <v>0.9</v>
      </c>
      <c r="FT12" s="44" t="s">
        <v>140</v>
      </c>
      <c r="FU12" s="44" t="s">
        <v>140</v>
      </c>
      <c r="FV12" s="54">
        <v>0.9</v>
      </c>
      <c r="FW12" s="44" t="s">
        <v>140</v>
      </c>
      <c r="FX12" s="44" t="s">
        <v>140</v>
      </c>
      <c r="FY12" s="44" t="s">
        <v>140</v>
      </c>
      <c r="FZ12" s="55"/>
      <c r="GA12" s="55"/>
      <c r="GB12" s="45"/>
      <c r="GC12" s="54">
        <v>1</v>
      </c>
      <c r="GD12" s="54">
        <v>1</v>
      </c>
      <c r="GE12" s="54">
        <v>1</v>
      </c>
      <c r="GF12" s="55"/>
      <c r="GG12" s="44" t="s">
        <v>140</v>
      </c>
      <c r="GH12" s="55"/>
      <c r="GI12" s="55"/>
      <c r="GJ12" s="55"/>
      <c r="GK12" s="55"/>
      <c r="GL12" s="54">
        <v>1</v>
      </c>
      <c r="GM12" s="44" t="s">
        <v>140</v>
      </c>
      <c r="GN12" s="44" t="s">
        <v>140</v>
      </c>
      <c r="GO12" s="54">
        <v>1</v>
      </c>
      <c r="GP12" s="44" t="s">
        <v>140</v>
      </c>
      <c r="GQ12" s="44" t="s">
        <v>140</v>
      </c>
      <c r="GR12" s="44" t="s">
        <v>140</v>
      </c>
      <c r="GS12" s="55"/>
      <c r="GT12" s="55"/>
      <c r="GU12" s="45"/>
      <c r="GV12" s="54">
        <v>1</v>
      </c>
      <c r="GW12" s="54">
        <v>1</v>
      </c>
      <c r="GX12" s="54">
        <v>1</v>
      </c>
      <c r="GY12" s="55"/>
      <c r="GZ12" s="54"/>
      <c r="HA12" s="55"/>
      <c r="HB12" s="55"/>
      <c r="HC12" s="55"/>
      <c r="HD12" s="55"/>
      <c r="HE12" s="54">
        <v>1</v>
      </c>
      <c r="HF12" s="44" t="s">
        <v>140</v>
      </c>
      <c r="HG12" s="44" t="s">
        <v>140</v>
      </c>
      <c r="HH12" s="54">
        <v>1</v>
      </c>
      <c r="HI12" s="44" t="s">
        <v>140</v>
      </c>
      <c r="HJ12" s="44" t="s">
        <v>140</v>
      </c>
      <c r="HK12" s="44" t="s">
        <v>140</v>
      </c>
      <c r="HL12" s="55"/>
      <c r="HM12" s="55"/>
      <c r="HN12" s="45"/>
      <c r="HO12" s="54">
        <v>1</v>
      </c>
      <c r="HP12" s="54">
        <v>1</v>
      </c>
      <c r="HQ12" s="54">
        <v>1</v>
      </c>
      <c r="HR12" s="55"/>
      <c r="HS12" s="54"/>
      <c r="HT12" s="55"/>
      <c r="HU12" s="55"/>
      <c r="HV12" s="55"/>
      <c r="HW12" s="55"/>
      <c r="HX12" s="54">
        <v>1</v>
      </c>
      <c r="HY12" s="44" t="s">
        <v>140</v>
      </c>
      <c r="HZ12" s="44" t="s">
        <v>140</v>
      </c>
      <c r="IA12" s="54">
        <v>1</v>
      </c>
      <c r="IB12" s="44" t="s">
        <v>140</v>
      </c>
      <c r="IC12" s="44" t="s">
        <v>140</v>
      </c>
      <c r="ID12" s="44" t="s">
        <v>140</v>
      </c>
      <c r="IE12" s="55"/>
      <c r="IF12" s="55"/>
      <c r="IG12" s="45"/>
      <c r="IH12" s="51">
        <v>0.97</v>
      </c>
      <c r="II12" s="45"/>
      <c r="IJ12" s="44" t="s">
        <v>140</v>
      </c>
      <c r="IK12" s="45"/>
      <c r="IL12" s="51">
        <v>1</v>
      </c>
      <c r="IM12" s="45"/>
      <c r="IN12" s="44" t="s">
        <v>140</v>
      </c>
      <c r="IO12" s="45"/>
      <c r="IP12" s="52">
        <v>0.97</v>
      </c>
      <c r="IQ12" s="45"/>
      <c r="IR12" s="55">
        <v>1</v>
      </c>
      <c r="IS12" s="45"/>
      <c r="IT12" s="44" t="s">
        <v>140</v>
      </c>
      <c r="IU12" s="44" t="s">
        <v>140</v>
      </c>
      <c r="IV12" s="44" t="s">
        <v>140</v>
      </c>
      <c r="IW12" s="44" t="s">
        <v>140</v>
      </c>
      <c r="IX12" s="44" t="s">
        <v>140</v>
      </c>
      <c r="IY12" s="44" t="s">
        <v>140</v>
      </c>
      <c r="IZ12" s="45"/>
      <c r="JA12" s="54">
        <v>0.89729571215944814</v>
      </c>
      <c r="JB12" s="54">
        <v>0.98151863900746983</v>
      </c>
      <c r="JC12" s="54">
        <v>0.95581296019265538</v>
      </c>
      <c r="JD12" s="54">
        <v>1</v>
      </c>
      <c r="JE12" s="44" t="s">
        <v>140</v>
      </c>
      <c r="JF12" s="54">
        <v>0.90897662773343024</v>
      </c>
      <c r="JG12" s="54">
        <v>1</v>
      </c>
      <c r="JH12" s="54">
        <v>0.8272749552623988</v>
      </c>
      <c r="JI12" s="54">
        <v>1</v>
      </c>
      <c r="JJ12" s="54">
        <v>0.94483515075059787</v>
      </c>
      <c r="JK12" s="44" t="s">
        <v>140</v>
      </c>
      <c r="JL12" s="44" t="s">
        <v>140</v>
      </c>
      <c r="JM12" s="54">
        <v>1</v>
      </c>
      <c r="JN12" s="44" t="s">
        <v>140</v>
      </c>
      <c r="JO12" s="44" t="s">
        <v>140</v>
      </c>
      <c r="JP12" s="44" t="s">
        <v>140</v>
      </c>
      <c r="JQ12" s="54"/>
      <c r="JR12" s="54"/>
      <c r="JS12" s="45"/>
      <c r="JT12" s="57">
        <v>72</v>
      </c>
      <c r="JU12" s="58">
        <v>305.15320697908851</v>
      </c>
      <c r="JV12" s="59">
        <v>310.87266876200772</v>
      </c>
      <c r="JW12" s="59">
        <v>787.26970479659451</v>
      </c>
      <c r="JX12" s="59">
        <v>627.07199999999989</v>
      </c>
      <c r="JY12" s="44" t="s">
        <v>140</v>
      </c>
      <c r="JZ12" s="60">
        <v>199.49782716712011</v>
      </c>
      <c r="KA12" s="59">
        <v>64.47999999999999</v>
      </c>
      <c r="KB12" s="59">
        <v>315.41512219289484</v>
      </c>
      <c r="KC12" s="59">
        <v>932.16869082547259</v>
      </c>
      <c r="KD12" s="59">
        <v>70.290950570641101</v>
      </c>
      <c r="KE12" s="44" t="s">
        <v>140</v>
      </c>
      <c r="KF12" s="44" t="s">
        <v>140</v>
      </c>
      <c r="KG12" s="61">
        <v>211.64323479130806</v>
      </c>
      <c r="KH12" s="44" t="s">
        <v>140</v>
      </c>
      <c r="KI12" s="44" t="s">
        <v>140</v>
      </c>
      <c r="KJ12" s="44" t="s">
        <v>140</v>
      </c>
      <c r="KK12" s="59">
        <v>320</v>
      </c>
      <c r="KL12" s="59">
        <v>200</v>
      </c>
      <c r="KM12" s="62">
        <v>4343.8634060851273</v>
      </c>
      <c r="KN12" s="45"/>
      <c r="KO12" s="59">
        <v>564.53343291131375</v>
      </c>
      <c r="KP12" s="59">
        <v>575.11443720971431</v>
      </c>
      <c r="KQ12" s="59">
        <v>1456.4489538737</v>
      </c>
      <c r="KR12" s="59">
        <v>1160.0832</v>
      </c>
      <c r="KS12" s="44" t="s">
        <v>140</v>
      </c>
      <c r="KT12" s="59">
        <v>369.07098025917225</v>
      </c>
      <c r="KU12" s="59">
        <v>119.28800000000001</v>
      </c>
      <c r="KV12" s="59">
        <v>583.51797605685556</v>
      </c>
      <c r="KW12" s="59">
        <v>1724.5120780271245</v>
      </c>
      <c r="KX12" s="59">
        <v>130.03825855568604</v>
      </c>
      <c r="KY12" s="44" t="s">
        <v>140</v>
      </c>
      <c r="KZ12" s="44" t="s">
        <v>140</v>
      </c>
      <c r="LA12" s="61">
        <v>391.53998436391998</v>
      </c>
      <c r="LB12" s="44" t="s">
        <v>140</v>
      </c>
      <c r="LC12" s="44" t="s">
        <v>140</v>
      </c>
      <c r="LD12" s="44" t="s">
        <v>140</v>
      </c>
      <c r="LE12" s="59">
        <v>592.00000000000011</v>
      </c>
      <c r="LF12" s="59">
        <v>370.00000000000006</v>
      </c>
      <c r="LG12" s="63">
        <v>8036.147301257487</v>
      </c>
      <c r="LH12" s="45"/>
      <c r="LI12" s="64">
        <v>0</v>
      </c>
      <c r="LJ12" s="65">
        <v>1</v>
      </c>
      <c r="LK12" s="66">
        <v>0.97</v>
      </c>
      <c r="LL12" s="45"/>
      <c r="LM12" s="59">
        <v>547.59742992397435</v>
      </c>
      <c r="LN12" s="59">
        <v>557.86100409342282</v>
      </c>
      <c r="LO12" s="59">
        <v>1412.755485257489</v>
      </c>
      <c r="LP12" s="59">
        <v>1125.280704</v>
      </c>
      <c r="LQ12" s="44" t="s">
        <v>140</v>
      </c>
      <c r="LR12" s="59">
        <v>357.99885085139709</v>
      </c>
      <c r="LS12" s="59">
        <v>115.70936</v>
      </c>
      <c r="LT12" s="59">
        <v>566.01243677514992</v>
      </c>
      <c r="LU12" s="59">
        <v>1672.7767156863108</v>
      </c>
      <c r="LV12" s="59">
        <v>126.13711079901546</v>
      </c>
      <c r="LW12" s="44" t="s">
        <v>140</v>
      </c>
      <c r="LX12" s="44" t="s">
        <v>140</v>
      </c>
      <c r="LY12" s="59">
        <v>379.79378483300235</v>
      </c>
      <c r="LZ12" s="44" t="s">
        <v>140</v>
      </c>
      <c r="MA12" s="44" t="s">
        <v>140</v>
      </c>
      <c r="MB12" s="44" t="s">
        <v>140</v>
      </c>
      <c r="MC12" s="59">
        <v>574.24000000000012</v>
      </c>
      <c r="MD12" s="59">
        <v>358.90000000000003</v>
      </c>
      <c r="ME12" s="59">
        <v>7795.0628822197623</v>
      </c>
      <c r="MF12" s="45"/>
      <c r="MG12" s="53">
        <v>0</v>
      </c>
      <c r="MH12" s="53">
        <v>1</v>
      </c>
      <c r="MI12" s="45"/>
      <c r="MJ12" s="55">
        <v>1</v>
      </c>
      <c r="MK12" s="55">
        <v>1</v>
      </c>
      <c r="ML12" s="55">
        <v>1</v>
      </c>
      <c r="MM12" s="55">
        <v>1</v>
      </c>
      <c r="MN12" s="44" t="s">
        <v>140</v>
      </c>
      <c r="MO12" s="44" t="s">
        <v>140</v>
      </c>
      <c r="MP12" s="55">
        <v>1</v>
      </c>
      <c r="MQ12" s="44" t="s">
        <v>140</v>
      </c>
      <c r="MR12" s="44" t="s">
        <v>140</v>
      </c>
      <c r="MS12" s="44" t="s">
        <v>140</v>
      </c>
      <c r="MT12" s="55">
        <v>1</v>
      </c>
      <c r="MU12" s="55">
        <v>1</v>
      </c>
      <c r="MV12" s="67">
        <v>7</v>
      </c>
      <c r="MW12" s="67">
        <v>0.95</v>
      </c>
      <c r="MX12" s="68">
        <v>0.95</v>
      </c>
      <c r="MY12" s="45"/>
      <c r="MZ12" s="59">
        <v>520.21755842777566</v>
      </c>
      <c r="NA12" s="59">
        <v>529.96795388875171</v>
      </c>
      <c r="NB12" s="59">
        <v>1342.1177109946145</v>
      </c>
      <c r="NC12" s="59">
        <v>1069.0166687999999</v>
      </c>
      <c r="ND12" s="44" t="s">
        <v>140</v>
      </c>
      <c r="NE12" s="59">
        <v>340.09890830882722</v>
      </c>
      <c r="NF12" s="59">
        <v>109.923892</v>
      </c>
      <c r="NG12" s="59">
        <v>537.71181493639244</v>
      </c>
      <c r="NH12" s="59">
        <v>1589.1378799019951</v>
      </c>
      <c r="NI12" s="59">
        <v>119.83025525906469</v>
      </c>
      <c r="NJ12" s="44" t="s">
        <v>140</v>
      </c>
      <c r="NK12" s="44" t="s">
        <v>140</v>
      </c>
      <c r="NL12" s="59">
        <v>360.80409559135222</v>
      </c>
      <c r="NM12" s="44" t="s">
        <v>140</v>
      </c>
      <c r="NN12" s="44" t="s">
        <v>140</v>
      </c>
      <c r="NO12" s="44" t="s">
        <v>140</v>
      </c>
      <c r="NP12" s="59">
        <v>545.52800000000013</v>
      </c>
      <c r="NQ12" s="59">
        <v>340.95500000000004</v>
      </c>
      <c r="NR12" s="69">
        <v>7405.3097381087728</v>
      </c>
      <c r="NS12" s="45"/>
      <c r="NT12" s="110">
        <v>7</v>
      </c>
      <c r="NU12" s="111">
        <v>150</v>
      </c>
      <c r="NV12" s="112">
        <v>0</v>
      </c>
      <c r="NW12" s="113"/>
      <c r="NX12" s="113"/>
      <c r="NY12" s="114">
        <v>520.21755842777566</v>
      </c>
      <c r="NZ12" s="114">
        <v>529.96795388875171</v>
      </c>
      <c r="OA12" s="114">
        <v>1342.1177109946145</v>
      </c>
      <c r="OB12" s="114">
        <v>1069.0166687999999</v>
      </c>
      <c r="OC12" s="114" t="s">
        <v>140</v>
      </c>
      <c r="OD12" s="114">
        <v>340.09890830882722</v>
      </c>
      <c r="OE12" s="114">
        <v>109.923892</v>
      </c>
      <c r="OF12" s="114">
        <v>537.71181493639244</v>
      </c>
      <c r="OG12" s="114">
        <v>1589.1378799019951</v>
      </c>
      <c r="OH12" s="114">
        <v>119.83025525906469</v>
      </c>
      <c r="OI12" s="114" t="s">
        <v>140</v>
      </c>
      <c r="OJ12" s="114" t="s">
        <v>140</v>
      </c>
      <c r="OK12" s="114">
        <v>360.80409559135222</v>
      </c>
      <c r="OL12" s="114" t="s">
        <v>140</v>
      </c>
      <c r="OM12" s="114" t="s">
        <v>140</v>
      </c>
      <c r="ON12" s="114" t="s">
        <v>140</v>
      </c>
      <c r="OO12" s="114">
        <v>545.52800000000013</v>
      </c>
      <c r="OP12" s="114">
        <v>340.95500000000004</v>
      </c>
      <c r="OQ12" s="114">
        <v>7405.3097381087728</v>
      </c>
      <c r="OR12" s="113"/>
      <c r="OS12" s="70">
        <v>389.75314411098952</v>
      </c>
      <c r="OT12" s="45"/>
      <c r="OU12" s="70">
        <v>60</v>
      </c>
      <c r="OV12" s="70">
        <v>550.93985867242748</v>
      </c>
      <c r="OW12" s="45"/>
      <c r="OX12" s="71">
        <v>8016.2495967812001</v>
      </c>
    </row>
    <row r="13" spans="1:414" ht="14.25" thickBot="1" x14ac:dyDescent="0.3">
      <c r="A13" s="141"/>
      <c r="B13" s="2">
        <v>8</v>
      </c>
      <c r="C13" s="115">
        <v>41071</v>
      </c>
      <c r="D13" s="72">
        <v>5</v>
      </c>
      <c r="E13" s="73">
        <v>0.1</v>
      </c>
      <c r="F13" s="73">
        <v>0</v>
      </c>
      <c r="G13" s="73" t="s">
        <v>154</v>
      </c>
      <c r="H13" s="73" t="s">
        <v>142</v>
      </c>
      <c r="I13" s="74">
        <v>1</v>
      </c>
      <c r="J13" s="75">
        <v>4316</v>
      </c>
      <c r="K13" s="73" t="s">
        <v>153</v>
      </c>
      <c r="L13" s="73" t="s">
        <v>152</v>
      </c>
      <c r="M13" s="74">
        <v>250</v>
      </c>
      <c r="N13" s="73" t="s">
        <v>150</v>
      </c>
      <c r="O13" s="73" t="s">
        <v>136</v>
      </c>
      <c r="P13" s="11">
        <v>0</v>
      </c>
      <c r="Q13" s="73" t="s">
        <v>155</v>
      </c>
      <c r="R13" s="44" t="s">
        <v>140</v>
      </c>
      <c r="S13" s="11">
        <v>0</v>
      </c>
      <c r="T13" s="44" t="s">
        <v>140</v>
      </c>
      <c r="U13" s="73" t="s">
        <v>145</v>
      </c>
      <c r="V13" s="44" t="s">
        <v>140</v>
      </c>
      <c r="W13" s="76" t="s">
        <v>146</v>
      </c>
      <c r="X13" s="76" t="s">
        <v>146</v>
      </c>
      <c r="Z13" s="108">
        <v>2200000</v>
      </c>
      <c r="AA13" s="109">
        <v>1408000</v>
      </c>
      <c r="AB13" s="45"/>
      <c r="AC13" s="46">
        <v>3608000</v>
      </c>
      <c r="AD13" s="47">
        <v>633600</v>
      </c>
      <c r="AE13" s="47">
        <v>183040</v>
      </c>
      <c r="AF13" s="47">
        <v>1334960</v>
      </c>
      <c r="AG13" s="44" t="s">
        <v>140</v>
      </c>
      <c r="AH13" s="47">
        <v>829840</v>
      </c>
      <c r="AI13" s="47">
        <v>1078000</v>
      </c>
      <c r="AJ13" s="47">
        <v>757680</v>
      </c>
      <c r="AK13" s="47">
        <v>1515360</v>
      </c>
      <c r="AL13" s="47">
        <v>541200</v>
      </c>
      <c r="AM13" s="48"/>
      <c r="AN13" s="48"/>
      <c r="AO13" s="47">
        <v>528000</v>
      </c>
      <c r="AP13" s="44" t="s">
        <v>140</v>
      </c>
      <c r="AQ13" s="44" t="s">
        <v>140</v>
      </c>
      <c r="AR13" s="44" t="s">
        <v>140</v>
      </c>
      <c r="AS13" s="44" t="s">
        <v>140</v>
      </c>
      <c r="AT13" s="44" t="s">
        <v>140</v>
      </c>
      <c r="AU13" s="44" t="s">
        <v>140</v>
      </c>
      <c r="AV13" s="44" t="s">
        <v>140</v>
      </c>
      <c r="AW13" s="47">
        <v>19000</v>
      </c>
      <c r="AX13" s="47">
        <v>11000</v>
      </c>
      <c r="AY13" s="45"/>
      <c r="AZ13" s="49">
        <v>8.5400000000000002E-5</v>
      </c>
      <c r="BA13" s="49">
        <v>1.4E-3</v>
      </c>
      <c r="BB13" s="49">
        <v>1.5E-3</v>
      </c>
      <c r="BC13" s="49">
        <v>2.3999999999999998E-3</v>
      </c>
      <c r="BD13" s="44" t="s">
        <v>140</v>
      </c>
      <c r="BE13" s="49">
        <v>2.9999999999999997E-4</v>
      </c>
      <c r="BF13" s="49">
        <v>2.5999999999999998E-4</v>
      </c>
      <c r="BG13" s="49">
        <v>5.3700000000000004E-4</v>
      </c>
      <c r="BH13" s="49">
        <v>3.2960000000000003E-3</v>
      </c>
      <c r="BI13" s="49">
        <v>3.3E-4</v>
      </c>
      <c r="BJ13" s="44" t="s">
        <v>140</v>
      </c>
      <c r="BK13" s="44" t="s">
        <v>140</v>
      </c>
      <c r="BL13" s="49">
        <v>1.5000000000000001E-4</v>
      </c>
      <c r="BM13" s="44" t="s">
        <v>140</v>
      </c>
      <c r="BN13" s="44" t="s">
        <v>140</v>
      </c>
      <c r="BO13" s="44" t="s">
        <v>140</v>
      </c>
      <c r="BP13" s="49">
        <v>0.02</v>
      </c>
      <c r="BQ13" s="50">
        <v>0.02</v>
      </c>
      <c r="BR13" s="45"/>
      <c r="BS13" s="51">
        <v>1</v>
      </c>
      <c r="BT13" s="51">
        <v>1</v>
      </c>
      <c r="BU13" s="51">
        <v>1</v>
      </c>
      <c r="BV13" s="52">
        <v>1</v>
      </c>
      <c r="BW13" s="44" t="s">
        <v>140</v>
      </c>
      <c r="BX13" s="52">
        <v>1</v>
      </c>
      <c r="BY13" s="52">
        <v>1</v>
      </c>
      <c r="BZ13" s="52">
        <v>1</v>
      </c>
      <c r="CA13" s="52">
        <v>1</v>
      </c>
      <c r="CB13" s="51">
        <v>1</v>
      </c>
      <c r="CC13" s="44" t="s">
        <v>140</v>
      </c>
      <c r="CD13" s="44" t="s">
        <v>140</v>
      </c>
      <c r="CE13" s="51">
        <v>1</v>
      </c>
      <c r="CF13" s="44" t="s">
        <v>140</v>
      </c>
      <c r="CG13" s="44" t="s">
        <v>140</v>
      </c>
      <c r="CH13" s="44" t="s">
        <v>140</v>
      </c>
      <c r="CI13" s="51">
        <v>1</v>
      </c>
      <c r="CJ13" s="51">
        <v>1</v>
      </c>
      <c r="CK13" s="45"/>
      <c r="CL13" s="51">
        <v>2</v>
      </c>
      <c r="CM13" s="51">
        <v>1.1000000000000001</v>
      </c>
      <c r="CN13" s="51">
        <v>1.1000000000000001</v>
      </c>
      <c r="CO13" s="52"/>
      <c r="CP13" s="44" t="s">
        <v>140</v>
      </c>
      <c r="CQ13" s="52"/>
      <c r="CR13" s="52"/>
      <c r="CS13" s="52"/>
      <c r="CT13" s="52"/>
      <c r="CU13" s="51">
        <v>1.5</v>
      </c>
      <c r="CV13" s="44" t="s">
        <v>140</v>
      </c>
      <c r="CW13" s="44" t="s">
        <v>140</v>
      </c>
      <c r="CX13" s="51">
        <v>2</v>
      </c>
      <c r="CY13" s="44" t="s">
        <v>140</v>
      </c>
      <c r="CZ13" s="44" t="s">
        <v>140</v>
      </c>
      <c r="DA13" s="44" t="s">
        <v>140</v>
      </c>
      <c r="DB13" s="52"/>
      <c r="DC13" s="53"/>
      <c r="DD13" s="45"/>
      <c r="DE13" s="54">
        <v>1.3</v>
      </c>
      <c r="DF13" s="54">
        <v>2.5</v>
      </c>
      <c r="DG13" s="54">
        <v>2</v>
      </c>
      <c r="DH13" s="54">
        <v>1</v>
      </c>
      <c r="DI13" s="44" t="s">
        <v>140</v>
      </c>
      <c r="DJ13" s="54">
        <v>1</v>
      </c>
      <c r="DK13" s="55"/>
      <c r="DL13" s="54">
        <v>1</v>
      </c>
      <c r="DM13" s="55"/>
      <c r="DN13" s="54">
        <v>1</v>
      </c>
      <c r="DO13" s="44" t="s">
        <v>140</v>
      </c>
      <c r="DP13" s="44" t="s">
        <v>140</v>
      </c>
      <c r="DQ13" s="54">
        <v>2</v>
      </c>
      <c r="DR13" s="44" t="s">
        <v>140</v>
      </c>
      <c r="DS13" s="44" t="s">
        <v>140</v>
      </c>
      <c r="DT13" s="44" t="s">
        <v>140</v>
      </c>
      <c r="DU13" s="55"/>
      <c r="DV13" s="56"/>
      <c r="DW13" s="45"/>
      <c r="DX13" s="54">
        <v>1</v>
      </c>
      <c r="DY13" s="54">
        <v>1</v>
      </c>
      <c r="DZ13" s="54">
        <v>1</v>
      </c>
      <c r="EA13" s="55"/>
      <c r="EB13" s="44" t="s">
        <v>140</v>
      </c>
      <c r="EC13" s="55"/>
      <c r="ED13" s="55"/>
      <c r="EE13" s="55"/>
      <c r="EF13" s="55"/>
      <c r="EG13" s="54">
        <v>1</v>
      </c>
      <c r="EH13" s="44" t="s">
        <v>140</v>
      </c>
      <c r="EI13" s="44" t="s">
        <v>140</v>
      </c>
      <c r="EJ13" s="54">
        <v>1</v>
      </c>
      <c r="EK13" s="44" t="s">
        <v>140</v>
      </c>
      <c r="EL13" s="44" t="s">
        <v>140</v>
      </c>
      <c r="EM13" s="44" t="s">
        <v>140</v>
      </c>
      <c r="EN13" s="55"/>
      <c r="EO13" s="55"/>
      <c r="EP13" s="45"/>
      <c r="EQ13" s="54">
        <v>1</v>
      </c>
      <c r="ER13" s="54">
        <v>1</v>
      </c>
      <c r="ES13" s="54">
        <v>1</v>
      </c>
      <c r="ET13" s="55"/>
      <c r="EU13" s="44" t="s">
        <v>140</v>
      </c>
      <c r="EV13" s="55"/>
      <c r="EW13" s="55"/>
      <c r="EX13" s="55"/>
      <c r="EY13" s="55"/>
      <c r="EZ13" s="54">
        <v>1</v>
      </c>
      <c r="FA13" s="44" t="s">
        <v>140</v>
      </c>
      <c r="FB13" s="44" t="s">
        <v>140</v>
      </c>
      <c r="FC13" s="54">
        <v>1</v>
      </c>
      <c r="FD13" s="44" t="s">
        <v>140</v>
      </c>
      <c r="FE13" s="44" t="s">
        <v>140</v>
      </c>
      <c r="FF13" s="44" t="s">
        <v>140</v>
      </c>
      <c r="FG13" s="55"/>
      <c r="FH13" s="55"/>
      <c r="FI13" s="45"/>
      <c r="FJ13" s="54">
        <v>1</v>
      </c>
      <c r="FK13" s="54">
        <v>1</v>
      </c>
      <c r="FL13" s="54">
        <v>1</v>
      </c>
      <c r="FM13" s="55"/>
      <c r="FN13" s="44" t="s">
        <v>140</v>
      </c>
      <c r="FO13" s="55"/>
      <c r="FP13" s="55"/>
      <c r="FQ13" s="55"/>
      <c r="FR13" s="55"/>
      <c r="FS13" s="54">
        <v>1</v>
      </c>
      <c r="FT13" s="44" t="s">
        <v>140</v>
      </c>
      <c r="FU13" s="44" t="s">
        <v>140</v>
      </c>
      <c r="FV13" s="54">
        <v>1</v>
      </c>
      <c r="FW13" s="44" t="s">
        <v>140</v>
      </c>
      <c r="FX13" s="44" t="s">
        <v>140</v>
      </c>
      <c r="FY13" s="44" t="s">
        <v>140</v>
      </c>
      <c r="FZ13" s="55"/>
      <c r="GA13" s="55"/>
      <c r="GB13" s="45"/>
      <c r="GC13" s="54">
        <v>1</v>
      </c>
      <c r="GD13" s="54">
        <v>1</v>
      </c>
      <c r="GE13" s="54">
        <v>1</v>
      </c>
      <c r="GF13" s="55"/>
      <c r="GG13" s="44" t="s">
        <v>140</v>
      </c>
      <c r="GH13" s="55"/>
      <c r="GI13" s="55"/>
      <c r="GJ13" s="55"/>
      <c r="GK13" s="55"/>
      <c r="GL13" s="54">
        <v>1</v>
      </c>
      <c r="GM13" s="44" t="s">
        <v>140</v>
      </c>
      <c r="GN13" s="44" t="s">
        <v>140</v>
      </c>
      <c r="GO13" s="54">
        <v>1</v>
      </c>
      <c r="GP13" s="44" t="s">
        <v>140</v>
      </c>
      <c r="GQ13" s="44" t="s">
        <v>140</v>
      </c>
      <c r="GR13" s="44" t="s">
        <v>140</v>
      </c>
      <c r="GS13" s="55"/>
      <c r="GT13" s="55"/>
      <c r="GU13" s="45"/>
      <c r="GV13" s="54">
        <v>1</v>
      </c>
      <c r="GW13" s="54">
        <v>1</v>
      </c>
      <c r="GX13" s="54">
        <v>1</v>
      </c>
      <c r="GY13" s="55"/>
      <c r="GZ13" s="54"/>
      <c r="HA13" s="55"/>
      <c r="HB13" s="55"/>
      <c r="HC13" s="55"/>
      <c r="HD13" s="55"/>
      <c r="HE13" s="54">
        <v>1</v>
      </c>
      <c r="HF13" s="44" t="s">
        <v>140</v>
      </c>
      <c r="HG13" s="44" t="s">
        <v>140</v>
      </c>
      <c r="HH13" s="54">
        <v>1</v>
      </c>
      <c r="HI13" s="44" t="s">
        <v>140</v>
      </c>
      <c r="HJ13" s="44" t="s">
        <v>140</v>
      </c>
      <c r="HK13" s="44" t="s">
        <v>140</v>
      </c>
      <c r="HL13" s="55"/>
      <c r="HM13" s="55"/>
      <c r="HN13" s="45"/>
      <c r="HO13" s="54">
        <v>1</v>
      </c>
      <c r="HP13" s="54">
        <v>1</v>
      </c>
      <c r="HQ13" s="54">
        <v>1</v>
      </c>
      <c r="HR13" s="55"/>
      <c r="HS13" s="54"/>
      <c r="HT13" s="55"/>
      <c r="HU13" s="55"/>
      <c r="HV13" s="55"/>
      <c r="HW13" s="55"/>
      <c r="HX13" s="54">
        <v>1</v>
      </c>
      <c r="HY13" s="44" t="s">
        <v>140</v>
      </c>
      <c r="HZ13" s="44" t="s">
        <v>140</v>
      </c>
      <c r="IA13" s="54">
        <v>1</v>
      </c>
      <c r="IB13" s="44" t="s">
        <v>140</v>
      </c>
      <c r="IC13" s="44" t="s">
        <v>140</v>
      </c>
      <c r="ID13" s="44" t="s">
        <v>140</v>
      </c>
      <c r="IE13" s="55"/>
      <c r="IF13" s="55"/>
      <c r="IG13" s="45"/>
      <c r="IH13" s="51">
        <v>0.97</v>
      </c>
      <c r="II13" s="45"/>
      <c r="IJ13" s="44" t="s">
        <v>140</v>
      </c>
      <c r="IK13" s="45"/>
      <c r="IL13" s="51">
        <v>1</v>
      </c>
      <c r="IM13" s="45"/>
      <c r="IN13" s="44" t="s">
        <v>140</v>
      </c>
      <c r="IO13" s="45"/>
      <c r="IP13" s="52">
        <v>0.97</v>
      </c>
      <c r="IQ13" s="45"/>
      <c r="IR13" s="55">
        <v>0.95</v>
      </c>
      <c r="IS13" s="45"/>
      <c r="IT13" s="44" t="s">
        <v>140</v>
      </c>
      <c r="IU13" s="44" t="s">
        <v>140</v>
      </c>
      <c r="IV13" s="44" t="s">
        <v>140</v>
      </c>
      <c r="IW13" s="44" t="s">
        <v>140</v>
      </c>
      <c r="IX13" s="44" t="s">
        <v>140</v>
      </c>
      <c r="IY13" s="44" t="s">
        <v>140</v>
      </c>
      <c r="IZ13" s="45"/>
      <c r="JA13" s="54">
        <v>0.8040003053029009</v>
      </c>
      <c r="JB13" s="54">
        <v>0.83776982392920119</v>
      </c>
      <c r="JC13" s="54">
        <v>0.94936291123763983</v>
      </c>
      <c r="JD13" s="54">
        <v>1</v>
      </c>
      <c r="JE13" s="44" t="s">
        <v>140</v>
      </c>
      <c r="JF13" s="54">
        <v>0.89114000930218851</v>
      </c>
      <c r="JG13" s="54">
        <v>1</v>
      </c>
      <c r="JH13" s="54">
        <v>0.80912252247797356</v>
      </c>
      <c r="JI13" s="54">
        <v>1</v>
      </c>
      <c r="JJ13" s="54">
        <v>0.8876292795180194</v>
      </c>
      <c r="JK13" s="44" t="s">
        <v>140</v>
      </c>
      <c r="JL13" s="44" t="s">
        <v>140</v>
      </c>
      <c r="JM13" s="54">
        <v>1</v>
      </c>
      <c r="JN13" s="44" t="s">
        <v>140</v>
      </c>
      <c r="JO13" s="44" t="s">
        <v>140</v>
      </c>
      <c r="JP13" s="44" t="s">
        <v>140</v>
      </c>
      <c r="JQ13" s="54"/>
      <c r="JR13" s="54"/>
      <c r="JS13" s="45"/>
      <c r="JT13" s="57">
        <v>72</v>
      </c>
      <c r="JU13" s="58">
        <v>696.77795240842693</v>
      </c>
      <c r="JV13" s="59">
        <v>2043.6221976999364</v>
      </c>
      <c r="JW13" s="59">
        <v>528.43010012763955</v>
      </c>
      <c r="JX13" s="59">
        <v>3203.9039999999995</v>
      </c>
      <c r="JY13" s="44" t="s">
        <v>140</v>
      </c>
      <c r="JZ13" s="60">
        <v>221.85108759579842</v>
      </c>
      <c r="KA13" s="59">
        <v>280.27999999999997</v>
      </c>
      <c r="KB13" s="59">
        <v>329.21104667030664</v>
      </c>
      <c r="KC13" s="59">
        <v>4994.6265600000006</v>
      </c>
      <c r="KD13" s="59">
        <v>237.79055820720029</v>
      </c>
      <c r="KE13" s="44" t="s">
        <v>140</v>
      </c>
      <c r="KF13" s="44" t="s">
        <v>140</v>
      </c>
      <c r="KG13" s="61">
        <v>316.8</v>
      </c>
      <c r="KH13" s="44" t="s">
        <v>140</v>
      </c>
      <c r="KI13" s="44" t="s">
        <v>140</v>
      </c>
      <c r="KJ13" s="44" t="s">
        <v>140</v>
      </c>
      <c r="KK13" s="59">
        <v>380</v>
      </c>
      <c r="KL13" s="59">
        <v>220</v>
      </c>
      <c r="KM13" s="62">
        <v>13453.293502709306</v>
      </c>
      <c r="KN13" s="45"/>
      <c r="KO13" s="59">
        <v>1289.03921195559</v>
      </c>
      <c r="KP13" s="59">
        <v>3780.7010657448832</v>
      </c>
      <c r="KQ13" s="59">
        <v>977.59568523613325</v>
      </c>
      <c r="KR13" s="59">
        <v>5927.2223999999997</v>
      </c>
      <c r="KS13" s="44" t="s">
        <v>140</v>
      </c>
      <c r="KT13" s="59">
        <v>410.4245120522271</v>
      </c>
      <c r="KU13" s="59">
        <v>518.51800000000003</v>
      </c>
      <c r="KV13" s="59">
        <v>609.04043634006734</v>
      </c>
      <c r="KW13" s="59">
        <v>9240.0591360000017</v>
      </c>
      <c r="KX13" s="59">
        <v>439.91253268332059</v>
      </c>
      <c r="KY13" s="44" t="s">
        <v>140</v>
      </c>
      <c r="KZ13" s="44" t="s">
        <v>140</v>
      </c>
      <c r="LA13" s="61">
        <v>586.08000000000004</v>
      </c>
      <c r="LB13" s="44" t="s">
        <v>140</v>
      </c>
      <c r="LC13" s="44" t="s">
        <v>140</v>
      </c>
      <c r="LD13" s="44" t="s">
        <v>140</v>
      </c>
      <c r="LE13" s="59">
        <v>703</v>
      </c>
      <c r="LF13" s="59">
        <v>407.00000000000006</v>
      </c>
      <c r="LG13" s="63">
        <v>24888.592980012218</v>
      </c>
      <c r="LH13" s="45"/>
      <c r="LI13" s="64">
        <v>0</v>
      </c>
      <c r="LJ13" s="65">
        <v>1</v>
      </c>
      <c r="LK13" s="66">
        <v>1</v>
      </c>
      <c r="LL13" s="45"/>
      <c r="LM13" s="59">
        <v>1289.03921195559</v>
      </c>
      <c r="LN13" s="59">
        <v>3780.7010657448832</v>
      </c>
      <c r="LO13" s="59">
        <v>977.59568523613325</v>
      </c>
      <c r="LP13" s="59">
        <v>5927.2223999999997</v>
      </c>
      <c r="LQ13" s="44" t="s">
        <v>140</v>
      </c>
      <c r="LR13" s="59">
        <v>410.4245120522271</v>
      </c>
      <c r="LS13" s="59">
        <v>518.51800000000003</v>
      </c>
      <c r="LT13" s="59">
        <v>609.04043634006734</v>
      </c>
      <c r="LU13" s="59">
        <v>9240.0591360000017</v>
      </c>
      <c r="LV13" s="59">
        <v>439.91253268332059</v>
      </c>
      <c r="LW13" s="44" t="s">
        <v>140</v>
      </c>
      <c r="LX13" s="44" t="s">
        <v>140</v>
      </c>
      <c r="LY13" s="59">
        <v>586.08000000000004</v>
      </c>
      <c r="LZ13" s="44" t="s">
        <v>140</v>
      </c>
      <c r="MA13" s="44" t="s">
        <v>140</v>
      </c>
      <c r="MB13" s="44" t="s">
        <v>140</v>
      </c>
      <c r="MC13" s="59">
        <v>703</v>
      </c>
      <c r="MD13" s="59">
        <v>407.00000000000006</v>
      </c>
      <c r="ME13" s="59">
        <v>24888.592980012218</v>
      </c>
      <c r="MF13" s="45"/>
      <c r="MG13" s="53">
        <v>0</v>
      </c>
      <c r="MH13" s="53">
        <v>1</v>
      </c>
      <c r="MI13" s="45"/>
      <c r="MJ13" s="55">
        <v>1</v>
      </c>
      <c r="MK13" s="55">
        <v>1</v>
      </c>
      <c r="ML13" s="55">
        <v>1</v>
      </c>
      <c r="MM13" s="55">
        <v>1</v>
      </c>
      <c r="MN13" s="44" t="s">
        <v>140</v>
      </c>
      <c r="MO13" s="44" t="s">
        <v>140</v>
      </c>
      <c r="MP13" s="55">
        <v>1</v>
      </c>
      <c r="MQ13" s="44" t="s">
        <v>140</v>
      </c>
      <c r="MR13" s="44" t="s">
        <v>140</v>
      </c>
      <c r="MS13" s="44" t="s">
        <v>140</v>
      </c>
      <c r="MT13" s="55">
        <v>1</v>
      </c>
      <c r="MU13" s="55">
        <v>1</v>
      </c>
      <c r="MV13" s="67">
        <v>7</v>
      </c>
      <c r="MW13" s="67">
        <v>0.95</v>
      </c>
      <c r="MX13" s="68">
        <v>0.95</v>
      </c>
      <c r="MY13" s="45"/>
      <c r="MZ13" s="59">
        <v>1224.5872513578104</v>
      </c>
      <c r="NA13" s="59">
        <v>3591.6660124576388</v>
      </c>
      <c r="NB13" s="59">
        <v>928.71590097432659</v>
      </c>
      <c r="NC13" s="59">
        <v>5630.8612799999992</v>
      </c>
      <c r="ND13" s="44" t="s">
        <v>140</v>
      </c>
      <c r="NE13" s="59">
        <v>389.90328644961573</v>
      </c>
      <c r="NF13" s="59">
        <v>492.59210000000002</v>
      </c>
      <c r="NG13" s="59">
        <v>578.58841452306399</v>
      </c>
      <c r="NH13" s="59">
        <v>8778.0561792000008</v>
      </c>
      <c r="NI13" s="59">
        <v>417.91690604915453</v>
      </c>
      <c r="NJ13" s="44" t="s">
        <v>140</v>
      </c>
      <c r="NK13" s="44" t="s">
        <v>140</v>
      </c>
      <c r="NL13" s="59">
        <v>556.77600000000007</v>
      </c>
      <c r="NM13" s="44" t="s">
        <v>140</v>
      </c>
      <c r="NN13" s="44" t="s">
        <v>140</v>
      </c>
      <c r="NO13" s="44" t="s">
        <v>140</v>
      </c>
      <c r="NP13" s="59">
        <v>667.85</v>
      </c>
      <c r="NQ13" s="59">
        <v>386.65000000000003</v>
      </c>
      <c r="NR13" s="69">
        <v>23644.163331011612</v>
      </c>
      <c r="NS13" s="45"/>
      <c r="NT13" s="110">
        <v>3</v>
      </c>
      <c r="NU13" s="111">
        <v>150</v>
      </c>
      <c r="NV13" s="112">
        <v>0</v>
      </c>
      <c r="NW13" s="113"/>
      <c r="NX13" s="113"/>
      <c r="NY13" s="114">
        <v>1224.5872513578104</v>
      </c>
      <c r="NZ13" s="114">
        <v>3591.6660124576388</v>
      </c>
      <c r="OA13" s="114">
        <v>928.71590097432659</v>
      </c>
      <c r="OB13" s="114">
        <v>5630.8612799999992</v>
      </c>
      <c r="OC13" s="114" t="s">
        <v>140</v>
      </c>
      <c r="OD13" s="114">
        <v>389.90328644961573</v>
      </c>
      <c r="OE13" s="114">
        <v>492.59210000000002</v>
      </c>
      <c r="OF13" s="114">
        <v>578.58841452306399</v>
      </c>
      <c r="OG13" s="114">
        <v>8778.0561792000008</v>
      </c>
      <c r="OH13" s="114">
        <v>417.91690604915453</v>
      </c>
      <c r="OI13" s="114" t="s">
        <v>140</v>
      </c>
      <c r="OJ13" s="114" t="s">
        <v>140</v>
      </c>
      <c r="OK13" s="114">
        <v>556.77600000000007</v>
      </c>
      <c r="OL13" s="114" t="s">
        <v>140</v>
      </c>
      <c r="OM13" s="114" t="s">
        <v>140</v>
      </c>
      <c r="ON13" s="114" t="s">
        <v>140</v>
      </c>
      <c r="OO13" s="114">
        <v>667.85</v>
      </c>
      <c r="OP13" s="114">
        <v>386.65000000000003</v>
      </c>
      <c r="OQ13" s="114">
        <v>23644.163331011612</v>
      </c>
      <c r="OR13" s="113"/>
      <c r="OS13" s="70">
        <v>1244.4296490006054</v>
      </c>
      <c r="OT13" s="45"/>
      <c r="OU13" s="70">
        <v>60</v>
      </c>
      <c r="OV13" s="70">
        <v>1749.3672538286571</v>
      </c>
      <c r="OW13" s="45"/>
      <c r="OX13" s="71">
        <v>25453.530584840268</v>
      </c>
    </row>
    <row r="14" spans="1:414" ht="14.25" thickBot="1" x14ac:dyDescent="0.3">
      <c r="A14" s="141"/>
      <c r="B14" s="2">
        <v>9</v>
      </c>
      <c r="C14" s="115">
        <v>41071</v>
      </c>
      <c r="D14" s="72">
        <v>5</v>
      </c>
      <c r="E14" s="73">
        <v>0.18</v>
      </c>
      <c r="F14" s="73">
        <v>0</v>
      </c>
      <c r="G14" s="73" t="s">
        <v>154</v>
      </c>
      <c r="H14" s="73" t="s">
        <v>132</v>
      </c>
      <c r="I14" s="74">
        <v>1</v>
      </c>
      <c r="J14" s="75">
        <v>62106</v>
      </c>
      <c r="K14" s="73" t="s">
        <v>151</v>
      </c>
      <c r="L14" s="73" t="s">
        <v>137</v>
      </c>
      <c r="M14" s="74">
        <v>650</v>
      </c>
      <c r="N14" s="73" t="s">
        <v>150</v>
      </c>
      <c r="O14" s="73" t="s">
        <v>149</v>
      </c>
      <c r="P14" s="11">
        <v>0</v>
      </c>
      <c r="Q14" s="73" t="s">
        <v>135</v>
      </c>
      <c r="R14" s="44" t="s">
        <v>140</v>
      </c>
      <c r="S14" s="11">
        <v>0</v>
      </c>
      <c r="T14" s="44" t="s">
        <v>140</v>
      </c>
      <c r="U14" s="73" t="s">
        <v>135</v>
      </c>
      <c r="V14" s="44" t="s">
        <v>140</v>
      </c>
      <c r="W14" s="76" t="s">
        <v>146</v>
      </c>
      <c r="X14" s="76" t="s">
        <v>146</v>
      </c>
      <c r="Z14" s="108">
        <v>1900000</v>
      </c>
      <c r="AA14" s="109">
        <v>1368000</v>
      </c>
      <c r="AB14" s="45"/>
      <c r="AC14" s="46">
        <v>3268000</v>
      </c>
      <c r="AD14" s="47">
        <v>369360</v>
      </c>
      <c r="AE14" s="47">
        <v>547200</v>
      </c>
      <c r="AF14" s="47">
        <v>588240</v>
      </c>
      <c r="AG14" s="44" t="s">
        <v>140</v>
      </c>
      <c r="AH14" s="47">
        <v>947719.99999999988</v>
      </c>
      <c r="AI14" s="47">
        <v>817000</v>
      </c>
      <c r="AJ14" s="47">
        <v>1143800</v>
      </c>
      <c r="AK14" s="47">
        <v>1274520</v>
      </c>
      <c r="AL14" s="47">
        <v>1143800</v>
      </c>
      <c r="AM14" s="48"/>
      <c r="AN14" s="48"/>
      <c r="AO14" s="47">
        <v>418000</v>
      </c>
      <c r="AP14" s="44" t="s">
        <v>140</v>
      </c>
      <c r="AQ14" s="44" t="s">
        <v>140</v>
      </c>
      <c r="AR14" s="44" t="s">
        <v>140</v>
      </c>
      <c r="AS14" s="44" t="s">
        <v>140</v>
      </c>
      <c r="AT14" s="44" t="s">
        <v>140</v>
      </c>
      <c r="AU14" s="44" t="s">
        <v>140</v>
      </c>
      <c r="AV14" s="44" t="s">
        <v>140</v>
      </c>
      <c r="AW14" s="47">
        <v>8000</v>
      </c>
      <c r="AX14" s="47">
        <v>5000</v>
      </c>
      <c r="AY14" s="45"/>
      <c r="AZ14" s="49">
        <v>8.5400000000000002E-5</v>
      </c>
      <c r="BA14" s="49">
        <v>1.4E-3</v>
      </c>
      <c r="BB14" s="49">
        <v>1.5E-3</v>
      </c>
      <c r="BC14" s="49">
        <v>2.3999999999999998E-3</v>
      </c>
      <c r="BD14" s="44" t="s">
        <v>140</v>
      </c>
      <c r="BE14" s="49">
        <v>2.9999999999999997E-4</v>
      </c>
      <c r="BF14" s="49">
        <v>2.5999999999999998E-4</v>
      </c>
      <c r="BG14" s="49">
        <v>5.3700000000000004E-4</v>
      </c>
      <c r="BH14" s="49">
        <v>3.2960000000000003E-3</v>
      </c>
      <c r="BI14" s="49">
        <v>3.3E-4</v>
      </c>
      <c r="BJ14" s="44" t="s">
        <v>140</v>
      </c>
      <c r="BK14" s="44" t="s">
        <v>140</v>
      </c>
      <c r="BL14" s="49">
        <v>1.5000000000000001E-4</v>
      </c>
      <c r="BM14" s="44" t="s">
        <v>140</v>
      </c>
      <c r="BN14" s="44" t="s">
        <v>140</v>
      </c>
      <c r="BO14" s="44" t="s">
        <v>140</v>
      </c>
      <c r="BP14" s="49">
        <v>0.02</v>
      </c>
      <c r="BQ14" s="50">
        <v>0.02</v>
      </c>
      <c r="BR14" s="45"/>
      <c r="BS14" s="51">
        <v>1.18</v>
      </c>
      <c r="BT14" s="51">
        <v>1.05</v>
      </c>
      <c r="BU14" s="51">
        <v>1.3</v>
      </c>
      <c r="BV14" s="52">
        <v>1</v>
      </c>
      <c r="BW14" s="44" t="s">
        <v>140</v>
      </c>
      <c r="BX14" s="52">
        <v>1.4</v>
      </c>
      <c r="BY14" s="52">
        <v>1</v>
      </c>
      <c r="BZ14" s="52">
        <v>1.25</v>
      </c>
      <c r="CA14" s="52">
        <v>0.99583862943716728</v>
      </c>
      <c r="CB14" s="51">
        <v>1.05</v>
      </c>
      <c r="CC14" s="44" t="s">
        <v>140</v>
      </c>
      <c r="CD14" s="44" t="s">
        <v>140</v>
      </c>
      <c r="CE14" s="51">
        <v>1.0423721177664895</v>
      </c>
      <c r="CF14" s="44" t="s">
        <v>140</v>
      </c>
      <c r="CG14" s="44" t="s">
        <v>140</v>
      </c>
      <c r="CH14" s="44" t="s">
        <v>140</v>
      </c>
      <c r="CI14" s="51">
        <v>1</v>
      </c>
      <c r="CJ14" s="51">
        <v>1</v>
      </c>
      <c r="CK14" s="45"/>
      <c r="CL14" s="51">
        <v>1</v>
      </c>
      <c r="CM14" s="51">
        <v>1</v>
      </c>
      <c r="CN14" s="51">
        <v>1</v>
      </c>
      <c r="CO14" s="52"/>
      <c r="CP14" s="44" t="s">
        <v>140</v>
      </c>
      <c r="CQ14" s="52"/>
      <c r="CR14" s="52"/>
      <c r="CS14" s="52"/>
      <c r="CT14" s="52"/>
      <c r="CU14" s="51">
        <v>1</v>
      </c>
      <c r="CV14" s="44" t="s">
        <v>140</v>
      </c>
      <c r="CW14" s="44" t="s">
        <v>140</v>
      </c>
      <c r="CX14" s="51">
        <v>1</v>
      </c>
      <c r="CY14" s="44" t="s">
        <v>140</v>
      </c>
      <c r="CZ14" s="44" t="s">
        <v>140</v>
      </c>
      <c r="DA14" s="44" t="s">
        <v>140</v>
      </c>
      <c r="DB14" s="52"/>
      <c r="DC14" s="53"/>
      <c r="DD14" s="45"/>
      <c r="DE14" s="54">
        <v>1.3</v>
      </c>
      <c r="DF14" s="54">
        <v>2.5</v>
      </c>
      <c r="DG14" s="54">
        <v>2.5</v>
      </c>
      <c r="DH14" s="54">
        <v>1</v>
      </c>
      <c r="DI14" s="44" t="s">
        <v>140</v>
      </c>
      <c r="DJ14" s="54">
        <v>1</v>
      </c>
      <c r="DK14" s="55"/>
      <c r="DL14" s="54">
        <v>1</v>
      </c>
      <c r="DM14" s="55"/>
      <c r="DN14" s="54">
        <v>1</v>
      </c>
      <c r="DO14" s="44" t="s">
        <v>140</v>
      </c>
      <c r="DP14" s="44" t="s">
        <v>140</v>
      </c>
      <c r="DQ14" s="54">
        <v>2</v>
      </c>
      <c r="DR14" s="44" t="s">
        <v>140</v>
      </c>
      <c r="DS14" s="44" t="s">
        <v>140</v>
      </c>
      <c r="DT14" s="44" t="s">
        <v>140</v>
      </c>
      <c r="DU14" s="55"/>
      <c r="DV14" s="56"/>
      <c r="DW14" s="45"/>
      <c r="DX14" s="54">
        <v>1.5</v>
      </c>
      <c r="DY14" s="54">
        <v>2</v>
      </c>
      <c r="DZ14" s="54">
        <v>2.5</v>
      </c>
      <c r="EA14" s="55"/>
      <c r="EB14" s="44" t="s">
        <v>140</v>
      </c>
      <c r="EC14" s="55"/>
      <c r="ED14" s="55"/>
      <c r="EE14" s="55"/>
      <c r="EF14" s="55"/>
      <c r="EG14" s="54">
        <v>1.5</v>
      </c>
      <c r="EH14" s="44" t="s">
        <v>140</v>
      </c>
      <c r="EI14" s="44" t="s">
        <v>140</v>
      </c>
      <c r="EJ14" s="54">
        <v>1.5</v>
      </c>
      <c r="EK14" s="44" t="s">
        <v>140</v>
      </c>
      <c r="EL14" s="44" t="s">
        <v>140</v>
      </c>
      <c r="EM14" s="44" t="s">
        <v>140</v>
      </c>
      <c r="EN14" s="55"/>
      <c r="EO14" s="55"/>
      <c r="EP14" s="45"/>
      <c r="EQ14" s="54">
        <v>1</v>
      </c>
      <c r="ER14" s="54">
        <v>1</v>
      </c>
      <c r="ES14" s="54">
        <v>1</v>
      </c>
      <c r="ET14" s="55"/>
      <c r="EU14" s="44" t="s">
        <v>140</v>
      </c>
      <c r="EV14" s="55"/>
      <c r="EW14" s="55"/>
      <c r="EX14" s="55"/>
      <c r="EY14" s="55"/>
      <c r="EZ14" s="54">
        <v>1</v>
      </c>
      <c r="FA14" s="44" t="s">
        <v>140</v>
      </c>
      <c r="FB14" s="44" t="s">
        <v>140</v>
      </c>
      <c r="FC14" s="54">
        <v>1</v>
      </c>
      <c r="FD14" s="44" t="s">
        <v>140</v>
      </c>
      <c r="FE14" s="44" t="s">
        <v>140</v>
      </c>
      <c r="FF14" s="44" t="s">
        <v>140</v>
      </c>
      <c r="FG14" s="55"/>
      <c r="FH14" s="55"/>
      <c r="FI14" s="45"/>
      <c r="FJ14" s="54">
        <v>1</v>
      </c>
      <c r="FK14" s="54">
        <v>1</v>
      </c>
      <c r="FL14" s="54">
        <v>1</v>
      </c>
      <c r="FM14" s="55"/>
      <c r="FN14" s="44" t="s">
        <v>140</v>
      </c>
      <c r="FO14" s="55"/>
      <c r="FP14" s="55"/>
      <c r="FQ14" s="55"/>
      <c r="FR14" s="55"/>
      <c r="FS14" s="54">
        <v>1</v>
      </c>
      <c r="FT14" s="44" t="s">
        <v>140</v>
      </c>
      <c r="FU14" s="44" t="s">
        <v>140</v>
      </c>
      <c r="FV14" s="54">
        <v>1</v>
      </c>
      <c r="FW14" s="44" t="s">
        <v>140</v>
      </c>
      <c r="FX14" s="44" t="s">
        <v>140</v>
      </c>
      <c r="FY14" s="44" t="s">
        <v>140</v>
      </c>
      <c r="FZ14" s="55"/>
      <c r="GA14" s="55"/>
      <c r="GB14" s="45"/>
      <c r="GC14" s="54">
        <v>0.9</v>
      </c>
      <c r="GD14" s="54">
        <v>1</v>
      </c>
      <c r="GE14" s="54">
        <v>1</v>
      </c>
      <c r="GF14" s="55"/>
      <c r="GG14" s="44" t="s">
        <v>140</v>
      </c>
      <c r="GH14" s="55"/>
      <c r="GI14" s="55"/>
      <c r="GJ14" s="55"/>
      <c r="GK14" s="55"/>
      <c r="GL14" s="54">
        <v>1</v>
      </c>
      <c r="GM14" s="44" t="s">
        <v>140</v>
      </c>
      <c r="GN14" s="44" t="s">
        <v>140</v>
      </c>
      <c r="GO14" s="54">
        <v>1</v>
      </c>
      <c r="GP14" s="44" t="s">
        <v>140</v>
      </c>
      <c r="GQ14" s="44" t="s">
        <v>140</v>
      </c>
      <c r="GR14" s="44" t="s">
        <v>140</v>
      </c>
      <c r="GS14" s="55"/>
      <c r="GT14" s="55"/>
      <c r="GU14" s="45"/>
      <c r="GV14" s="54">
        <v>1</v>
      </c>
      <c r="GW14" s="54">
        <v>1</v>
      </c>
      <c r="GX14" s="54">
        <v>1</v>
      </c>
      <c r="GY14" s="55"/>
      <c r="GZ14" s="54"/>
      <c r="HA14" s="55"/>
      <c r="HB14" s="55"/>
      <c r="HC14" s="55"/>
      <c r="HD14" s="55"/>
      <c r="HE14" s="54">
        <v>1</v>
      </c>
      <c r="HF14" s="44" t="s">
        <v>140</v>
      </c>
      <c r="HG14" s="44" t="s">
        <v>140</v>
      </c>
      <c r="HH14" s="54">
        <v>1</v>
      </c>
      <c r="HI14" s="44" t="s">
        <v>140</v>
      </c>
      <c r="HJ14" s="44" t="s">
        <v>140</v>
      </c>
      <c r="HK14" s="44" t="s">
        <v>140</v>
      </c>
      <c r="HL14" s="55"/>
      <c r="HM14" s="55"/>
      <c r="HN14" s="45"/>
      <c r="HO14" s="54">
        <v>1</v>
      </c>
      <c r="HP14" s="54">
        <v>1</v>
      </c>
      <c r="HQ14" s="54">
        <v>1</v>
      </c>
      <c r="HR14" s="55"/>
      <c r="HS14" s="54"/>
      <c r="HT14" s="55"/>
      <c r="HU14" s="55"/>
      <c r="HV14" s="55"/>
      <c r="HW14" s="55"/>
      <c r="HX14" s="54">
        <v>1</v>
      </c>
      <c r="HY14" s="44" t="s">
        <v>140</v>
      </c>
      <c r="HZ14" s="44" t="s">
        <v>140</v>
      </c>
      <c r="IA14" s="54">
        <v>1</v>
      </c>
      <c r="IB14" s="44" t="s">
        <v>140</v>
      </c>
      <c r="IC14" s="44" t="s">
        <v>140</v>
      </c>
      <c r="ID14" s="44" t="s">
        <v>140</v>
      </c>
      <c r="IE14" s="55"/>
      <c r="IF14" s="55"/>
      <c r="IG14" s="45"/>
      <c r="IH14" s="51">
        <v>1</v>
      </c>
      <c r="II14" s="45"/>
      <c r="IJ14" s="44" t="s">
        <v>140</v>
      </c>
      <c r="IK14" s="45"/>
      <c r="IL14" s="51">
        <v>1</v>
      </c>
      <c r="IM14" s="45"/>
      <c r="IN14" s="44" t="s">
        <v>140</v>
      </c>
      <c r="IO14" s="45"/>
      <c r="IP14" s="52">
        <v>1</v>
      </c>
      <c r="IQ14" s="45"/>
      <c r="IR14" s="55">
        <v>0.95</v>
      </c>
      <c r="IS14" s="45"/>
      <c r="IT14" s="44" t="s">
        <v>140</v>
      </c>
      <c r="IU14" s="44" t="s">
        <v>140</v>
      </c>
      <c r="IV14" s="44" t="s">
        <v>140</v>
      </c>
      <c r="IW14" s="44" t="s">
        <v>140</v>
      </c>
      <c r="IX14" s="44" t="s">
        <v>140</v>
      </c>
      <c r="IY14" s="44" t="s">
        <v>140</v>
      </c>
      <c r="IZ14" s="45"/>
      <c r="JA14" s="54">
        <v>0.81159570368621647</v>
      </c>
      <c r="JB14" s="54">
        <v>0.86955272298439545</v>
      </c>
      <c r="JC14" s="54">
        <v>0.8953393184367755</v>
      </c>
      <c r="JD14" s="54">
        <v>1</v>
      </c>
      <c r="JE14" s="44" t="s">
        <v>140</v>
      </c>
      <c r="JF14" s="54">
        <v>0.88608240147054507</v>
      </c>
      <c r="JG14" s="54">
        <v>1</v>
      </c>
      <c r="JH14" s="54">
        <v>0.7838658449669158</v>
      </c>
      <c r="JI14" s="54">
        <v>1</v>
      </c>
      <c r="JJ14" s="54">
        <v>0.85439168280111966</v>
      </c>
      <c r="JK14" s="44" t="s">
        <v>140</v>
      </c>
      <c r="JL14" s="44" t="s">
        <v>140</v>
      </c>
      <c r="JM14" s="54">
        <v>1</v>
      </c>
      <c r="JN14" s="44" t="s">
        <v>140</v>
      </c>
      <c r="JO14" s="44" t="s">
        <v>140</v>
      </c>
      <c r="JP14" s="44" t="s">
        <v>140</v>
      </c>
      <c r="JQ14" s="54"/>
      <c r="JR14" s="54"/>
      <c r="JS14" s="45"/>
      <c r="JT14" s="57">
        <v>72</v>
      </c>
      <c r="JU14" s="58">
        <v>541.07121839602519</v>
      </c>
      <c r="JV14" s="59">
        <v>2360.6582541471453</v>
      </c>
      <c r="JW14" s="59">
        <v>5672.4670189221133</v>
      </c>
      <c r="JX14" s="59">
        <v>1411.7759999999998</v>
      </c>
      <c r="JY14" s="44" t="s">
        <v>140</v>
      </c>
      <c r="JZ14" s="60">
        <v>352.6983656790992</v>
      </c>
      <c r="KA14" s="59">
        <v>212.42</v>
      </c>
      <c r="KB14" s="59">
        <v>601.83318701885764</v>
      </c>
      <c r="KC14" s="59">
        <v>4183.3367599678922</v>
      </c>
      <c r="KD14" s="59">
        <v>507.92735422802178</v>
      </c>
      <c r="KE14" s="44" t="s">
        <v>140</v>
      </c>
      <c r="KF14" s="44" t="s">
        <v>140</v>
      </c>
      <c r="KG14" s="61">
        <v>196.07019535187669</v>
      </c>
      <c r="KH14" s="44" t="s">
        <v>140</v>
      </c>
      <c r="KI14" s="44" t="s">
        <v>140</v>
      </c>
      <c r="KJ14" s="44" t="s">
        <v>140</v>
      </c>
      <c r="KK14" s="59">
        <v>160</v>
      </c>
      <c r="KL14" s="59">
        <v>100</v>
      </c>
      <c r="KM14" s="62">
        <v>16300.258353711031</v>
      </c>
      <c r="KN14" s="45"/>
      <c r="KO14" s="59">
        <v>1154.9789469607463</v>
      </c>
      <c r="KP14" s="59">
        <v>5039.097427121791</v>
      </c>
      <c r="KQ14" s="59">
        <v>12108.535367314513</v>
      </c>
      <c r="KR14" s="59">
        <v>3013.598769230769</v>
      </c>
      <c r="KS14" s="44" t="s">
        <v>140</v>
      </c>
      <c r="KT14" s="59">
        <v>752.87535750730785</v>
      </c>
      <c r="KU14" s="59">
        <v>453.435</v>
      </c>
      <c r="KV14" s="59">
        <v>1284.6823799825615</v>
      </c>
      <c r="KW14" s="59">
        <v>8929.8150068545401</v>
      </c>
      <c r="KX14" s="59">
        <v>1084.2295446021235</v>
      </c>
      <c r="KY14" s="44" t="s">
        <v>140</v>
      </c>
      <c r="KZ14" s="44" t="s">
        <v>140</v>
      </c>
      <c r="LA14" s="61">
        <v>418.53445546265993</v>
      </c>
      <c r="LB14" s="44" t="s">
        <v>140</v>
      </c>
      <c r="LC14" s="44" t="s">
        <v>140</v>
      </c>
      <c r="LD14" s="44" t="s">
        <v>140</v>
      </c>
      <c r="LE14" s="59">
        <v>341.53846153846155</v>
      </c>
      <c r="LF14" s="59">
        <v>213.46153846153848</v>
      </c>
      <c r="LG14" s="63">
        <v>34794.782255037011</v>
      </c>
      <c r="LH14" s="45"/>
      <c r="LI14" s="64">
        <v>0</v>
      </c>
      <c r="LJ14" s="65">
        <v>1</v>
      </c>
      <c r="LK14" s="66">
        <v>1</v>
      </c>
      <c r="LL14" s="45"/>
      <c r="LM14" s="59">
        <v>1154.9789469607463</v>
      </c>
      <c r="LN14" s="59">
        <v>5039.097427121791</v>
      </c>
      <c r="LO14" s="59">
        <v>12108.535367314513</v>
      </c>
      <c r="LP14" s="59">
        <v>3013.598769230769</v>
      </c>
      <c r="LQ14" s="44" t="s">
        <v>140</v>
      </c>
      <c r="LR14" s="59">
        <v>752.87535750730785</v>
      </c>
      <c r="LS14" s="59">
        <v>453.435</v>
      </c>
      <c r="LT14" s="59">
        <v>1284.6823799825615</v>
      </c>
      <c r="LU14" s="59">
        <v>8929.8150068545401</v>
      </c>
      <c r="LV14" s="59">
        <v>1084.2295446021235</v>
      </c>
      <c r="LW14" s="44" t="s">
        <v>140</v>
      </c>
      <c r="LX14" s="44" t="s">
        <v>140</v>
      </c>
      <c r="LY14" s="59">
        <v>418.53445546265993</v>
      </c>
      <c r="LZ14" s="44" t="s">
        <v>140</v>
      </c>
      <c r="MA14" s="44" t="s">
        <v>140</v>
      </c>
      <c r="MB14" s="44" t="s">
        <v>140</v>
      </c>
      <c r="MC14" s="59">
        <v>341.53846153846155</v>
      </c>
      <c r="MD14" s="59">
        <v>213.46153846153848</v>
      </c>
      <c r="ME14" s="59">
        <v>34794.782255037011</v>
      </c>
      <c r="MF14" s="45"/>
      <c r="MG14" s="53">
        <v>0</v>
      </c>
      <c r="MH14" s="53">
        <v>1</v>
      </c>
      <c r="MI14" s="45"/>
      <c r="MJ14" s="55">
        <v>1</v>
      </c>
      <c r="MK14" s="55">
        <v>1</v>
      </c>
      <c r="ML14" s="55">
        <v>1</v>
      </c>
      <c r="MM14" s="55">
        <v>1</v>
      </c>
      <c r="MN14" s="44" t="s">
        <v>140</v>
      </c>
      <c r="MO14" s="44" t="s">
        <v>140</v>
      </c>
      <c r="MP14" s="55">
        <v>1</v>
      </c>
      <c r="MQ14" s="44" t="s">
        <v>140</v>
      </c>
      <c r="MR14" s="44" t="s">
        <v>140</v>
      </c>
      <c r="MS14" s="44" t="s">
        <v>140</v>
      </c>
      <c r="MT14" s="55">
        <v>1</v>
      </c>
      <c r="MU14" s="55">
        <v>1</v>
      </c>
      <c r="MV14" s="67">
        <v>7</v>
      </c>
      <c r="MW14" s="67">
        <v>0.95</v>
      </c>
      <c r="MX14" s="68">
        <v>0.95</v>
      </c>
      <c r="MY14" s="45"/>
      <c r="MZ14" s="59">
        <v>1097.229999612709</v>
      </c>
      <c r="NA14" s="59">
        <v>4787.1425557657012</v>
      </c>
      <c r="NB14" s="59">
        <v>11503.108598948787</v>
      </c>
      <c r="NC14" s="59">
        <v>2862.9188307692302</v>
      </c>
      <c r="ND14" s="44" t="s">
        <v>140</v>
      </c>
      <c r="NE14" s="59">
        <v>715.23158963194248</v>
      </c>
      <c r="NF14" s="59">
        <v>430.76324999999997</v>
      </c>
      <c r="NG14" s="59">
        <v>1220.4482609834333</v>
      </c>
      <c r="NH14" s="59">
        <v>8483.3242565118126</v>
      </c>
      <c r="NI14" s="59">
        <v>1030.0180673720172</v>
      </c>
      <c r="NJ14" s="44" t="s">
        <v>140</v>
      </c>
      <c r="NK14" s="44" t="s">
        <v>140</v>
      </c>
      <c r="NL14" s="59">
        <v>397.60773268952693</v>
      </c>
      <c r="NM14" s="44" t="s">
        <v>140</v>
      </c>
      <c r="NN14" s="44" t="s">
        <v>140</v>
      </c>
      <c r="NO14" s="44" t="s">
        <v>140</v>
      </c>
      <c r="NP14" s="59">
        <v>324.46153846153845</v>
      </c>
      <c r="NQ14" s="59">
        <v>202.78846153846155</v>
      </c>
      <c r="NR14" s="69">
        <v>33055.043142285162</v>
      </c>
      <c r="NS14" s="45"/>
      <c r="NT14" s="110">
        <v>7</v>
      </c>
      <c r="NU14" s="111">
        <v>150</v>
      </c>
      <c r="NV14" s="112">
        <v>0</v>
      </c>
      <c r="NW14" s="113"/>
      <c r="NX14" s="113"/>
      <c r="NY14" s="114">
        <v>1097.229999612709</v>
      </c>
      <c r="NZ14" s="114">
        <v>4787.1425557657012</v>
      </c>
      <c r="OA14" s="114">
        <v>11503.108598948787</v>
      </c>
      <c r="OB14" s="114">
        <v>2862.9188307692302</v>
      </c>
      <c r="OC14" s="114" t="s">
        <v>140</v>
      </c>
      <c r="OD14" s="114">
        <v>715.23158963194248</v>
      </c>
      <c r="OE14" s="114">
        <v>430.76324999999997</v>
      </c>
      <c r="OF14" s="114">
        <v>1220.4482609834333</v>
      </c>
      <c r="OG14" s="114">
        <v>8483.3242565118126</v>
      </c>
      <c r="OH14" s="114">
        <v>1030.0180673720172</v>
      </c>
      <c r="OI14" s="114" t="s">
        <v>140</v>
      </c>
      <c r="OJ14" s="114" t="s">
        <v>140</v>
      </c>
      <c r="OK14" s="114">
        <v>397.60773268952693</v>
      </c>
      <c r="OL14" s="114" t="s">
        <v>140</v>
      </c>
      <c r="OM14" s="114" t="s">
        <v>140</v>
      </c>
      <c r="ON14" s="114" t="s">
        <v>140</v>
      </c>
      <c r="OO14" s="114">
        <v>324.46153846153845</v>
      </c>
      <c r="OP14" s="114">
        <v>202.78846153846155</v>
      </c>
      <c r="OQ14" s="114">
        <v>33055.043142285162</v>
      </c>
      <c r="OR14" s="113"/>
      <c r="OS14" s="70">
        <v>1739.7391127518495</v>
      </c>
      <c r="OT14" s="45"/>
      <c r="OU14" s="70">
        <v>60</v>
      </c>
      <c r="OV14" s="70">
        <v>2443.8901839006453</v>
      </c>
      <c r="OW14" s="45"/>
      <c r="OX14" s="71">
        <v>35558.933326185805</v>
      </c>
    </row>
    <row r="15" spans="1:414" x14ac:dyDescent="0.25">
      <c r="C15" s="2"/>
    </row>
    <row r="16" spans="1:414" x14ac:dyDescent="0.25">
      <c r="C16" s="2"/>
    </row>
    <row r="17" spans="3:3" x14ac:dyDescent="0.25">
      <c r="C17" s="2"/>
    </row>
    <row r="18" spans="3:3" x14ac:dyDescent="0.25">
      <c r="C18" s="2"/>
    </row>
    <row r="19" spans="3:3" x14ac:dyDescent="0.25">
      <c r="C19" s="2"/>
    </row>
    <row r="20" spans="3:3" x14ac:dyDescent="0.25">
      <c r="C20" s="2"/>
    </row>
    <row r="21" spans="3:3" x14ac:dyDescent="0.25">
      <c r="C21" s="2"/>
    </row>
    <row r="22" spans="3:3" x14ac:dyDescent="0.25">
      <c r="C22" s="2"/>
    </row>
    <row r="23" spans="3:3" x14ac:dyDescent="0.25">
      <c r="C23" s="2"/>
    </row>
    <row r="24" spans="3:3" x14ac:dyDescent="0.25">
      <c r="C24" s="2"/>
    </row>
    <row r="25" spans="3:3" x14ac:dyDescent="0.25">
      <c r="C25" s="2"/>
    </row>
    <row r="26" spans="3:3" x14ac:dyDescent="0.25">
      <c r="C26" s="2"/>
    </row>
    <row r="27" spans="3:3" x14ac:dyDescent="0.25">
      <c r="C27" s="2"/>
    </row>
    <row r="28" spans="3:3" x14ac:dyDescent="0.25">
      <c r="C28" s="2"/>
    </row>
    <row r="29" spans="3:3" x14ac:dyDescent="0.25">
      <c r="C29" s="2"/>
    </row>
    <row r="30" spans="3:3" x14ac:dyDescent="0.25">
      <c r="C30" s="2"/>
    </row>
    <row r="31" spans="3:3" x14ac:dyDescent="0.25">
      <c r="C31" s="2"/>
    </row>
    <row r="32" spans="3:3" x14ac:dyDescent="0.25">
      <c r="C32" s="2"/>
    </row>
    <row r="33" spans="3:3" x14ac:dyDescent="0.25">
      <c r="C33" s="2"/>
    </row>
    <row r="34" spans="3:3" x14ac:dyDescent="0.25">
      <c r="C34" s="2"/>
    </row>
    <row r="35" spans="3:3" x14ac:dyDescent="0.25">
      <c r="C35" s="2"/>
    </row>
    <row r="36" spans="3:3" x14ac:dyDescent="0.25">
      <c r="C36" s="2"/>
    </row>
    <row r="37" spans="3:3" x14ac:dyDescent="0.25">
      <c r="C37" s="2"/>
    </row>
    <row r="38" spans="3:3" x14ac:dyDescent="0.25">
      <c r="C38" s="2"/>
    </row>
    <row r="39" spans="3:3" x14ac:dyDescent="0.25">
      <c r="C39" s="2"/>
    </row>
    <row r="40" spans="3:3" x14ac:dyDescent="0.25">
      <c r="C40" s="2"/>
    </row>
    <row r="41" spans="3:3" x14ac:dyDescent="0.25">
      <c r="C41" s="2"/>
    </row>
    <row r="42" spans="3:3" x14ac:dyDescent="0.25">
      <c r="C42" s="2"/>
    </row>
    <row r="43" spans="3:3" x14ac:dyDescent="0.25">
      <c r="C43" s="2"/>
    </row>
    <row r="44" spans="3:3" x14ac:dyDescent="0.25">
      <c r="C44" s="2"/>
    </row>
    <row r="45" spans="3:3" x14ac:dyDescent="0.25">
      <c r="C45" s="2"/>
    </row>
    <row r="46" spans="3:3" x14ac:dyDescent="0.25">
      <c r="C46" s="2"/>
    </row>
    <row r="47" spans="3:3" x14ac:dyDescent="0.25">
      <c r="C47" s="2"/>
    </row>
    <row r="48" spans="3:3" x14ac:dyDescent="0.25">
      <c r="C48" s="2"/>
    </row>
    <row r="49" spans="3:3" x14ac:dyDescent="0.25">
      <c r="C49" s="2"/>
    </row>
    <row r="50" spans="3:3" x14ac:dyDescent="0.25">
      <c r="C50" s="2"/>
    </row>
    <row r="51" spans="3:3" x14ac:dyDescent="0.25">
      <c r="C51" s="2"/>
    </row>
    <row r="52" spans="3:3" x14ac:dyDescent="0.25">
      <c r="C52" s="2"/>
    </row>
    <row r="53" spans="3:3" x14ac:dyDescent="0.25">
      <c r="C53" s="2"/>
    </row>
    <row r="54" spans="3:3" x14ac:dyDescent="0.25">
      <c r="C54" s="2"/>
    </row>
    <row r="55" spans="3:3" x14ac:dyDescent="0.25">
      <c r="C55" s="2"/>
    </row>
    <row r="56" spans="3:3" x14ac:dyDescent="0.25">
      <c r="C56" s="2"/>
    </row>
    <row r="57" spans="3:3" x14ac:dyDescent="0.25">
      <c r="C57" s="2"/>
    </row>
    <row r="58" spans="3:3" x14ac:dyDescent="0.25">
      <c r="C58" s="2"/>
    </row>
    <row r="59" spans="3:3" x14ac:dyDescent="0.25">
      <c r="C59" s="2"/>
    </row>
    <row r="60" spans="3:3" x14ac:dyDescent="0.25">
      <c r="C60" s="2"/>
    </row>
    <row r="61" spans="3:3" x14ac:dyDescent="0.25">
      <c r="C61" s="2"/>
    </row>
    <row r="62" spans="3:3" x14ac:dyDescent="0.25">
      <c r="C62" s="2"/>
    </row>
    <row r="63" spans="3:3" x14ac:dyDescent="0.25">
      <c r="C63" s="2"/>
    </row>
    <row r="64" spans="3:3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  <row r="71" spans="3:3" x14ac:dyDescent="0.25">
      <c r="C71" s="2"/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spans="3:3" x14ac:dyDescent="0.25">
      <c r="C75" s="2"/>
    </row>
    <row r="76" spans="3:3" x14ac:dyDescent="0.25">
      <c r="C76" s="2"/>
    </row>
    <row r="77" spans="3:3" x14ac:dyDescent="0.25">
      <c r="C77" s="2"/>
    </row>
    <row r="78" spans="3:3" x14ac:dyDescent="0.25">
      <c r="C78" s="2"/>
    </row>
    <row r="79" spans="3:3" x14ac:dyDescent="0.25">
      <c r="C79" s="2"/>
    </row>
    <row r="80" spans="3:3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1" spans="3:3" x14ac:dyDescent="0.25">
      <c r="C91" s="2"/>
    </row>
    <row r="92" spans="3:3" x14ac:dyDescent="0.25">
      <c r="C92" s="2"/>
    </row>
    <row r="93" spans="3:3" x14ac:dyDescent="0.25">
      <c r="C93" s="2"/>
    </row>
    <row r="94" spans="3:3" x14ac:dyDescent="0.25">
      <c r="C94" s="2"/>
    </row>
    <row r="95" spans="3:3" x14ac:dyDescent="0.25">
      <c r="C95" s="2"/>
    </row>
    <row r="96" spans="3:3" x14ac:dyDescent="0.25">
      <c r="C96" s="2"/>
    </row>
    <row r="97" spans="3:3" x14ac:dyDescent="0.25">
      <c r="C97" s="2"/>
    </row>
    <row r="98" spans="3:3" x14ac:dyDescent="0.25">
      <c r="C98" s="2"/>
    </row>
    <row r="99" spans="3:3" x14ac:dyDescent="0.25">
      <c r="C99" s="2"/>
    </row>
    <row r="100" spans="3:3" x14ac:dyDescent="0.25">
      <c r="C100" s="2"/>
    </row>
    <row r="101" spans="3:3" x14ac:dyDescent="0.25">
      <c r="C101" s="2"/>
    </row>
    <row r="102" spans="3:3" x14ac:dyDescent="0.25">
      <c r="C102" s="2"/>
    </row>
    <row r="103" spans="3:3" x14ac:dyDescent="0.25">
      <c r="C103" s="2"/>
    </row>
    <row r="104" spans="3:3" x14ac:dyDescent="0.25">
      <c r="C104" s="2"/>
    </row>
    <row r="105" spans="3:3" x14ac:dyDescent="0.25">
      <c r="C105" s="2"/>
    </row>
    <row r="106" spans="3:3" x14ac:dyDescent="0.25">
      <c r="C106" s="2"/>
    </row>
    <row r="107" spans="3:3" x14ac:dyDescent="0.25">
      <c r="C107" s="2"/>
    </row>
    <row r="108" spans="3:3" x14ac:dyDescent="0.25">
      <c r="C108" s="2"/>
    </row>
    <row r="109" spans="3:3" x14ac:dyDescent="0.25">
      <c r="C109" s="2"/>
    </row>
    <row r="110" spans="3:3" x14ac:dyDescent="0.25">
      <c r="C110" s="2"/>
    </row>
    <row r="111" spans="3:3" x14ac:dyDescent="0.25">
      <c r="C111" s="2"/>
    </row>
    <row r="112" spans="3:3" x14ac:dyDescent="0.25"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  <row r="121" spans="3:3" x14ac:dyDescent="0.25">
      <c r="C121" s="2"/>
    </row>
    <row r="122" spans="3:3" x14ac:dyDescent="0.25">
      <c r="C122" s="2"/>
    </row>
    <row r="123" spans="3:3" x14ac:dyDescent="0.25">
      <c r="C123" s="2"/>
    </row>
    <row r="124" spans="3:3" x14ac:dyDescent="0.25">
      <c r="C124" s="2"/>
    </row>
    <row r="125" spans="3:3" x14ac:dyDescent="0.25">
      <c r="C125" s="2"/>
    </row>
    <row r="126" spans="3:3" x14ac:dyDescent="0.25">
      <c r="C126" s="2"/>
    </row>
    <row r="127" spans="3:3" x14ac:dyDescent="0.25">
      <c r="C127" s="2"/>
    </row>
    <row r="128" spans="3:3" x14ac:dyDescent="0.25">
      <c r="C128" s="2"/>
    </row>
    <row r="129" spans="3:3" x14ac:dyDescent="0.25">
      <c r="C129" s="2"/>
    </row>
    <row r="130" spans="3:3" x14ac:dyDescent="0.25">
      <c r="C130" s="2"/>
    </row>
    <row r="131" spans="3:3" x14ac:dyDescent="0.25">
      <c r="C131" s="2"/>
    </row>
    <row r="132" spans="3:3" x14ac:dyDescent="0.25">
      <c r="C132" s="2"/>
    </row>
    <row r="133" spans="3:3" x14ac:dyDescent="0.25">
      <c r="C133" s="2"/>
    </row>
    <row r="134" spans="3:3" x14ac:dyDescent="0.25">
      <c r="C134" s="2"/>
    </row>
    <row r="135" spans="3:3" x14ac:dyDescent="0.25">
      <c r="C135" s="2"/>
    </row>
    <row r="136" spans="3:3" x14ac:dyDescent="0.25">
      <c r="C136" s="2"/>
    </row>
    <row r="137" spans="3:3" x14ac:dyDescent="0.25">
      <c r="C137" s="2"/>
    </row>
    <row r="138" spans="3:3" x14ac:dyDescent="0.25">
      <c r="C138" s="2"/>
    </row>
    <row r="139" spans="3:3" x14ac:dyDescent="0.25">
      <c r="C139" s="2"/>
    </row>
    <row r="140" spans="3:3" x14ac:dyDescent="0.25">
      <c r="C140" s="2"/>
    </row>
    <row r="141" spans="3:3" x14ac:dyDescent="0.25">
      <c r="C141" s="2"/>
    </row>
    <row r="142" spans="3:3" x14ac:dyDescent="0.25">
      <c r="C142" s="2"/>
    </row>
    <row r="143" spans="3:3" x14ac:dyDescent="0.25">
      <c r="C143" s="2"/>
    </row>
    <row r="144" spans="3:3" x14ac:dyDescent="0.25">
      <c r="C144" s="2"/>
    </row>
    <row r="145" spans="3:3" x14ac:dyDescent="0.25">
      <c r="C145" s="2"/>
    </row>
    <row r="146" spans="3:3" x14ac:dyDescent="0.25">
      <c r="C146" s="2"/>
    </row>
    <row r="147" spans="3:3" x14ac:dyDescent="0.25">
      <c r="C147" s="2"/>
    </row>
    <row r="148" spans="3:3" x14ac:dyDescent="0.25">
      <c r="C148" s="2"/>
    </row>
    <row r="149" spans="3:3" x14ac:dyDescent="0.25">
      <c r="C149" s="2"/>
    </row>
    <row r="150" spans="3:3" x14ac:dyDescent="0.25">
      <c r="C150" s="2"/>
    </row>
    <row r="151" spans="3:3" x14ac:dyDescent="0.25">
      <c r="C151" s="2"/>
    </row>
    <row r="152" spans="3:3" x14ac:dyDescent="0.25">
      <c r="C152" s="2"/>
    </row>
    <row r="153" spans="3:3" x14ac:dyDescent="0.25">
      <c r="C153" s="2"/>
    </row>
    <row r="154" spans="3:3" x14ac:dyDescent="0.25">
      <c r="C154" s="2"/>
    </row>
    <row r="155" spans="3:3" x14ac:dyDescent="0.25">
      <c r="C155" s="2"/>
    </row>
    <row r="156" spans="3:3" x14ac:dyDescent="0.25">
      <c r="C156" s="2"/>
    </row>
    <row r="157" spans="3:3" x14ac:dyDescent="0.25">
      <c r="C157" s="2"/>
    </row>
    <row r="158" spans="3:3" x14ac:dyDescent="0.25">
      <c r="C158" s="2"/>
    </row>
    <row r="159" spans="3:3" x14ac:dyDescent="0.25">
      <c r="C159" s="2"/>
    </row>
    <row r="160" spans="3:3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  <row r="176" spans="3:3" x14ac:dyDescent="0.25">
      <c r="C176" s="2"/>
    </row>
    <row r="177" spans="3:3" x14ac:dyDescent="0.25">
      <c r="C177" s="2"/>
    </row>
    <row r="178" spans="3:3" x14ac:dyDescent="0.25">
      <c r="C178" s="2"/>
    </row>
    <row r="179" spans="3:3" x14ac:dyDescent="0.25">
      <c r="C179" s="2"/>
    </row>
    <row r="180" spans="3:3" x14ac:dyDescent="0.25">
      <c r="C180" s="2"/>
    </row>
    <row r="181" spans="3:3" x14ac:dyDescent="0.25">
      <c r="C181" s="2"/>
    </row>
    <row r="182" spans="3:3" x14ac:dyDescent="0.25">
      <c r="C182" s="2"/>
    </row>
    <row r="183" spans="3:3" x14ac:dyDescent="0.25">
      <c r="C183" s="2"/>
    </row>
    <row r="184" spans="3:3" x14ac:dyDescent="0.25">
      <c r="C184" s="2"/>
    </row>
    <row r="185" spans="3:3" x14ac:dyDescent="0.25">
      <c r="C185" s="2"/>
    </row>
    <row r="186" spans="3:3" x14ac:dyDescent="0.25">
      <c r="C186" s="2"/>
    </row>
    <row r="187" spans="3:3" x14ac:dyDescent="0.25">
      <c r="C187" s="2"/>
    </row>
    <row r="188" spans="3:3" x14ac:dyDescent="0.25">
      <c r="C188" s="2"/>
    </row>
    <row r="189" spans="3:3" x14ac:dyDescent="0.25">
      <c r="C189" s="2"/>
    </row>
    <row r="190" spans="3:3" x14ac:dyDescent="0.25">
      <c r="C190" s="2"/>
    </row>
    <row r="191" spans="3:3" x14ac:dyDescent="0.25">
      <c r="C191" s="2"/>
    </row>
    <row r="192" spans="3:3" x14ac:dyDescent="0.25">
      <c r="C192" s="2"/>
    </row>
    <row r="193" spans="3:3" x14ac:dyDescent="0.25">
      <c r="C193" s="2"/>
    </row>
    <row r="194" spans="3:3" x14ac:dyDescent="0.25">
      <c r="C194" s="2"/>
    </row>
    <row r="195" spans="3:3" x14ac:dyDescent="0.25">
      <c r="C195" s="2"/>
    </row>
    <row r="196" spans="3:3" x14ac:dyDescent="0.25">
      <c r="C196" s="2"/>
    </row>
    <row r="197" spans="3:3" x14ac:dyDescent="0.25">
      <c r="C197" s="2"/>
    </row>
    <row r="198" spans="3:3" x14ac:dyDescent="0.25">
      <c r="C198" s="2"/>
    </row>
    <row r="199" spans="3:3" x14ac:dyDescent="0.25">
      <c r="C199" s="2"/>
    </row>
    <row r="200" spans="3:3" x14ac:dyDescent="0.25">
      <c r="C200" s="2"/>
    </row>
    <row r="201" spans="3:3" x14ac:dyDescent="0.25">
      <c r="C201" s="2"/>
    </row>
    <row r="202" spans="3:3" x14ac:dyDescent="0.25">
      <c r="C202" s="2"/>
    </row>
    <row r="203" spans="3:3" x14ac:dyDescent="0.25">
      <c r="C203" s="2"/>
    </row>
    <row r="204" spans="3:3" x14ac:dyDescent="0.25">
      <c r="C204" s="2"/>
    </row>
    <row r="205" spans="3:3" x14ac:dyDescent="0.25">
      <c r="C205" s="2"/>
    </row>
    <row r="206" spans="3:3" x14ac:dyDescent="0.25">
      <c r="C206" s="2"/>
    </row>
    <row r="207" spans="3:3" x14ac:dyDescent="0.25">
      <c r="C207" s="2"/>
    </row>
    <row r="208" spans="3:3" x14ac:dyDescent="0.25">
      <c r="C208" s="2"/>
    </row>
    <row r="209" spans="3:3" x14ac:dyDescent="0.25">
      <c r="C209" s="2"/>
    </row>
    <row r="210" spans="3:3" x14ac:dyDescent="0.25">
      <c r="C210" s="2"/>
    </row>
    <row r="211" spans="3:3" x14ac:dyDescent="0.25">
      <c r="C211" s="2"/>
    </row>
    <row r="212" spans="3:3" x14ac:dyDescent="0.25">
      <c r="C212" s="2"/>
    </row>
    <row r="213" spans="3:3" x14ac:dyDescent="0.25">
      <c r="C213" s="2"/>
    </row>
    <row r="214" spans="3:3" x14ac:dyDescent="0.25">
      <c r="C214" s="2"/>
    </row>
    <row r="215" spans="3:3" x14ac:dyDescent="0.25">
      <c r="C215" s="2"/>
    </row>
    <row r="216" spans="3:3" x14ac:dyDescent="0.25">
      <c r="C216" s="2"/>
    </row>
    <row r="217" spans="3:3" x14ac:dyDescent="0.25">
      <c r="C217" s="2"/>
    </row>
    <row r="218" spans="3:3" x14ac:dyDescent="0.25">
      <c r="C218" s="2"/>
    </row>
    <row r="219" spans="3:3" x14ac:dyDescent="0.25">
      <c r="C219" s="2"/>
    </row>
    <row r="220" spans="3:3" x14ac:dyDescent="0.25">
      <c r="C220" s="2"/>
    </row>
    <row r="221" spans="3:3" x14ac:dyDescent="0.25">
      <c r="C221" s="2"/>
    </row>
    <row r="222" spans="3:3" x14ac:dyDescent="0.25">
      <c r="C222" s="2"/>
    </row>
    <row r="223" spans="3:3" x14ac:dyDescent="0.25">
      <c r="C223" s="2"/>
    </row>
    <row r="224" spans="3:3" x14ac:dyDescent="0.25">
      <c r="C224" s="2"/>
    </row>
    <row r="225" spans="3:3" x14ac:dyDescent="0.25">
      <c r="C225" s="2"/>
    </row>
    <row r="226" spans="3:3" x14ac:dyDescent="0.25">
      <c r="C226" s="2"/>
    </row>
    <row r="227" spans="3:3" x14ac:dyDescent="0.25">
      <c r="C227" s="2"/>
    </row>
    <row r="228" spans="3:3" x14ac:dyDescent="0.25">
      <c r="C228" s="2"/>
    </row>
    <row r="229" spans="3:3" x14ac:dyDescent="0.25">
      <c r="C229" s="2"/>
    </row>
    <row r="230" spans="3:3" x14ac:dyDescent="0.25">
      <c r="C230" s="2"/>
    </row>
    <row r="231" spans="3:3" x14ac:dyDescent="0.25">
      <c r="C231" s="2"/>
    </row>
    <row r="232" spans="3:3" x14ac:dyDescent="0.25">
      <c r="C232" s="2"/>
    </row>
    <row r="233" spans="3:3" x14ac:dyDescent="0.25">
      <c r="C233" s="2"/>
    </row>
    <row r="234" spans="3:3" x14ac:dyDescent="0.25">
      <c r="C234" s="2"/>
    </row>
    <row r="235" spans="3:3" x14ac:dyDescent="0.25">
      <c r="C235" s="2"/>
    </row>
    <row r="236" spans="3:3" x14ac:dyDescent="0.25">
      <c r="C236" s="2"/>
    </row>
    <row r="237" spans="3:3" x14ac:dyDescent="0.25">
      <c r="C237" s="2"/>
    </row>
    <row r="238" spans="3:3" x14ac:dyDescent="0.25">
      <c r="C238" s="2"/>
    </row>
    <row r="239" spans="3:3" x14ac:dyDescent="0.25">
      <c r="C239" s="2"/>
    </row>
    <row r="240" spans="3:3" x14ac:dyDescent="0.25">
      <c r="C240" s="2"/>
    </row>
    <row r="241" spans="3:3" x14ac:dyDescent="0.25">
      <c r="C241" s="2"/>
    </row>
    <row r="242" spans="3:3" x14ac:dyDescent="0.25">
      <c r="C242" s="2"/>
    </row>
    <row r="243" spans="3:3" x14ac:dyDescent="0.25">
      <c r="C243" s="2"/>
    </row>
    <row r="244" spans="3:3" x14ac:dyDescent="0.25">
      <c r="C244" s="2"/>
    </row>
    <row r="245" spans="3:3" x14ac:dyDescent="0.25">
      <c r="C245" s="2"/>
    </row>
    <row r="246" spans="3:3" x14ac:dyDescent="0.25">
      <c r="C246" s="2"/>
    </row>
    <row r="247" spans="3:3" x14ac:dyDescent="0.25">
      <c r="C247" s="2"/>
    </row>
    <row r="248" spans="3:3" x14ac:dyDescent="0.25">
      <c r="C248" s="2"/>
    </row>
    <row r="249" spans="3:3" x14ac:dyDescent="0.25">
      <c r="C249" s="2"/>
    </row>
    <row r="250" spans="3:3" x14ac:dyDescent="0.25">
      <c r="C250" s="2"/>
    </row>
    <row r="251" spans="3:3" x14ac:dyDescent="0.25">
      <c r="C251" s="2"/>
    </row>
    <row r="252" spans="3:3" x14ac:dyDescent="0.25">
      <c r="C252" s="2"/>
    </row>
    <row r="253" spans="3:3" x14ac:dyDescent="0.25">
      <c r="C253" s="2"/>
    </row>
    <row r="254" spans="3:3" x14ac:dyDescent="0.25">
      <c r="C254" s="2"/>
    </row>
    <row r="255" spans="3:3" x14ac:dyDescent="0.25">
      <c r="C255" s="2"/>
    </row>
    <row r="256" spans="3:3" x14ac:dyDescent="0.25">
      <c r="C256" s="2"/>
    </row>
    <row r="257" spans="3:3" x14ac:dyDescent="0.25">
      <c r="C257" s="2"/>
    </row>
    <row r="258" spans="3:3" x14ac:dyDescent="0.25">
      <c r="C258" s="2"/>
    </row>
    <row r="259" spans="3:3" x14ac:dyDescent="0.25">
      <c r="C259" s="2"/>
    </row>
    <row r="260" spans="3:3" x14ac:dyDescent="0.25">
      <c r="C260" s="2"/>
    </row>
    <row r="261" spans="3:3" x14ac:dyDescent="0.25">
      <c r="C261" s="2"/>
    </row>
    <row r="262" spans="3:3" x14ac:dyDescent="0.25">
      <c r="C262" s="2"/>
    </row>
    <row r="263" spans="3:3" x14ac:dyDescent="0.25">
      <c r="C263" s="2"/>
    </row>
    <row r="264" spans="3:3" x14ac:dyDescent="0.25">
      <c r="C264" s="2"/>
    </row>
    <row r="265" spans="3:3" x14ac:dyDescent="0.25">
      <c r="C265" s="2"/>
    </row>
    <row r="266" spans="3:3" x14ac:dyDescent="0.25">
      <c r="C266" s="2"/>
    </row>
    <row r="267" spans="3:3" x14ac:dyDescent="0.25">
      <c r="C267" s="2"/>
    </row>
    <row r="268" spans="3:3" x14ac:dyDescent="0.25">
      <c r="C268" s="2"/>
    </row>
    <row r="269" spans="3:3" x14ac:dyDescent="0.25">
      <c r="C269" s="2"/>
    </row>
    <row r="270" spans="3:3" x14ac:dyDescent="0.25">
      <c r="C270" s="2"/>
    </row>
    <row r="271" spans="3:3" x14ac:dyDescent="0.25">
      <c r="C271" s="2"/>
    </row>
    <row r="272" spans="3:3" x14ac:dyDescent="0.25">
      <c r="C272" s="2"/>
    </row>
    <row r="273" spans="3:3" x14ac:dyDescent="0.25">
      <c r="C273" s="2"/>
    </row>
    <row r="274" spans="3:3" x14ac:dyDescent="0.25">
      <c r="C274" s="2"/>
    </row>
    <row r="275" spans="3:3" x14ac:dyDescent="0.25">
      <c r="C275" s="2"/>
    </row>
    <row r="276" spans="3:3" x14ac:dyDescent="0.25">
      <c r="C276" s="2"/>
    </row>
    <row r="277" spans="3:3" x14ac:dyDescent="0.25">
      <c r="C277" s="2"/>
    </row>
    <row r="278" spans="3:3" x14ac:dyDescent="0.25">
      <c r="C278" s="2"/>
    </row>
    <row r="279" spans="3:3" x14ac:dyDescent="0.25">
      <c r="C279" s="2"/>
    </row>
    <row r="280" spans="3:3" x14ac:dyDescent="0.25">
      <c r="C280" s="2"/>
    </row>
    <row r="281" spans="3:3" x14ac:dyDescent="0.25">
      <c r="C281" s="2"/>
    </row>
    <row r="282" spans="3:3" x14ac:dyDescent="0.25">
      <c r="C282" s="2"/>
    </row>
    <row r="283" spans="3:3" x14ac:dyDescent="0.25">
      <c r="C283" s="2"/>
    </row>
    <row r="284" spans="3:3" x14ac:dyDescent="0.25">
      <c r="C284" s="2"/>
    </row>
    <row r="285" spans="3:3" x14ac:dyDescent="0.25">
      <c r="C285" s="2"/>
    </row>
    <row r="286" spans="3:3" x14ac:dyDescent="0.25">
      <c r="C286" s="2"/>
    </row>
    <row r="287" spans="3:3" x14ac:dyDescent="0.25">
      <c r="C287" s="2"/>
    </row>
    <row r="288" spans="3:3" x14ac:dyDescent="0.25">
      <c r="C288" s="2"/>
    </row>
    <row r="289" spans="3:3" x14ac:dyDescent="0.25">
      <c r="C289" s="2"/>
    </row>
    <row r="290" spans="3:3" x14ac:dyDescent="0.25">
      <c r="C290" s="2"/>
    </row>
    <row r="291" spans="3:3" x14ac:dyDescent="0.25">
      <c r="C291" s="2"/>
    </row>
    <row r="292" spans="3:3" x14ac:dyDescent="0.25">
      <c r="C292" s="2"/>
    </row>
    <row r="293" spans="3:3" x14ac:dyDescent="0.25">
      <c r="C293" s="2"/>
    </row>
    <row r="294" spans="3:3" x14ac:dyDescent="0.25">
      <c r="C294" s="2"/>
    </row>
    <row r="295" spans="3:3" x14ac:dyDescent="0.25">
      <c r="C295" s="2"/>
    </row>
    <row r="296" spans="3:3" x14ac:dyDescent="0.25">
      <c r="C296" s="2"/>
    </row>
    <row r="297" spans="3:3" x14ac:dyDescent="0.25">
      <c r="C297" s="2"/>
    </row>
    <row r="298" spans="3:3" x14ac:dyDescent="0.25">
      <c r="C298" s="2"/>
    </row>
    <row r="299" spans="3:3" x14ac:dyDescent="0.25">
      <c r="C299" s="2"/>
    </row>
    <row r="300" spans="3:3" x14ac:dyDescent="0.25">
      <c r="C300" s="2"/>
    </row>
    <row r="301" spans="3:3" x14ac:dyDescent="0.25">
      <c r="C301" s="2"/>
    </row>
    <row r="302" spans="3:3" x14ac:dyDescent="0.25">
      <c r="C302" s="2"/>
    </row>
    <row r="303" spans="3:3" x14ac:dyDescent="0.25">
      <c r="C303" s="2"/>
    </row>
    <row r="304" spans="3:3" x14ac:dyDescent="0.25">
      <c r="C304" s="2"/>
    </row>
    <row r="305" spans="3:3" x14ac:dyDescent="0.25">
      <c r="C305" s="2"/>
    </row>
    <row r="306" spans="3:3" x14ac:dyDescent="0.25">
      <c r="C306" s="2"/>
    </row>
    <row r="307" spans="3:3" x14ac:dyDescent="0.25">
      <c r="C307" s="2"/>
    </row>
    <row r="308" spans="3:3" x14ac:dyDescent="0.25">
      <c r="C308" s="2"/>
    </row>
    <row r="309" spans="3:3" x14ac:dyDescent="0.25">
      <c r="C309" s="2"/>
    </row>
    <row r="310" spans="3:3" x14ac:dyDescent="0.25">
      <c r="C310" s="2"/>
    </row>
    <row r="311" spans="3:3" x14ac:dyDescent="0.25">
      <c r="C311" s="2"/>
    </row>
    <row r="312" spans="3:3" x14ac:dyDescent="0.25">
      <c r="C312" s="2"/>
    </row>
    <row r="313" spans="3:3" x14ac:dyDescent="0.25">
      <c r="C313" s="2"/>
    </row>
    <row r="314" spans="3:3" x14ac:dyDescent="0.25">
      <c r="C314" s="2"/>
    </row>
    <row r="315" spans="3:3" x14ac:dyDescent="0.25">
      <c r="C315" s="2"/>
    </row>
    <row r="316" spans="3:3" x14ac:dyDescent="0.25">
      <c r="C316" s="2"/>
    </row>
    <row r="317" spans="3:3" x14ac:dyDescent="0.25">
      <c r="C317" s="2"/>
    </row>
    <row r="318" spans="3:3" x14ac:dyDescent="0.25">
      <c r="C318" s="2"/>
    </row>
    <row r="319" spans="3:3" x14ac:dyDescent="0.25">
      <c r="C319" s="2"/>
    </row>
    <row r="320" spans="3:3" x14ac:dyDescent="0.25">
      <c r="C320" s="2"/>
    </row>
    <row r="321" spans="3:3" x14ac:dyDescent="0.25">
      <c r="C321" s="2"/>
    </row>
    <row r="322" spans="3:3" x14ac:dyDescent="0.25">
      <c r="C322" s="2"/>
    </row>
    <row r="323" spans="3:3" x14ac:dyDescent="0.25">
      <c r="C323" s="2"/>
    </row>
    <row r="324" spans="3:3" x14ac:dyDescent="0.25">
      <c r="C324" s="2"/>
    </row>
    <row r="325" spans="3:3" x14ac:dyDescent="0.25">
      <c r="C325" s="2"/>
    </row>
    <row r="326" spans="3:3" x14ac:dyDescent="0.25">
      <c r="C326" s="2"/>
    </row>
    <row r="327" spans="3:3" x14ac:dyDescent="0.25">
      <c r="C327" s="2"/>
    </row>
    <row r="328" spans="3:3" x14ac:dyDescent="0.25">
      <c r="C328" s="2"/>
    </row>
    <row r="329" spans="3:3" x14ac:dyDescent="0.25">
      <c r="C329" s="2"/>
    </row>
    <row r="330" spans="3:3" x14ac:dyDescent="0.25">
      <c r="C330" s="2"/>
    </row>
    <row r="331" spans="3:3" x14ac:dyDescent="0.25">
      <c r="C331" s="2"/>
    </row>
    <row r="332" spans="3:3" x14ac:dyDescent="0.25">
      <c r="C332" s="2"/>
    </row>
    <row r="333" spans="3:3" x14ac:dyDescent="0.25">
      <c r="C333" s="2"/>
    </row>
    <row r="334" spans="3:3" x14ac:dyDescent="0.25">
      <c r="C334" s="2"/>
    </row>
    <row r="335" spans="3:3" x14ac:dyDescent="0.25">
      <c r="C335" s="2"/>
    </row>
    <row r="336" spans="3:3" x14ac:dyDescent="0.25">
      <c r="C336" s="2"/>
    </row>
    <row r="337" spans="3:3" x14ac:dyDescent="0.25">
      <c r="C337" s="2"/>
    </row>
    <row r="338" spans="3:3" x14ac:dyDescent="0.25">
      <c r="C338" s="2"/>
    </row>
    <row r="339" spans="3:3" x14ac:dyDescent="0.25">
      <c r="C339" s="2"/>
    </row>
    <row r="340" spans="3:3" x14ac:dyDescent="0.25">
      <c r="C340" s="2"/>
    </row>
    <row r="341" spans="3:3" x14ac:dyDescent="0.25">
      <c r="C341" s="2"/>
    </row>
    <row r="342" spans="3:3" x14ac:dyDescent="0.25">
      <c r="C342" s="2"/>
    </row>
    <row r="343" spans="3:3" x14ac:dyDescent="0.25">
      <c r="C343" s="2"/>
    </row>
    <row r="344" spans="3:3" x14ac:dyDescent="0.25">
      <c r="C344" s="2"/>
    </row>
    <row r="345" spans="3:3" x14ac:dyDescent="0.25">
      <c r="C345" s="2"/>
    </row>
    <row r="346" spans="3:3" x14ac:dyDescent="0.25">
      <c r="C346" s="2"/>
    </row>
    <row r="347" spans="3:3" x14ac:dyDescent="0.25">
      <c r="C347" s="2"/>
    </row>
    <row r="348" spans="3:3" x14ac:dyDescent="0.25">
      <c r="C348" s="2"/>
    </row>
    <row r="349" spans="3:3" x14ac:dyDescent="0.25">
      <c r="C349" s="2"/>
    </row>
    <row r="350" spans="3:3" x14ac:dyDescent="0.25">
      <c r="C350" s="2"/>
    </row>
    <row r="351" spans="3:3" x14ac:dyDescent="0.25">
      <c r="C351" s="2"/>
    </row>
    <row r="352" spans="3:3" x14ac:dyDescent="0.25">
      <c r="C352" s="2"/>
    </row>
    <row r="353" spans="3:3" x14ac:dyDescent="0.25">
      <c r="C353" s="2"/>
    </row>
    <row r="354" spans="3:3" x14ac:dyDescent="0.25">
      <c r="C354" s="2"/>
    </row>
    <row r="355" spans="3:3" x14ac:dyDescent="0.25">
      <c r="C355" s="2"/>
    </row>
    <row r="356" spans="3:3" x14ac:dyDescent="0.25">
      <c r="C356" s="2"/>
    </row>
    <row r="357" spans="3:3" x14ac:dyDescent="0.25">
      <c r="C357" s="2"/>
    </row>
    <row r="358" spans="3:3" x14ac:dyDescent="0.25">
      <c r="C358" s="2"/>
    </row>
    <row r="359" spans="3:3" x14ac:dyDescent="0.25">
      <c r="C359" s="2"/>
    </row>
    <row r="360" spans="3:3" x14ac:dyDescent="0.25">
      <c r="C360" s="2"/>
    </row>
    <row r="361" spans="3:3" x14ac:dyDescent="0.25">
      <c r="C361" s="2"/>
    </row>
    <row r="362" spans="3:3" x14ac:dyDescent="0.25">
      <c r="C362" s="2"/>
    </row>
    <row r="363" spans="3:3" x14ac:dyDescent="0.25">
      <c r="C363" s="2"/>
    </row>
    <row r="364" spans="3:3" x14ac:dyDescent="0.25">
      <c r="C364" s="2"/>
    </row>
    <row r="365" spans="3:3" x14ac:dyDescent="0.25">
      <c r="C365" s="2"/>
    </row>
    <row r="366" spans="3:3" x14ac:dyDescent="0.25">
      <c r="C366" s="2"/>
    </row>
    <row r="367" spans="3:3" x14ac:dyDescent="0.25">
      <c r="C367" s="2"/>
    </row>
    <row r="368" spans="3:3" x14ac:dyDescent="0.25">
      <c r="C368" s="2"/>
    </row>
    <row r="369" spans="3:3" x14ac:dyDescent="0.25">
      <c r="C369" s="2"/>
    </row>
    <row r="370" spans="3:3" x14ac:dyDescent="0.25">
      <c r="C370" s="2"/>
    </row>
    <row r="371" spans="3:3" x14ac:dyDescent="0.25">
      <c r="C371" s="2"/>
    </row>
    <row r="372" spans="3:3" x14ac:dyDescent="0.25">
      <c r="C372" s="2"/>
    </row>
    <row r="373" spans="3:3" x14ac:dyDescent="0.25">
      <c r="C373" s="2"/>
    </row>
    <row r="374" spans="3:3" x14ac:dyDescent="0.25">
      <c r="C374" s="2"/>
    </row>
    <row r="375" spans="3:3" x14ac:dyDescent="0.25">
      <c r="C375" s="2"/>
    </row>
    <row r="376" spans="3:3" x14ac:dyDescent="0.25">
      <c r="C376" s="2"/>
    </row>
    <row r="377" spans="3:3" x14ac:dyDescent="0.25">
      <c r="C377" s="2"/>
    </row>
    <row r="378" spans="3:3" x14ac:dyDescent="0.25">
      <c r="C378" s="2"/>
    </row>
    <row r="379" spans="3:3" x14ac:dyDescent="0.25">
      <c r="C379" s="2"/>
    </row>
    <row r="380" spans="3:3" x14ac:dyDescent="0.25">
      <c r="C380" s="2"/>
    </row>
    <row r="381" spans="3:3" x14ac:dyDescent="0.25">
      <c r="C381" s="2"/>
    </row>
    <row r="382" spans="3:3" x14ac:dyDescent="0.25">
      <c r="C382" s="2"/>
    </row>
    <row r="383" spans="3:3" x14ac:dyDescent="0.25">
      <c r="C383" s="2"/>
    </row>
    <row r="384" spans="3:3" x14ac:dyDescent="0.25">
      <c r="C384" s="2"/>
    </row>
    <row r="385" spans="3:3" x14ac:dyDescent="0.25">
      <c r="C385" s="2"/>
    </row>
    <row r="386" spans="3:3" x14ac:dyDescent="0.25">
      <c r="C386" s="2"/>
    </row>
    <row r="387" spans="3:3" x14ac:dyDescent="0.25">
      <c r="C387" s="2"/>
    </row>
    <row r="388" spans="3:3" x14ac:dyDescent="0.25">
      <c r="C388" s="2"/>
    </row>
    <row r="389" spans="3:3" x14ac:dyDescent="0.25">
      <c r="C389" s="2"/>
    </row>
    <row r="390" spans="3:3" x14ac:dyDescent="0.25">
      <c r="C390" s="2"/>
    </row>
    <row r="391" spans="3:3" x14ac:dyDescent="0.25">
      <c r="C391" s="2"/>
    </row>
    <row r="392" spans="3:3" x14ac:dyDescent="0.25">
      <c r="C392" s="2"/>
    </row>
    <row r="393" spans="3:3" x14ac:dyDescent="0.25">
      <c r="C393" s="2"/>
    </row>
    <row r="394" spans="3:3" x14ac:dyDescent="0.25">
      <c r="C394" s="2"/>
    </row>
    <row r="395" spans="3:3" x14ac:dyDescent="0.25">
      <c r="C395" s="2"/>
    </row>
    <row r="396" spans="3:3" x14ac:dyDescent="0.25">
      <c r="C396" s="2"/>
    </row>
    <row r="397" spans="3:3" x14ac:dyDescent="0.25">
      <c r="C397" s="2"/>
    </row>
    <row r="398" spans="3:3" x14ac:dyDescent="0.25">
      <c r="C398" s="2"/>
    </row>
    <row r="399" spans="3:3" x14ac:dyDescent="0.25">
      <c r="C399" s="2"/>
    </row>
    <row r="400" spans="3:3" x14ac:dyDescent="0.25">
      <c r="C400" s="2"/>
    </row>
    <row r="401" spans="3:3" x14ac:dyDescent="0.25">
      <c r="C401" s="2"/>
    </row>
    <row r="402" spans="3:3" x14ac:dyDescent="0.25">
      <c r="C402" s="2"/>
    </row>
    <row r="403" spans="3:3" x14ac:dyDescent="0.25">
      <c r="C403" s="2"/>
    </row>
    <row r="404" spans="3:3" x14ac:dyDescent="0.25">
      <c r="C404" s="2"/>
    </row>
    <row r="405" spans="3:3" x14ac:dyDescent="0.25">
      <c r="C405" s="2"/>
    </row>
    <row r="406" spans="3:3" x14ac:dyDescent="0.25">
      <c r="C406" s="2"/>
    </row>
    <row r="407" spans="3:3" x14ac:dyDescent="0.25">
      <c r="C407" s="2"/>
    </row>
    <row r="408" spans="3:3" x14ac:dyDescent="0.25">
      <c r="C408" s="2"/>
    </row>
    <row r="409" spans="3:3" x14ac:dyDescent="0.25">
      <c r="C409" s="2"/>
    </row>
    <row r="410" spans="3:3" x14ac:dyDescent="0.25">
      <c r="C410" s="2"/>
    </row>
    <row r="411" spans="3:3" x14ac:dyDescent="0.25">
      <c r="C411" s="2"/>
    </row>
    <row r="412" spans="3:3" x14ac:dyDescent="0.25">
      <c r="C412" s="2"/>
    </row>
    <row r="413" spans="3:3" x14ac:dyDescent="0.25">
      <c r="C413" s="2"/>
    </row>
    <row r="414" spans="3:3" x14ac:dyDescent="0.25">
      <c r="C414" s="2"/>
    </row>
    <row r="415" spans="3:3" x14ac:dyDescent="0.25">
      <c r="C415" s="2"/>
    </row>
    <row r="416" spans="3:3" x14ac:dyDescent="0.25">
      <c r="C416" s="2"/>
    </row>
    <row r="417" spans="3:3" x14ac:dyDescent="0.25">
      <c r="C417" s="2"/>
    </row>
    <row r="418" spans="3:3" x14ac:dyDescent="0.25">
      <c r="C418" s="2"/>
    </row>
    <row r="419" spans="3:3" x14ac:dyDescent="0.25">
      <c r="C419" s="2"/>
    </row>
    <row r="420" spans="3:3" x14ac:dyDescent="0.25">
      <c r="C420" s="2"/>
    </row>
    <row r="421" spans="3:3" x14ac:dyDescent="0.25">
      <c r="C421" s="2"/>
    </row>
    <row r="422" spans="3:3" x14ac:dyDescent="0.25">
      <c r="C422" s="2"/>
    </row>
    <row r="423" spans="3:3" x14ac:dyDescent="0.25">
      <c r="C423" s="2"/>
    </row>
    <row r="424" spans="3:3" x14ac:dyDescent="0.25">
      <c r="C424" s="2"/>
    </row>
    <row r="425" spans="3:3" x14ac:dyDescent="0.25">
      <c r="C425" s="2"/>
    </row>
    <row r="426" spans="3:3" x14ac:dyDescent="0.25">
      <c r="C426" s="2"/>
    </row>
    <row r="427" spans="3:3" x14ac:dyDescent="0.25">
      <c r="C427" s="2"/>
    </row>
    <row r="428" spans="3:3" x14ac:dyDescent="0.25">
      <c r="C428" s="2"/>
    </row>
    <row r="429" spans="3:3" x14ac:dyDescent="0.25">
      <c r="C429" s="2"/>
    </row>
    <row r="430" spans="3:3" x14ac:dyDescent="0.25">
      <c r="C430" s="2"/>
    </row>
    <row r="431" spans="3:3" x14ac:dyDescent="0.25">
      <c r="C431" s="2"/>
    </row>
    <row r="432" spans="3:3" x14ac:dyDescent="0.25">
      <c r="C432" s="2"/>
    </row>
    <row r="433" spans="3:3" x14ac:dyDescent="0.25">
      <c r="C433" s="2"/>
    </row>
    <row r="434" spans="3:3" x14ac:dyDescent="0.25">
      <c r="C434" s="2"/>
    </row>
    <row r="435" spans="3:3" x14ac:dyDescent="0.25">
      <c r="C435" s="2"/>
    </row>
    <row r="436" spans="3:3" x14ac:dyDescent="0.25">
      <c r="C436" s="2"/>
    </row>
    <row r="437" spans="3:3" x14ac:dyDescent="0.25">
      <c r="C437" s="2"/>
    </row>
    <row r="438" spans="3:3" x14ac:dyDescent="0.25">
      <c r="C438" s="2"/>
    </row>
    <row r="439" spans="3:3" x14ac:dyDescent="0.25">
      <c r="C439" s="2"/>
    </row>
    <row r="440" spans="3:3" x14ac:dyDescent="0.25">
      <c r="C440" s="2"/>
    </row>
    <row r="441" spans="3:3" x14ac:dyDescent="0.25">
      <c r="C441" s="2"/>
    </row>
    <row r="442" spans="3:3" x14ac:dyDescent="0.25">
      <c r="C442" s="2"/>
    </row>
    <row r="443" spans="3:3" x14ac:dyDescent="0.25">
      <c r="C443" s="2"/>
    </row>
    <row r="444" spans="3:3" x14ac:dyDescent="0.25">
      <c r="C444" s="2"/>
    </row>
    <row r="445" spans="3:3" x14ac:dyDescent="0.25">
      <c r="C445" s="2"/>
    </row>
    <row r="446" spans="3:3" x14ac:dyDescent="0.25">
      <c r="C446" s="2"/>
    </row>
    <row r="447" spans="3:3" x14ac:dyDescent="0.25">
      <c r="C447" s="2"/>
    </row>
    <row r="448" spans="3:3" x14ac:dyDescent="0.25">
      <c r="C448" s="2"/>
    </row>
    <row r="449" spans="3:3" x14ac:dyDescent="0.25">
      <c r="C449" s="2"/>
    </row>
    <row r="450" spans="3:3" x14ac:dyDescent="0.25">
      <c r="C450" s="2"/>
    </row>
    <row r="451" spans="3:3" x14ac:dyDescent="0.25">
      <c r="C451" s="2"/>
    </row>
    <row r="452" spans="3:3" x14ac:dyDescent="0.25">
      <c r="C452" s="2"/>
    </row>
    <row r="453" spans="3:3" x14ac:dyDescent="0.25">
      <c r="C453" s="2"/>
    </row>
    <row r="454" spans="3:3" x14ac:dyDescent="0.25">
      <c r="C454" s="2"/>
    </row>
    <row r="455" spans="3:3" x14ac:dyDescent="0.25">
      <c r="C455" s="2"/>
    </row>
    <row r="456" spans="3:3" x14ac:dyDescent="0.25">
      <c r="C456" s="2"/>
    </row>
    <row r="457" spans="3:3" x14ac:dyDescent="0.25">
      <c r="C457" s="2"/>
    </row>
    <row r="458" spans="3:3" x14ac:dyDescent="0.25">
      <c r="C458" s="2"/>
    </row>
    <row r="459" spans="3:3" x14ac:dyDescent="0.25">
      <c r="C459" s="2"/>
    </row>
    <row r="460" spans="3:3" x14ac:dyDescent="0.25">
      <c r="C460" s="2"/>
    </row>
    <row r="461" spans="3:3" x14ac:dyDescent="0.25">
      <c r="C461" s="2"/>
    </row>
    <row r="462" spans="3:3" x14ac:dyDescent="0.25">
      <c r="C462" s="2"/>
    </row>
    <row r="463" spans="3:3" x14ac:dyDescent="0.25">
      <c r="C463" s="2"/>
    </row>
    <row r="464" spans="3:3" x14ac:dyDescent="0.25">
      <c r="C464" s="2"/>
    </row>
    <row r="465" spans="3:3" x14ac:dyDescent="0.25">
      <c r="C465" s="2"/>
    </row>
    <row r="466" spans="3:3" x14ac:dyDescent="0.25">
      <c r="C466" s="2"/>
    </row>
    <row r="467" spans="3:3" x14ac:dyDescent="0.25">
      <c r="C467" s="2"/>
    </row>
    <row r="468" spans="3:3" x14ac:dyDescent="0.25">
      <c r="C468" s="2"/>
    </row>
    <row r="469" spans="3:3" x14ac:dyDescent="0.25">
      <c r="C469" s="2"/>
    </row>
    <row r="470" spans="3:3" x14ac:dyDescent="0.25">
      <c r="C470" s="2"/>
    </row>
    <row r="471" spans="3:3" x14ac:dyDescent="0.25">
      <c r="C471" s="2"/>
    </row>
    <row r="472" spans="3:3" x14ac:dyDescent="0.25">
      <c r="C472" s="2"/>
    </row>
    <row r="473" spans="3:3" x14ac:dyDescent="0.25">
      <c r="C473" s="2"/>
    </row>
    <row r="474" spans="3:3" x14ac:dyDescent="0.25">
      <c r="C474" s="2"/>
    </row>
    <row r="475" spans="3:3" x14ac:dyDescent="0.25">
      <c r="C475" s="2"/>
    </row>
    <row r="476" spans="3:3" x14ac:dyDescent="0.25">
      <c r="C476" s="2"/>
    </row>
    <row r="477" spans="3:3" x14ac:dyDescent="0.25">
      <c r="C477" s="2"/>
    </row>
    <row r="478" spans="3:3" x14ac:dyDescent="0.25">
      <c r="C478" s="2"/>
    </row>
    <row r="479" spans="3:3" x14ac:dyDescent="0.25">
      <c r="C479" s="2"/>
    </row>
    <row r="480" spans="3:3" x14ac:dyDescent="0.25">
      <c r="C480" s="2"/>
    </row>
    <row r="481" spans="3:3" x14ac:dyDescent="0.25">
      <c r="C481" s="2"/>
    </row>
    <row r="482" spans="3:3" x14ac:dyDescent="0.25">
      <c r="C482" s="2"/>
    </row>
    <row r="483" spans="3:3" x14ac:dyDescent="0.25">
      <c r="C483" s="2"/>
    </row>
    <row r="484" spans="3:3" x14ac:dyDescent="0.25">
      <c r="C484" s="2"/>
    </row>
    <row r="485" spans="3:3" x14ac:dyDescent="0.25">
      <c r="C485" s="2"/>
    </row>
    <row r="486" spans="3:3" x14ac:dyDescent="0.25">
      <c r="C486" s="2"/>
    </row>
    <row r="487" spans="3:3" x14ac:dyDescent="0.25">
      <c r="C487" s="2"/>
    </row>
    <row r="488" spans="3:3" x14ac:dyDescent="0.25">
      <c r="C488" s="2"/>
    </row>
    <row r="489" spans="3:3" x14ac:dyDescent="0.25">
      <c r="C489" s="2"/>
    </row>
    <row r="490" spans="3:3" x14ac:dyDescent="0.25">
      <c r="C490" s="2"/>
    </row>
    <row r="491" spans="3:3" x14ac:dyDescent="0.25">
      <c r="C491" s="2"/>
    </row>
    <row r="492" spans="3:3" x14ac:dyDescent="0.25">
      <c r="C492" s="2"/>
    </row>
    <row r="493" spans="3:3" x14ac:dyDescent="0.25">
      <c r="C493" s="2"/>
    </row>
    <row r="494" spans="3:3" x14ac:dyDescent="0.25">
      <c r="C494" s="2"/>
    </row>
    <row r="495" spans="3:3" x14ac:dyDescent="0.25">
      <c r="C495" s="2"/>
    </row>
    <row r="496" spans="3:3" x14ac:dyDescent="0.25">
      <c r="C496" s="2"/>
    </row>
    <row r="497" spans="3:3" x14ac:dyDescent="0.25">
      <c r="C497" s="2"/>
    </row>
    <row r="498" spans="3:3" x14ac:dyDescent="0.25">
      <c r="C498" s="2"/>
    </row>
    <row r="499" spans="3:3" x14ac:dyDescent="0.25">
      <c r="C499" s="2"/>
    </row>
    <row r="500" spans="3:3" x14ac:dyDescent="0.25">
      <c r="C500" s="2"/>
    </row>
    <row r="501" spans="3:3" x14ac:dyDescent="0.25">
      <c r="C501" s="2"/>
    </row>
    <row r="502" spans="3:3" x14ac:dyDescent="0.25">
      <c r="C502" s="2"/>
    </row>
    <row r="503" spans="3:3" x14ac:dyDescent="0.25">
      <c r="C503" s="2"/>
    </row>
    <row r="504" spans="3:3" x14ac:dyDescent="0.25">
      <c r="C504" s="2"/>
    </row>
    <row r="505" spans="3:3" x14ac:dyDescent="0.25">
      <c r="C505" s="2"/>
    </row>
    <row r="506" spans="3:3" x14ac:dyDescent="0.25">
      <c r="C506" s="2"/>
    </row>
    <row r="507" spans="3:3" x14ac:dyDescent="0.25">
      <c r="C507" s="2"/>
    </row>
    <row r="508" spans="3:3" x14ac:dyDescent="0.25">
      <c r="C508" s="2"/>
    </row>
    <row r="509" spans="3:3" x14ac:dyDescent="0.25">
      <c r="C509" s="2"/>
    </row>
    <row r="510" spans="3:3" x14ac:dyDescent="0.25">
      <c r="C510" s="2"/>
    </row>
    <row r="511" spans="3:3" x14ac:dyDescent="0.25">
      <c r="C511" s="2"/>
    </row>
    <row r="512" spans="3:3" x14ac:dyDescent="0.25">
      <c r="C512" s="2"/>
    </row>
    <row r="513" spans="3:3" x14ac:dyDescent="0.25">
      <c r="C513" s="2"/>
    </row>
    <row r="514" spans="3:3" x14ac:dyDescent="0.25">
      <c r="C514" s="2"/>
    </row>
    <row r="515" spans="3:3" x14ac:dyDescent="0.25">
      <c r="C515" s="2"/>
    </row>
    <row r="516" spans="3:3" x14ac:dyDescent="0.25">
      <c r="C516" s="2"/>
    </row>
    <row r="517" spans="3:3" x14ac:dyDescent="0.25">
      <c r="C517" s="2"/>
    </row>
    <row r="518" spans="3:3" x14ac:dyDescent="0.25">
      <c r="C518" s="2"/>
    </row>
    <row r="519" spans="3:3" x14ac:dyDescent="0.25">
      <c r="C519" s="2"/>
    </row>
    <row r="520" spans="3:3" x14ac:dyDescent="0.25">
      <c r="C520" s="2"/>
    </row>
    <row r="521" spans="3:3" x14ac:dyDescent="0.25">
      <c r="C521" s="2"/>
    </row>
    <row r="522" spans="3:3" x14ac:dyDescent="0.25">
      <c r="C522" s="2"/>
    </row>
    <row r="523" spans="3:3" x14ac:dyDescent="0.25">
      <c r="C523" s="2"/>
    </row>
    <row r="524" spans="3:3" x14ac:dyDescent="0.25">
      <c r="C524" s="2"/>
    </row>
    <row r="525" spans="3:3" x14ac:dyDescent="0.25">
      <c r="C525" s="2"/>
    </row>
    <row r="526" spans="3:3" x14ac:dyDescent="0.25">
      <c r="C526" s="2"/>
    </row>
    <row r="527" spans="3:3" x14ac:dyDescent="0.25">
      <c r="C527" s="2"/>
    </row>
    <row r="528" spans="3:3" x14ac:dyDescent="0.25">
      <c r="C528" s="2"/>
    </row>
    <row r="529" spans="3:3" x14ac:dyDescent="0.25">
      <c r="C529" s="2"/>
    </row>
    <row r="530" spans="3:3" x14ac:dyDescent="0.25">
      <c r="C530" s="2"/>
    </row>
    <row r="531" spans="3:3" x14ac:dyDescent="0.25">
      <c r="C531" s="2"/>
    </row>
    <row r="532" spans="3:3" x14ac:dyDescent="0.25">
      <c r="C532" s="2"/>
    </row>
    <row r="533" spans="3:3" x14ac:dyDescent="0.25">
      <c r="C533" s="2"/>
    </row>
    <row r="534" spans="3:3" x14ac:dyDescent="0.25">
      <c r="C534" s="2"/>
    </row>
    <row r="535" spans="3:3" x14ac:dyDescent="0.25">
      <c r="C535" s="2"/>
    </row>
    <row r="536" spans="3:3" x14ac:dyDescent="0.25">
      <c r="C536" s="2"/>
    </row>
    <row r="537" spans="3:3" x14ac:dyDescent="0.25">
      <c r="C537" s="2"/>
    </row>
    <row r="538" spans="3:3" x14ac:dyDescent="0.25">
      <c r="C538" s="2"/>
    </row>
    <row r="539" spans="3:3" x14ac:dyDescent="0.25">
      <c r="C539" s="2"/>
    </row>
    <row r="540" spans="3:3" x14ac:dyDescent="0.25">
      <c r="C540" s="2"/>
    </row>
    <row r="541" spans="3:3" x14ac:dyDescent="0.25">
      <c r="C541" s="2"/>
    </row>
    <row r="542" spans="3:3" x14ac:dyDescent="0.25">
      <c r="C542" s="2"/>
    </row>
    <row r="543" spans="3:3" x14ac:dyDescent="0.25">
      <c r="C543" s="2"/>
    </row>
    <row r="544" spans="3:3" x14ac:dyDescent="0.25">
      <c r="C544" s="2"/>
    </row>
    <row r="545" spans="3:3" x14ac:dyDescent="0.25">
      <c r="C545" s="2"/>
    </row>
    <row r="546" spans="3:3" x14ac:dyDescent="0.25">
      <c r="C546" s="2"/>
    </row>
    <row r="547" spans="3:3" x14ac:dyDescent="0.25">
      <c r="C547" s="2"/>
    </row>
    <row r="548" spans="3:3" x14ac:dyDescent="0.25">
      <c r="C548" s="2"/>
    </row>
    <row r="549" spans="3:3" x14ac:dyDescent="0.25">
      <c r="C549" s="2"/>
    </row>
    <row r="550" spans="3:3" x14ac:dyDescent="0.25">
      <c r="C550" s="2"/>
    </row>
    <row r="551" spans="3:3" x14ac:dyDescent="0.25">
      <c r="C551" s="2"/>
    </row>
    <row r="552" spans="3:3" x14ac:dyDescent="0.25">
      <c r="C552" s="2"/>
    </row>
    <row r="553" spans="3:3" x14ac:dyDescent="0.25">
      <c r="C553" s="2"/>
    </row>
    <row r="554" spans="3:3" x14ac:dyDescent="0.25">
      <c r="C554" s="2"/>
    </row>
    <row r="555" spans="3:3" x14ac:dyDescent="0.25">
      <c r="C555" s="2"/>
    </row>
    <row r="556" spans="3:3" x14ac:dyDescent="0.25">
      <c r="C556" s="2"/>
    </row>
    <row r="557" spans="3:3" x14ac:dyDescent="0.25">
      <c r="C557" s="2"/>
    </row>
    <row r="558" spans="3:3" x14ac:dyDescent="0.25">
      <c r="C558" s="2"/>
    </row>
    <row r="559" spans="3:3" x14ac:dyDescent="0.25">
      <c r="C559" s="2"/>
    </row>
    <row r="560" spans="3:3" x14ac:dyDescent="0.25">
      <c r="C560" s="2"/>
    </row>
    <row r="561" spans="3:3" x14ac:dyDescent="0.25">
      <c r="C561" s="2"/>
    </row>
    <row r="562" spans="3:3" x14ac:dyDescent="0.25">
      <c r="C562" s="2"/>
    </row>
    <row r="563" spans="3:3" x14ac:dyDescent="0.25">
      <c r="C563" s="2"/>
    </row>
    <row r="564" spans="3:3" x14ac:dyDescent="0.25">
      <c r="C564" s="2"/>
    </row>
    <row r="565" spans="3:3" x14ac:dyDescent="0.25">
      <c r="C565" s="2"/>
    </row>
    <row r="566" spans="3:3" x14ac:dyDescent="0.25">
      <c r="C566" s="2"/>
    </row>
    <row r="567" spans="3:3" x14ac:dyDescent="0.25">
      <c r="C567" s="2"/>
    </row>
    <row r="568" spans="3:3" x14ac:dyDescent="0.25">
      <c r="C568" s="2"/>
    </row>
    <row r="569" spans="3:3" x14ac:dyDescent="0.25">
      <c r="C569" s="2"/>
    </row>
    <row r="570" spans="3:3" x14ac:dyDescent="0.25">
      <c r="C570" s="2"/>
    </row>
    <row r="571" spans="3:3" x14ac:dyDescent="0.25">
      <c r="C571" s="2"/>
    </row>
    <row r="572" spans="3:3" x14ac:dyDescent="0.25">
      <c r="C572" s="2"/>
    </row>
    <row r="573" spans="3:3" x14ac:dyDescent="0.25">
      <c r="C573" s="2"/>
    </row>
    <row r="574" spans="3:3" x14ac:dyDescent="0.25">
      <c r="C574" s="2"/>
    </row>
    <row r="575" spans="3:3" x14ac:dyDescent="0.25">
      <c r="C575" s="2"/>
    </row>
    <row r="576" spans="3:3" x14ac:dyDescent="0.25">
      <c r="C576" s="2"/>
    </row>
    <row r="577" spans="3:3" x14ac:dyDescent="0.25">
      <c r="C577" s="2"/>
    </row>
    <row r="578" spans="3:3" x14ac:dyDescent="0.25">
      <c r="C578" s="2"/>
    </row>
    <row r="579" spans="3:3" x14ac:dyDescent="0.25">
      <c r="C579" s="2"/>
    </row>
    <row r="580" spans="3:3" x14ac:dyDescent="0.25">
      <c r="C580" s="2"/>
    </row>
    <row r="581" spans="3:3" x14ac:dyDescent="0.25">
      <c r="C581" s="2"/>
    </row>
    <row r="582" spans="3:3" x14ac:dyDescent="0.25">
      <c r="C582" s="2"/>
    </row>
    <row r="583" spans="3:3" x14ac:dyDescent="0.25">
      <c r="C583" s="2"/>
    </row>
    <row r="584" spans="3:3" x14ac:dyDescent="0.25">
      <c r="C584" s="2"/>
    </row>
    <row r="585" spans="3:3" x14ac:dyDescent="0.25">
      <c r="C585" s="2"/>
    </row>
    <row r="586" spans="3:3" x14ac:dyDescent="0.25">
      <c r="C586" s="2"/>
    </row>
    <row r="587" spans="3:3" x14ac:dyDescent="0.25">
      <c r="C587" s="2"/>
    </row>
    <row r="588" spans="3:3" x14ac:dyDescent="0.25">
      <c r="C588" s="2"/>
    </row>
    <row r="589" spans="3:3" x14ac:dyDescent="0.25">
      <c r="C589" s="2"/>
    </row>
    <row r="590" spans="3:3" x14ac:dyDescent="0.25">
      <c r="C590" s="2"/>
    </row>
    <row r="591" spans="3:3" x14ac:dyDescent="0.25">
      <c r="C591" s="2"/>
    </row>
    <row r="592" spans="3:3" x14ac:dyDescent="0.25">
      <c r="C592" s="2"/>
    </row>
    <row r="593" spans="3:3" x14ac:dyDescent="0.25">
      <c r="C593" s="2"/>
    </row>
    <row r="594" spans="3:3" x14ac:dyDescent="0.25">
      <c r="C594" s="2"/>
    </row>
    <row r="595" spans="3:3" x14ac:dyDescent="0.25">
      <c r="C595" s="2"/>
    </row>
    <row r="596" spans="3:3" x14ac:dyDescent="0.25">
      <c r="C596" s="2"/>
    </row>
    <row r="597" spans="3:3" x14ac:dyDescent="0.25">
      <c r="C597" s="2"/>
    </row>
    <row r="598" spans="3:3" x14ac:dyDescent="0.25">
      <c r="C598" s="2"/>
    </row>
    <row r="599" spans="3:3" x14ac:dyDescent="0.25">
      <c r="C599" s="2"/>
    </row>
    <row r="600" spans="3:3" x14ac:dyDescent="0.25">
      <c r="C600" s="2"/>
    </row>
    <row r="601" spans="3:3" x14ac:dyDescent="0.25">
      <c r="C601" s="2"/>
    </row>
    <row r="602" spans="3:3" x14ac:dyDescent="0.25">
      <c r="C602" s="2"/>
    </row>
    <row r="603" spans="3:3" x14ac:dyDescent="0.25">
      <c r="C603" s="2"/>
    </row>
    <row r="604" spans="3:3" x14ac:dyDescent="0.25">
      <c r="C604" s="2"/>
    </row>
    <row r="605" spans="3:3" x14ac:dyDescent="0.25">
      <c r="C605" s="2"/>
    </row>
    <row r="606" spans="3:3" x14ac:dyDescent="0.25">
      <c r="C606" s="2"/>
    </row>
    <row r="607" spans="3:3" x14ac:dyDescent="0.25">
      <c r="C607" s="2"/>
    </row>
    <row r="608" spans="3:3" x14ac:dyDescent="0.25">
      <c r="C608" s="2"/>
    </row>
    <row r="609" spans="3:3" x14ac:dyDescent="0.25">
      <c r="C609" s="2"/>
    </row>
    <row r="610" spans="3:3" x14ac:dyDescent="0.25">
      <c r="C610" s="2"/>
    </row>
    <row r="611" spans="3:3" x14ac:dyDescent="0.25">
      <c r="C611" s="2"/>
    </row>
    <row r="612" spans="3:3" x14ac:dyDescent="0.25">
      <c r="C612" s="2"/>
    </row>
    <row r="613" spans="3:3" x14ac:dyDescent="0.25">
      <c r="C613" s="2"/>
    </row>
    <row r="614" spans="3:3" x14ac:dyDescent="0.25">
      <c r="C614" s="2"/>
    </row>
    <row r="615" spans="3:3" x14ac:dyDescent="0.25">
      <c r="C615" s="2"/>
    </row>
    <row r="616" spans="3:3" x14ac:dyDescent="0.25">
      <c r="C616" s="2"/>
    </row>
    <row r="617" spans="3:3" x14ac:dyDescent="0.25">
      <c r="C617" s="2"/>
    </row>
    <row r="618" spans="3:3" x14ac:dyDescent="0.25">
      <c r="C618" s="2"/>
    </row>
    <row r="619" spans="3:3" x14ac:dyDescent="0.25">
      <c r="C619" s="2"/>
    </row>
    <row r="620" spans="3:3" x14ac:dyDescent="0.25">
      <c r="C620" s="2"/>
    </row>
    <row r="621" spans="3:3" x14ac:dyDescent="0.25">
      <c r="C621" s="2"/>
    </row>
    <row r="622" spans="3:3" x14ac:dyDescent="0.25">
      <c r="C622" s="2"/>
    </row>
    <row r="623" spans="3:3" x14ac:dyDescent="0.25">
      <c r="C623" s="2"/>
    </row>
    <row r="624" spans="3:3" x14ac:dyDescent="0.25">
      <c r="C624" s="2"/>
    </row>
    <row r="625" spans="3:3" x14ac:dyDescent="0.25">
      <c r="C625" s="2"/>
    </row>
    <row r="626" spans="3:3" x14ac:dyDescent="0.25">
      <c r="C626" s="2"/>
    </row>
    <row r="627" spans="3:3" x14ac:dyDescent="0.25">
      <c r="C627" s="2"/>
    </row>
    <row r="628" spans="3:3" x14ac:dyDescent="0.25">
      <c r="C628" s="2"/>
    </row>
    <row r="629" spans="3:3" x14ac:dyDescent="0.25">
      <c r="C629" s="2"/>
    </row>
    <row r="630" spans="3:3" x14ac:dyDescent="0.25">
      <c r="C630" s="2"/>
    </row>
    <row r="631" spans="3:3" x14ac:dyDescent="0.25">
      <c r="C631" s="2"/>
    </row>
    <row r="632" spans="3:3" x14ac:dyDescent="0.25">
      <c r="C632" s="2"/>
    </row>
    <row r="633" spans="3:3" x14ac:dyDescent="0.25">
      <c r="C633" s="2"/>
    </row>
    <row r="634" spans="3:3" x14ac:dyDescent="0.25">
      <c r="C634" s="2"/>
    </row>
    <row r="635" spans="3:3" x14ac:dyDescent="0.25">
      <c r="C635" s="2"/>
    </row>
    <row r="636" spans="3:3" x14ac:dyDescent="0.25">
      <c r="C636" s="2"/>
    </row>
    <row r="637" spans="3:3" x14ac:dyDescent="0.25">
      <c r="C637" s="2"/>
    </row>
    <row r="638" spans="3:3" x14ac:dyDescent="0.25">
      <c r="C638" s="2"/>
    </row>
    <row r="639" spans="3:3" x14ac:dyDescent="0.25">
      <c r="C639" s="2"/>
    </row>
    <row r="640" spans="3:3" x14ac:dyDescent="0.25">
      <c r="C640" s="2"/>
    </row>
    <row r="641" spans="3:3" x14ac:dyDescent="0.25">
      <c r="C641" s="2"/>
    </row>
    <row r="642" spans="3:3" x14ac:dyDescent="0.25">
      <c r="C642" s="2"/>
    </row>
    <row r="643" spans="3:3" x14ac:dyDescent="0.25">
      <c r="C643" s="2"/>
    </row>
    <row r="644" spans="3:3" x14ac:dyDescent="0.25">
      <c r="C644" s="2"/>
    </row>
    <row r="645" spans="3:3" x14ac:dyDescent="0.25">
      <c r="C645" s="2"/>
    </row>
    <row r="646" spans="3:3" x14ac:dyDescent="0.25">
      <c r="C646" s="2"/>
    </row>
    <row r="647" spans="3:3" x14ac:dyDescent="0.25">
      <c r="C647" s="2"/>
    </row>
    <row r="648" spans="3:3" x14ac:dyDescent="0.25">
      <c r="C648" s="2"/>
    </row>
    <row r="649" spans="3:3" x14ac:dyDescent="0.25">
      <c r="C649" s="2"/>
    </row>
    <row r="650" spans="3:3" x14ac:dyDescent="0.25">
      <c r="C650" s="2"/>
    </row>
    <row r="651" spans="3:3" x14ac:dyDescent="0.25">
      <c r="C651" s="2"/>
    </row>
    <row r="652" spans="3:3" x14ac:dyDescent="0.25">
      <c r="C652" s="2"/>
    </row>
    <row r="653" spans="3:3" x14ac:dyDescent="0.25">
      <c r="C653" s="2"/>
    </row>
    <row r="654" spans="3:3" x14ac:dyDescent="0.25">
      <c r="C654" s="2"/>
    </row>
    <row r="655" spans="3:3" x14ac:dyDescent="0.25">
      <c r="C655" s="2"/>
    </row>
    <row r="656" spans="3:3" x14ac:dyDescent="0.25">
      <c r="C656" s="2"/>
    </row>
    <row r="657" spans="3:3" x14ac:dyDescent="0.25">
      <c r="C657" s="2"/>
    </row>
    <row r="658" spans="3:3" x14ac:dyDescent="0.25">
      <c r="C658" s="2"/>
    </row>
    <row r="659" spans="3:3" x14ac:dyDescent="0.25">
      <c r="C659" s="2"/>
    </row>
    <row r="660" spans="3:3" x14ac:dyDescent="0.25">
      <c r="C660" s="2"/>
    </row>
    <row r="661" spans="3:3" x14ac:dyDescent="0.25">
      <c r="C661" s="2"/>
    </row>
    <row r="662" spans="3:3" x14ac:dyDescent="0.25">
      <c r="C662" s="2"/>
    </row>
    <row r="663" spans="3:3" x14ac:dyDescent="0.25">
      <c r="C663" s="2"/>
    </row>
    <row r="664" spans="3:3" x14ac:dyDescent="0.25">
      <c r="C664" s="2"/>
    </row>
    <row r="665" spans="3:3" x14ac:dyDescent="0.25">
      <c r="C665" s="2"/>
    </row>
    <row r="666" spans="3:3" x14ac:dyDescent="0.25">
      <c r="C666" s="2"/>
    </row>
    <row r="667" spans="3:3" x14ac:dyDescent="0.25">
      <c r="C667" s="2"/>
    </row>
    <row r="668" spans="3:3" x14ac:dyDescent="0.25">
      <c r="C668" s="2"/>
    </row>
    <row r="669" spans="3:3" x14ac:dyDescent="0.25">
      <c r="C669" s="2"/>
    </row>
    <row r="670" spans="3:3" x14ac:dyDescent="0.25">
      <c r="C670" s="2"/>
    </row>
    <row r="671" spans="3:3" x14ac:dyDescent="0.25">
      <c r="C671" s="2"/>
    </row>
    <row r="672" spans="3:3" x14ac:dyDescent="0.25">
      <c r="C672" s="2"/>
    </row>
    <row r="673" spans="3:3" x14ac:dyDescent="0.25">
      <c r="C673" s="2"/>
    </row>
    <row r="674" spans="3:3" x14ac:dyDescent="0.25">
      <c r="C674" s="2"/>
    </row>
    <row r="675" spans="3:3" x14ac:dyDescent="0.25">
      <c r="C675" s="2"/>
    </row>
    <row r="676" spans="3:3" x14ac:dyDescent="0.25">
      <c r="C676" s="2"/>
    </row>
    <row r="677" spans="3:3" x14ac:dyDescent="0.25">
      <c r="C677" s="2"/>
    </row>
    <row r="678" spans="3:3" x14ac:dyDescent="0.25">
      <c r="C678" s="2"/>
    </row>
    <row r="679" spans="3:3" x14ac:dyDescent="0.25">
      <c r="C679" s="2"/>
    </row>
    <row r="680" spans="3:3" x14ac:dyDescent="0.25">
      <c r="C680" s="2"/>
    </row>
    <row r="681" spans="3:3" x14ac:dyDescent="0.25">
      <c r="C681" s="2"/>
    </row>
    <row r="682" spans="3:3" x14ac:dyDescent="0.25">
      <c r="C682" s="2"/>
    </row>
    <row r="683" spans="3:3" x14ac:dyDescent="0.25">
      <c r="C683" s="2"/>
    </row>
    <row r="684" spans="3:3" x14ac:dyDescent="0.25">
      <c r="C684" s="2"/>
    </row>
    <row r="685" spans="3:3" x14ac:dyDescent="0.25">
      <c r="C685" s="2"/>
    </row>
    <row r="686" spans="3:3" x14ac:dyDescent="0.25">
      <c r="C686" s="2"/>
    </row>
    <row r="687" spans="3:3" x14ac:dyDescent="0.25">
      <c r="C687" s="2"/>
    </row>
    <row r="688" spans="3:3" x14ac:dyDescent="0.25">
      <c r="C688" s="2"/>
    </row>
    <row r="689" spans="3:3" x14ac:dyDescent="0.25">
      <c r="C689" s="2"/>
    </row>
    <row r="690" spans="3:3" x14ac:dyDescent="0.25">
      <c r="C690" s="2"/>
    </row>
    <row r="691" spans="3:3" x14ac:dyDescent="0.25">
      <c r="C691" s="2"/>
    </row>
    <row r="692" spans="3:3" x14ac:dyDescent="0.25">
      <c r="C692" s="2"/>
    </row>
    <row r="693" spans="3:3" x14ac:dyDescent="0.25">
      <c r="C693" s="2"/>
    </row>
    <row r="694" spans="3:3" x14ac:dyDescent="0.25">
      <c r="C694" s="2"/>
    </row>
    <row r="695" spans="3:3" x14ac:dyDescent="0.25">
      <c r="C695" s="2"/>
    </row>
    <row r="696" spans="3:3" x14ac:dyDescent="0.25">
      <c r="C696" s="2"/>
    </row>
    <row r="697" spans="3:3" x14ac:dyDescent="0.25">
      <c r="C697" s="2"/>
    </row>
    <row r="698" spans="3:3" x14ac:dyDescent="0.25">
      <c r="C698" s="2"/>
    </row>
    <row r="699" spans="3:3" x14ac:dyDescent="0.25">
      <c r="C699" s="2"/>
    </row>
    <row r="700" spans="3:3" x14ac:dyDescent="0.25">
      <c r="C700" s="2"/>
    </row>
    <row r="701" spans="3:3" x14ac:dyDescent="0.25">
      <c r="C701" s="2"/>
    </row>
    <row r="702" spans="3:3" x14ac:dyDescent="0.25">
      <c r="C702" s="2"/>
    </row>
    <row r="703" spans="3:3" x14ac:dyDescent="0.25">
      <c r="C703" s="2"/>
    </row>
    <row r="704" spans="3:3" x14ac:dyDescent="0.25">
      <c r="C704" s="2"/>
    </row>
    <row r="705" spans="3:3" x14ac:dyDescent="0.25">
      <c r="C705" s="2"/>
    </row>
    <row r="706" spans="3:3" x14ac:dyDescent="0.25">
      <c r="C706" s="2"/>
    </row>
    <row r="707" spans="3:3" x14ac:dyDescent="0.25">
      <c r="C707" s="2"/>
    </row>
    <row r="708" spans="3:3" x14ac:dyDescent="0.25">
      <c r="C708" s="2"/>
    </row>
    <row r="709" spans="3:3" x14ac:dyDescent="0.25">
      <c r="C709" s="2"/>
    </row>
    <row r="710" spans="3:3" x14ac:dyDescent="0.25">
      <c r="C710" s="2"/>
    </row>
    <row r="711" spans="3:3" x14ac:dyDescent="0.25">
      <c r="C711" s="2"/>
    </row>
    <row r="712" spans="3:3" x14ac:dyDescent="0.25">
      <c r="C712" s="2"/>
    </row>
    <row r="713" spans="3:3" x14ac:dyDescent="0.25">
      <c r="C713" s="2"/>
    </row>
    <row r="714" spans="3:3" x14ac:dyDescent="0.25">
      <c r="C714" s="2"/>
    </row>
    <row r="715" spans="3:3" x14ac:dyDescent="0.25">
      <c r="C715" s="2"/>
    </row>
    <row r="716" spans="3:3" x14ac:dyDescent="0.25">
      <c r="C716" s="2"/>
    </row>
    <row r="717" spans="3:3" x14ac:dyDescent="0.25">
      <c r="C717" s="2"/>
    </row>
    <row r="718" spans="3:3" x14ac:dyDescent="0.25">
      <c r="C718" s="2"/>
    </row>
    <row r="719" spans="3:3" x14ac:dyDescent="0.25">
      <c r="C719" s="2"/>
    </row>
    <row r="720" spans="3:3" x14ac:dyDescent="0.25">
      <c r="C720" s="2"/>
    </row>
    <row r="721" spans="3:3" x14ac:dyDescent="0.25">
      <c r="C721" s="2"/>
    </row>
    <row r="722" spans="3:3" x14ac:dyDescent="0.25">
      <c r="C722" s="2"/>
    </row>
    <row r="723" spans="3:3" x14ac:dyDescent="0.25">
      <c r="C723" s="2"/>
    </row>
    <row r="724" spans="3:3" x14ac:dyDescent="0.25">
      <c r="C724" s="2"/>
    </row>
    <row r="725" spans="3:3" x14ac:dyDescent="0.25">
      <c r="C725" s="2"/>
    </row>
    <row r="726" spans="3:3" x14ac:dyDescent="0.25">
      <c r="C726" s="2"/>
    </row>
    <row r="727" spans="3:3" x14ac:dyDescent="0.25">
      <c r="C727" s="2"/>
    </row>
    <row r="728" spans="3:3" x14ac:dyDescent="0.25">
      <c r="C728" s="2"/>
    </row>
    <row r="729" spans="3:3" x14ac:dyDescent="0.25">
      <c r="C729" s="2"/>
    </row>
    <row r="730" spans="3:3" x14ac:dyDescent="0.25">
      <c r="C730" s="2"/>
    </row>
    <row r="731" spans="3:3" x14ac:dyDescent="0.25">
      <c r="C731" s="2"/>
    </row>
    <row r="732" spans="3:3" x14ac:dyDescent="0.25">
      <c r="C732" s="2"/>
    </row>
    <row r="733" spans="3:3" x14ac:dyDescent="0.25">
      <c r="C733" s="2"/>
    </row>
    <row r="734" spans="3:3" x14ac:dyDescent="0.25">
      <c r="C734" s="2"/>
    </row>
    <row r="735" spans="3:3" x14ac:dyDescent="0.25">
      <c r="C735" s="2"/>
    </row>
    <row r="736" spans="3:3" x14ac:dyDescent="0.25">
      <c r="C736" s="2"/>
    </row>
    <row r="737" spans="3:3" x14ac:dyDescent="0.25">
      <c r="C737" s="2"/>
    </row>
    <row r="738" spans="3:3" x14ac:dyDescent="0.25">
      <c r="C738" s="2"/>
    </row>
    <row r="739" spans="3:3" x14ac:dyDescent="0.25">
      <c r="C739" s="2"/>
    </row>
    <row r="740" spans="3:3" x14ac:dyDescent="0.25">
      <c r="C740" s="2"/>
    </row>
    <row r="741" spans="3:3" x14ac:dyDescent="0.25">
      <c r="C741" s="2"/>
    </row>
    <row r="742" spans="3:3" x14ac:dyDescent="0.25">
      <c r="C742" s="2"/>
    </row>
    <row r="743" spans="3:3" x14ac:dyDescent="0.25">
      <c r="C743" s="2"/>
    </row>
    <row r="744" spans="3:3" x14ac:dyDescent="0.25">
      <c r="C744" s="2"/>
    </row>
    <row r="745" spans="3:3" x14ac:dyDescent="0.25">
      <c r="C745" s="2"/>
    </row>
    <row r="746" spans="3:3" x14ac:dyDescent="0.25">
      <c r="C746" s="2"/>
    </row>
    <row r="747" spans="3:3" x14ac:dyDescent="0.25">
      <c r="C747" s="2"/>
    </row>
    <row r="748" spans="3:3" x14ac:dyDescent="0.25">
      <c r="C748" s="2"/>
    </row>
    <row r="749" spans="3:3" x14ac:dyDescent="0.25">
      <c r="C749" s="2"/>
    </row>
    <row r="750" spans="3:3" x14ac:dyDescent="0.25">
      <c r="C750" s="2"/>
    </row>
    <row r="751" spans="3:3" x14ac:dyDescent="0.25">
      <c r="C751" s="2"/>
    </row>
    <row r="752" spans="3:3" x14ac:dyDescent="0.25">
      <c r="C752" s="2"/>
    </row>
    <row r="753" spans="3:3" x14ac:dyDescent="0.25">
      <c r="C753" s="2"/>
    </row>
    <row r="754" spans="3:3" x14ac:dyDescent="0.25">
      <c r="C754" s="2"/>
    </row>
    <row r="755" spans="3:3" x14ac:dyDescent="0.25">
      <c r="C755" s="2"/>
    </row>
    <row r="756" spans="3:3" x14ac:dyDescent="0.25">
      <c r="C756" s="2"/>
    </row>
    <row r="757" spans="3:3" x14ac:dyDescent="0.25">
      <c r="C757" s="2"/>
    </row>
    <row r="758" spans="3:3" x14ac:dyDescent="0.25">
      <c r="C758" s="2"/>
    </row>
    <row r="759" spans="3:3" x14ac:dyDescent="0.25">
      <c r="C759" s="2"/>
    </row>
    <row r="760" spans="3:3" x14ac:dyDescent="0.25">
      <c r="C760" s="2"/>
    </row>
    <row r="761" spans="3:3" x14ac:dyDescent="0.25">
      <c r="C761" s="2"/>
    </row>
    <row r="762" spans="3:3" x14ac:dyDescent="0.25">
      <c r="C762" s="2"/>
    </row>
    <row r="763" spans="3:3" x14ac:dyDescent="0.25">
      <c r="C763" s="2"/>
    </row>
    <row r="764" spans="3:3" x14ac:dyDescent="0.25">
      <c r="C764" s="2"/>
    </row>
    <row r="765" spans="3:3" x14ac:dyDescent="0.25">
      <c r="C765" s="2"/>
    </row>
    <row r="766" spans="3:3" x14ac:dyDescent="0.25">
      <c r="C766" s="2"/>
    </row>
    <row r="767" spans="3:3" x14ac:dyDescent="0.25">
      <c r="C767" s="2"/>
    </row>
    <row r="768" spans="3:3" x14ac:dyDescent="0.25">
      <c r="C768" s="2"/>
    </row>
    <row r="769" spans="3:3" x14ac:dyDescent="0.25">
      <c r="C769" s="2"/>
    </row>
    <row r="770" spans="3:3" x14ac:dyDescent="0.25">
      <c r="C770" s="2"/>
    </row>
    <row r="771" spans="3:3" x14ac:dyDescent="0.25">
      <c r="C771" s="2"/>
    </row>
    <row r="772" spans="3:3" x14ac:dyDescent="0.25">
      <c r="C772" s="2"/>
    </row>
    <row r="773" spans="3:3" x14ac:dyDescent="0.25">
      <c r="C773" s="2"/>
    </row>
    <row r="774" spans="3:3" x14ac:dyDescent="0.25">
      <c r="C774" s="2"/>
    </row>
    <row r="775" spans="3:3" x14ac:dyDescent="0.25">
      <c r="C775" s="2"/>
    </row>
    <row r="776" spans="3:3" x14ac:dyDescent="0.25">
      <c r="C776" s="2"/>
    </row>
    <row r="777" spans="3:3" x14ac:dyDescent="0.25">
      <c r="C777" s="2"/>
    </row>
    <row r="778" spans="3:3" x14ac:dyDescent="0.25">
      <c r="C778" s="2"/>
    </row>
    <row r="779" spans="3:3" x14ac:dyDescent="0.25">
      <c r="C779" s="2"/>
    </row>
    <row r="780" spans="3:3" x14ac:dyDescent="0.25">
      <c r="C780" s="2"/>
    </row>
    <row r="781" spans="3:3" x14ac:dyDescent="0.25">
      <c r="C781" s="2"/>
    </row>
    <row r="782" spans="3:3" x14ac:dyDescent="0.25">
      <c r="C782" s="2"/>
    </row>
    <row r="783" spans="3:3" x14ac:dyDescent="0.25">
      <c r="C783" s="2"/>
    </row>
    <row r="784" spans="3:3" x14ac:dyDescent="0.25">
      <c r="C784" s="2"/>
    </row>
    <row r="785" spans="3:3" x14ac:dyDescent="0.25">
      <c r="C785" s="2"/>
    </row>
    <row r="786" spans="3:3" x14ac:dyDescent="0.25">
      <c r="C786" s="2"/>
    </row>
    <row r="787" spans="3:3" x14ac:dyDescent="0.25">
      <c r="C787" s="2"/>
    </row>
    <row r="788" spans="3:3" x14ac:dyDescent="0.25">
      <c r="C788" s="2"/>
    </row>
    <row r="789" spans="3:3" x14ac:dyDescent="0.25">
      <c r="C789" s="2"/>
    </row>
    <row r="790" spans="3:3" x14ac:dyDescent="0.25">
      <c r="C790" s="2"/>
    </row>
    <row r="791" spans="3:3" x14ac:dyDescent="0.25">
      <c r="C791" s="2"/>
    </row>
    <row r="792" spans="3:3" x14ac:dyDescent="0.25">
      <c r="C792" s="2"/>
    </row>
    <row r="793" spans="3:3" x14ac:dyDescent="0.25">
      <c r="C793" s="2"/>
    </row>
    <row r="794" spans="3:3" x14ac:dyDescent="0.25">
      <c r="C794" s="2"/>
    </row>
    <row r="795" spans="3:3" x14ac:dyDescent="0.25">
      <c r="C795" s="2"/>
    </row>
    <row r="796" spans="3:3" x14ac:dyDescent="0.25">
      <c r="C796" s="2"/>
    </row>
    <row r="797" spans="3:3" x14ac:dyDescent="0.25">
      <c r="C797" s="2"/>
    </row>
    <row r="798" spans="3:3" x14ac:dyDescent="0.25">
      <c r="C798" s="2"/>
    </row>
    <row r="799" spans="3:3" x14ac:dyDescent="0.25">
      <c r="C799" s="2"/>
    </row>
    <row r="800" spans="3:3" x14ac:dyDescent="0.25">
      <c r="C800" s="2"/>
    </row>
    <row r="801" spans="3:3" x14ac:dyDescent="0.25">
      <c r="C801" s="2"/>
    </row>
    <row r="802" spans="3:3" x14ac:dyDescent="0.25">
      <c r="C802" s="2"/>
    </row>
    <row r="803" spans="3:3" x14ac:dyDescent="0.25">
      <c r="C803" s="2"/>
    </row>
    <row r="804" spans="3:3" x14ac:dyDescent="0.25">
      <c r="C804" s="2"/>
    </row>
    <row r="805" spans="3:3" x14ac:dyDescent="0.25">
      <c r="C805" s="2"/>
    </row>
    <row r="806" spans="3:3" x14ac:dyDescent="0.25">
      <c r="C806" s="2"/>
    </row>
    <row r="807" spans="3:3" x14ac:dyDescent="0.25">
      <c r="C807" s="2"/>
    </row>
    <row r="808" spans="3:3" x14ac:dyDescent="0.25">
      <c r="C808" s="2"/>
    </row>
    <row r="809" spans="3:3" x14ac:dyDescent="0.25">
      <c r="C809" s="2"/>
    </row>
    <row r="810" spans="3:3" x14ac:dyDescent="0.25">
      <c r="C810" s="2"/>
    </row>
    <row r="811" spans="3:3" x14ac:dyDescent="0.25">
      <c r="C811" s="2"/>
    </row>
    <row r="812" spans="3:3" x14ac:dyDescent="0.25">
      <c r="C812" s="2"/>
    </row>
    <row r="813" spans="3:3" x14ac:dyDescent="0.25">
      <c r="C813" s="2"/>
    </row>
    <row r="814" spans="3:3" x14ac:dyDescent="0.25">
      <c r="C814" s="2"/>
    </row>
    <row r="815" spans="3:3" x14ac:dyDescent="0.25">
      <c r="C815" s="2"/>
    </row>
    <row r="816" spans="3:3" x14ac:dyDescent="0.25">
      <c r="C816" s="2"/>
    </row>
    <row r="817" spans="3:3" x14ac:dyDescent="0.25">
      <c r="C817" s="2"/>
    </row>
    <row r="818" spans="3:3" x14ac:dyDescent="0.25">
      <c r="C818" s="2"/>
    </row>
    <row r="819" spans="3:3" x14ac:dyDescent="0.25">
      <c r="C819" s="2"/>
    </row>
    <row r="820" spans="3:3" x14ac:dyDescent="0.25">
      <c r="C820" s="2"/>
    </row>
    <row r="821" spans="3:3" x14ac:dyDescent="0.25">
      <c r="C821" s="2"/>
    </row>
    <row r="822" spans="3:3" x14ac:dyDescent="0.25">
      <c r="C822" s="2"/>
    </row>
    <row r="823" spans="3:3" x14ac:dyDescent="0.25">
      <c r="C823" s="2"/>
    </row>
    <row r="824" spans="3:3" x14ac:dyDescent="0.25">
      <c r="C824" s="2"/>
    </row>
    <row r="825" spans="3:3" x14ac:dyDescent="0.25">
      <c r="C825" s="2"/>
    </row>
    <row r="826" spans="3:3" x14ac:dyDescent="0.25">
      <c r="C826" s="2"/>
    </row>
    <row r="827" spans="3:3" x14ac:dyDescent="0.25">
      <c r="C827" s="2"/>
    </row>
    <row r="828" spans="3:3" x14ac:dyDescent="0.25">
      <c r="C828" s="2"/>
    </row>
    <row r="829" spans="3:3" x14ac:dyDescent="0.25">
      <c r="C829" s="2"/>
    </row>
    <row r="830" spans="3:3" x14ac:dyDescent="0.25">
      <c r="C830" s="2"/>
    </row>
    <row r="831" spans="3:3" x14ac:dyDescent="0.25">
      <c r="C831" s="2"/>
    </row>
    <row r="832" spans="3:3" x14ac:dyDescent="0.25">
      <c r="C832" s="2"/>
    </row>
    <row r="833" spans="3:3" x14ac:dyDescent="0.25">
      <c r="C833" s="2"/>
    </row>
    <row r="834" spans="3:3" x14ac:dyDescent="0.25">
      <c r="C834" s="2"/>
    </row>
    <row r="835" spans="3:3" x14ac:dyDescent="0.25">
      <c r="C835" s="2"/>
    </row>
    <row r="836" spans="3:3" x14ac:dyDescent="0.25">
      <c r="C836" s="2"/>
    </row>
    <row r="837" spans="3:3" x14ac:dyDescent="0.25">
      <c r="C837" s="2"/>
    </row>
    <row r="838" spans="3:3" x14ac:dyDescent="0.25">
      <c r="C838" s="2"/>
    </row>
    <row r="839" spans="3:3" x14ac:dyDescent="0.25">
      <c r="C839" s="2"/>
    </row>
    <row r="840" spans="3:3" x14ac:dyDescent="0.25">
      <c r="C840" s="2"/>
    </row>
    <row r="841" spans="3:3" x14ac:dyDescent="0.25">
      <c r="C841" s="2"/>
    </row>
    <row r="842" spans="3:3" x14ac:dyDescent="0.25">
      <c r="C842" s="2"/>
    </row>
    <row r="843" spans="3:3" x14ac:dyDescent="0.25">
      <c r="C843" s="2"/>
    </row>
    <row r="844" spans="3:3" x14ac:dyDescent="0.25">
      <c r="C844" s="2"/>
    </row>
    <row r="845" spans="3:3" x14ac:dyDescent="0.25">
      <c r="C845" s="2"/>
    </row>
    <row r="846" spans="3:3" x14ac:dyDescent="0.25">
      <c r="C846" s="2"/>
    </row>
    <row r="847" spans="3:3" x14ac:dyDescent="0.25">
      <c r="C847" s="2"/>
    </row>
    <row r="848" spans="3:3" x14ac:dyDescent="0.25">
      <c r="C848" s="2"/>
    </row>
    <row r="849" spans="3:3" x14ac:dyDescent="0.25">
      <c r="C849" s="2"/>
    </row>
    <row r="850" spans="3:3" x14ac:dyDescent="0.25">
      <c r="C850" s="2"/>
    </row>
    <row r="851" spans="3:3" x14ac:dyDescent="0.25">
      <c r="C851" s="2"/>
    </row>
    <row r="852" spans="3:3" x14ac:dyDescent="0.25">
      <c r="C852" s="2"/>
    </row>
    <row r="853" spans="3:3" x14ac:dyDescent="0.25">
      <c r="C853" s="2"/>
    </row>
    <row r="854" spans="3:3" x14ac:dyDescent="0.25">
      <c r="C854" s="2"/>
    </row>
    <row r="855" spans="3:3" x14ac:dyDescent="0.25">
      <c r="C855" s="2"/>
    </row>
    <row r="856" spans="3:3" x14ac:dyDescent="0.25">
      <c r="C856" s="2"/>
    </row>
    <row r="857" spans="3:3" x14ac:dyDescent="0.25">
      <c r="C857" s="2"/>
    </row>
    <row r="858" spans="3:3" x14ac:dyDescent="0.25">
      <c r="C858" s="2"/>
    </row>
    <row r="859" spans="3:3" x14ac:dyDescent="0.25">
      <c r="C859" s="2"/>
    </row>
    <row r="860" spans="3:3" x14ac:dyDescent="0.25">
      <c r="C860" s="2"/>
    </row>
    <row r="861" spans="3:3" x14ac:dyDescent="0.25">
      <c r="C861" s="2"/>
    </row>
    <row r="862" spans="3:3" x14ac:dyDescent="0.25">
      <c r="C862" s="2"/>
    </row>
    <row r="863" spans="3:3" x14ac:dyDescent="0.25">
      <c r="C863" s="2"/>
    </row>
    <row r="864" spans="3:3" x14ac:dyDescent="0.25">
      <c r="C864" s="2"/>
    </row>
    <row r="865" spans="3:3" x14ac:dyDescent="0.25">
      <c r="C865" s="2"/>
    </row>
    <row r="866" spans="3:3" x14ac:dyDescent="0.25">
      <c r="C866" s="2"/>
    </row>
    <row r="867" spans="3:3" x14ac:dyDescent="0.25">
      <c r="C867" s="2"/>
    </row>
    <row r="868" spans="3:3" x14ac:dyDescent="0.25">
      <c r="C868" s="2"/>
    </row>
    <row r="869" spans="3:3" x14ac:dyDescent="0.25">
      <c r="C869" s="2"/>
    </row>
    <row r="870" spans="3:3" x14ac:dyDescent="0.25">
      <c r="C870" s="2"/>
    </row>
    <row r="871" spans="3:3" x14ac:dyDescent="0.25">
      <c r="C871" s="2"/>
    </row>
    <row r="872" spans="3:3" x14ac:dyDescent="0.25">
      <c r="C872" s="2"/>
    </row>
    <row r="873" spans="3:3" x14ac:dyDescent="0.25">
      <c r="C873" s="2"/>
    </row>
    <row r="874" spans="3:3" x14ac:dyDescent="0.25">
      <c r="C874" s="2"/>
    </row>
    <row r="875" spans="3:3" x14ac:dyDescent="0.25">
      <c r="C875" s="2"/>
    </row>
    <row r="876" spans="3:3" x14ac:dyDescent="0.25">
      <c r="C876" s="2"/>
    </row>
    <row r="877" spans="3:3" x14ac:dyDescent="0.25">
      <c r="C877" s="2"/>
    </row>
    <row r="878" spans="3:3" x14ac:dyDescent="0.25">
      <c r="C878" s="2"/>
    </row>
    <row r="879" spans="3:3" x14ac:dyDescent="0.25">
      <c r="C879" s="2"/>
    </row>
    <row r="880" spans="3:3" x14ac:dyDescent="0.25">
      <c r="C880" s="2"/>
    </row>
    <row r="881" spans="3:3" x14ac:dyDescent="0.25">
      <c r="C881" s="2"/>
    </row>
    <row r="882" spans="3:3" x14ac:dyDescent="0.25">
      <c r="C882" s="2"/>
    </row>
    <row r="883" spans="3:3" x14ac:dyDescent="0.25">
      <c r="C883" s="2"/>
    </row>
    <row r="884" spans="3:3" x14ac:dyDescent="0.25">
      <c r="C884" s="2"/>
    </row>
    <row r="885" spans="3:3" x14ac:dyDescent="0.25">
      <c r="C885" s="2"/>
    </row>
    <row r="886" spans="3:3" x14ac:dyDescent="0.25">
      <c r="C886" s="2"/>
    </row>
    <row r="887" spans="3:3" x14ac:dyDescent="0.25">
      <c r="C887" s="2"/>
    </row>
    <row r="888" spans="3:3" x14ac:dyDescent="0.25">
      <c r="C888" s="2"/>
    </row>
    <row r="889" spans="3:3" x14ac:dyDescent="0.25">
      <c r="C889" s="2"/>
    </row>
    <row r="890" spans="3:3" x14ac:dyDescent="0.25">
      <c r="C890" s="2"/>
    </row>
    <row r="891" spans="3:3" x14ac:dyDescent="0.25">
      <c r="C891" s="2"/>
    </row>
    <row r="892" spans="3:3" x14ac:dyDescent="0.25">
      <c r="C892" s="2"/>
    </row>
    <row r="893" spans="3:3" x14ac:dyDescent="0.25">
      <c r="C893" s="2"/>
    </row>
    <row r="894" spans="3:3" x14ac:dyDescent="0.25">
      <c r="C894" s="2"/>
    </row>
    <row r="895" spans="3:3" x14ac:dyDescent="0.25">
      <c r="C895" s="2"/>
    </row>
    <row r="896" spans="3:3" x14ac:dyDescent="0.25">
      <c r="C896" s="2"/>
    </row>
    <row r="897" spans="3:3" x14ac:dyDescent="0.25">
      <c r="C897" s="2"/>
    </row>
    <row r="898" spans="3:3" x14ac:dyDescent="0.25">
      <c r="C898" s="2"/>
    </row>
    <row r="899" spans="3:3" x14ac:dyDescent="0.25">
      <c r="C899" s="2"/>
    </row>
    <row r="900" spans="3:3" x14ac:dyDescent="0.25">
      <c r="C900" s="2"/>
    </row>
    <row r="901" spans="3:3" x14ac:dyDescent="0.25">
      <c r="C901" s="2"/>
    </row>
    <row r="902" spans="3:3" x14ac:dyDescent="0.25">
      <c r="C902" s="2"/>
    </row>
    <row r="903" spans="3:3" x14ac:dyDescent="0.25">
      <c r="C903" s="2"/>
    </row>
    <row r="904" spans="3:3" x14ac:dyDescent="0.25">
      <c r="C904" s="2"/>
    </row>
    <row r="905" spans="3:3" x14ac:dyDescent="0.25">
      <c r="C905" s="2"/>
    </row>
    <row r="906" spans="3:3" x14ac:dyDescent="0.25">
      <c r="C906" s="2"/>
    </row>
    <row r="907" spans="3:3" x14ac:dyDescent="0.25">
      <c r="C907" s="2"/>
    </row>
    <row r="908" spans="3:3" x14ac:dyDescent="0.25">
      <c r="C908" s="2"/>
    </row>
    <row r="909" spans="3:3" x14ac:dyDescent="0.25">
      <c r="C909" s="2"/>
    </row>
    <row r="910" spans="3:3" x14ac:dyDescent="0.25">
      <c r="C910" s="2"/>
    </row>
    <row r="911" spans="3:3" x14ac:dyDescent="0.25">
      <c r="C911" s="2"/>
    </row>
    <row r="912" spans="3:3" x14ac:dyDescent="0.25">
      <c r="C912" s="2"/>
    </row>
    <row r="913" spans="3:3" x14ac:dyDescent="0.25">
      <c r="C913" s="2"/>
    </row>
    <row r="914" spans="3:3" x14ac:dyDescent="0.25">
      <c r="C914" s="2"/>
    </row>
    <row r="915" spans="3:3" x14ac:dyDescent="0.25">
      <c r="C915" s="2"/>
    </row>
    <row r="916" spans="3:3" x14ac:dyDescent="0.25">
      <c r="C916" s="2"/>
    </row>
    <row r="917" spans="3:3" x14ac:dyDescent="0.25">
      <c r="C917" s="2"/>
    </row>
    <row r="918" spans="3:3" x14ac:dyDescent="0.25">
      <c r="C918" s="2"/>
    </row>
    <row r="919" spans="3:3" x14ac:dyDescent="0.25">
      <c r="C919" s="2"/>
    </row>
    <row r="920" spans="3:3" x14ac:dyDescent="0.25">
      <c r="C920" s="2"/>
    </row>
    <row r="921" spans="3:3" x14ac:dyDescent="0.25">
      <c r="C921" s="2"/>
    </row>
    <row r="922" spans="3:3" x14ac:dyDescent="0.25">
      <c r="C922" s="2"/>
    </row>
    <row r="923" spans="3:3" x14ac:dyDescent="0.25">
      <c r="C923" s="2"/>
    </row>
    <row r="924" spans="3:3" x14ac:dyDescent="0.25">
      <c r="C924" s="2"/>
    </row>
    <row r="925" spans="3:3" x14ac:dyDescent="0.25">
      <c r="C925" s="2"/>
    </row>
    <row r="926" spans="3:3" x14ac:dyDescent="0.25">
      <c r="C926" s="2"/>
    </row>
    <row r="927" spans="3:3" x14ac:dyDescent="0.25">
      <c r="C927" s="2"/>
    </row>
    <row r="928" spans="3:3" x14ac:dyDescent="0.25">
      <c r="C928" s="2"/>
    </row>
    <row r="929" spans="3:3" x14ac:dyDescent="0.25">
      <c r="C929" s="2"/>
    </row>
    <row r="930" spans="3:3" x14ac:dyDescent="0.25">
      <c r="C930" s="2"/>
    </row>
    <row r="931" spans="3:3" x14ac:dyDescent="0.25">
      <c r="C931" s="2"/>
    </row>
    <row r="932" spans="3:3" x14ac:dyDescent="0.25">
      <c r="C932" s="2"/>
    </row>
    <row r="933" spans="3:3" x14ac:dyDescent="0.25">
      <c r="C933" s="2"/>
    </row>
    <row r="934" spans="3:3" x14ac:dyDescent="0.25">
      <c r="C934" s="2"/>
    </row>
    <row r="935" spans="3:3" x14ac:dyDescent="0.25">
      <c r="C935" s="2"/>
    </row>
    <row r="936" spans="3:3" x14ac:dyDescent="0.25">
      <c r="C936" s="2"/>
    </row>
    <row r="937" spans="3:3" x14ac:dyDescent="0.25">
      <c r="C937" s="2"/>
    </row>
    <row r="938" spans="3:3" x14ac:dyDescent="0.25">
      <c r="C938" s="2"/>
    </row>
    <row r="939" spans="3:3" x14ac:dyDescent="0.25">
      <c r="C939" s="2"/>
    </row>
    <row r="940" spans="3:3" x14ac:dyDescent="0.25">
      <c r="C940" s="2"/>
    </row>
    <row r="941" spans="3:3" x14ac:dyDescent="0.25">
      <c r="C941" s="2"/>
    </row>
    <row r="942" spans="3:3" x14ac:dyDescent="0.25">
      <c r="C942" s="2"/>
    </row>
    <row r="943" spans="3:3" x14ac:dyDescent="0.25">
      <c r="C943" s="2"/>
    </row>
    <row r="944" spans="3:3" x14ac:dyDescent="0.25">
      <c r="C944" s="2"/>
    </row>
    <row r="945" spans="3:3" x14ac:dyDescent="0.25">
      <c r="C945" s="2"/>
    </row>
    <row r="946" spans="3:3" x14ac:dyDescent="0.25">
      <c r="C946" s="2"/>
    </row>
    <row r="947" spans="3:3" x14ac:dyDescent="0.25">
      <c r="C947" s="2"/>
    </row>
    <row r="948" spans="3:3" x14ac:dyDescent="0.25">
      <c r="C948" s="2"/>
    </row>
    <row r="949" spans="3:3" x14ac:dyDescent="0.25">
      <c r="C949" s="2"/>
    </row>
    <row r="950" spans="3:3" x14ac:dyDescent="0.25">
      <c r="C950" s="2"/>
    </row>
    <row r="951" spans="3:3" x14ac:dyDescent="0.25">
      <c r="C951" s="2"/>
    </row>
    <row r="952" spans="3:3" x14ac:dyDescent="0.25">
      <c r="C952" s="2"/>
    </row>
    <row r="953" spans="3:3" x14ac:dyDescent="0.25">
      <c r="C953" s="2"/>
    </row>
    <row r="954" spans="3:3" x14ac:dyDescent="0.25">
      <c r="C954" s="2"/>
    </row>
    <row r="955" spans="3:3" x14ac:dyDescent="0.25">
      <c r="C955" s="2"/>
    </row>
    <row r="956" spans="3:3" x14ac:dyDescent="0.25">
      <c r="C956" s="2"/>
    </row>
    <row r="957" spans="3:3" x14ac:dyDescent="0.25">
      <c r="C957" s="2"/>
    </row>
    <row r="958" spans="3:3" x14ac:dyDescent="0.25">
      <c r="C958" s="2"/>
    </row>
    <row r="959" spans="3:3" x14ac:dyDescent="0.25">
      <c r="C959" s="2"/>
    </row>
    <row r="960" spans="3:3" x14ac:dyDescent="0.25">
      <c r="C960" s="2"/>
    </row>
    <row r="961" spans="3:3" x14ac:dyDescent="0.25">
      <c r="C961" s="2"/>
    </row>
    <row r="962" spans="3:3" x14ac:dyDescent="0.25">
      <c r="C962" s="2"/>
    </row>
    <row r="963" spans="3:3" x14ac:dyDescent="0.25">
      <c r="C963" s="2"/>
    </row>
    <row r="964" spans="3:3" x14ac:dyDescent="0.25">
      <c r="C964" s="2"/>
    </row>
    <row r="965" spans="3:3" x14ac:dyDescent="0.25">
      <c r="C965" s="2"/>
    </row>
    <row r="966" spans="3:3" x14ac:dyDescent="0.25">
      <c r="C966" s="2"/>
    </row>
    <row r="967" spans="3:3" x14ac:dyDescent="0.25">
      <c r="C967" s="2"/>
    </row>
    <row r="968" spans="3:3" x14ac:dyDescent="0.25">
      <c r="C968" s="2"/>
    </row>
    <row r="969" spans="3:3" x14ac:dyDescent="0.25">
      <c r="C969" s="2"/>
    </row>
    <row r="970" spans="3:3" x14ac:dyDescent="0.25">
      <c r="C970" s="2"/>
    </row>
    <row r="971" spans="3:3" x14ac:dyDescent="0.25">
      <c r="C971" s="2"/>
    </row>
    <row r="972" spans="3:3" x14ac:dyDescent="0.25">
      <c r="C972" s="2"/>
    </row>
    <row r="973" spans="3:3" x14ac:dyDescent="0.25">
      <c r="C973" s="2"/>
    </row>
    <row r="974" spans="3:3" x14ac:dyDescent="0.25">
      <c r="C974" s="2"/>
    </row>
    <row r="975" spans="3:3" x14ac:dyDescent="0.25">
      <c r="C975" s="2"/>
    </row>
    <row r="976" spans="3:3" x14ac:dyDescent="0.25">
      <c r="C976" s="2"/>
    </row>
    <row r="977" spans="3:3" x14ac:dyDescent="0.25">
      <c r="C977" s="2"/>
    </row>
    <row r="978" spans="3:3" x14ac:dyDescent="0.25">
      <c r="C978" s="2"/>
    </row>
    <row r="979" spans="3:3" x14ac:dyDescent="0.25">
      <c r="C979" s="2"/>
    </row>
    <row r="980" spans="3:3" x14ac:dyDescent="0.25">
      <c r="C980" s="2"/>
    </row>
    <row r="981" spans="3:3" x14ac:dyDescent="0.25">
      <c r="C981" s="2"/>
    </row>
    <row r="982" spans="3:3" x14ac:dyDescent="0.25">
      <c r="C982" s="2"/>
    </row>
    <row r="983" spans="3:3" x14ac:dyDescent="0.25">
      <c r="C983" s="2"/>
    </row>
    <row r="984" spans="3:3" x14ac:dyDescent="0.25">
      <c r="C984" s="2"/>
    </row>
    <row r="985" spans="3:3" x14ac:dyDescent="0.25">
      <c r="C985" s="2"/>
    </row>
    <row r="986" spans="3:3" x14ac:dyDescent="0.25">
      <c r="C986" s="2"/>
    </row>
    <row r="987" spans="3:3" x14ac:dyDescent="0.25">
      <c r="C987" s="2"/>
    </row>
    <row r="988" spans="3:3" x14ac:dyDescent="0.25">
      <c r="C988" s="2"/>
    </row>
    <row r="989" spans="3:3" x14ac:dyDescent="0.25">
      <c r="C989" s="2"/>
    </row>
    <row r="990" spans="3:3" x14ac:dyDescent="0.25">
      <c r="C990" s="2"/>
    </row>
    <row r="991" spans="3:3" x14ac:dyDescent="0.25">
      <c r="C991" s="2"/>
    </row>
    <row r="992" spans="3:3" x14ac:dyDescent="0.25">
      <c r="C992" s="2"/>
    </row>
    <row r="993" spans="3:3" x14ac:dyDescent="0.25">
      <c r="C993" s="2"/>
    </row>
    <row r="994" spans="3:3" x14ac:dyDescent="0.25">
      <c r="C994" s="2"/>
    </row>
    <row r="995" spans="3:3" x14ac:dyDescent="0.25">
      <c r="C995" s="2"/>
    </row>
    <row r="996" spans="3:3" x14ac:dyDescent="0.25">
      <c r="C996" s="2"/>
    </row>
    <row r="997" spans="3:3" x14ac:dyDescent="0.25">
      <c r="C997" s="2"/>
    </row>
    <row r="998" spans="3:3" x14ac:dyDescent="0.25">
      <c r="C998" s="2"/>
    </row>
    <row r="999" spans="3:3" x14ac:dyDescent="0.25">
      <c r="C999" s="2"/>
    </row>
    <row r="1000" spans="3:3" x14ac:dyDescent="0.25">
      <c r="C1000" s="2"/>
    </row>
    <row r="1001" spans="3:3" x14ac:dyDescent="0.25">
      <c r="C1001" s="2"/>
    </row>
    <row r="1002" spans="3:3" x14ac:dyDescent="0.25">
      <c r="C1002" s="2"/>
    </row>
    <row r="1003" spans="3:3" x14ac:dyDescent="0.25">
      <c r="C1003" s="2"/>
    </row>
    <row r="1004" spans="3:3" x14ac:dyDescent="0.25">
      <c r="C1004" s="2"/>
    </row>
    <row r="1005" spans="3:3" x14ac:dyDescent="0.25">
      <c r="C1005" s="2"/>
    </row>
    <row r="1006" spans="3:3" x14ac:dyDescent="0.25">
      <c r="C1006" s="2"/>
    </row>
    <row r="1007" spans="3:3" x14ac:dyDescent="0.25">
      <c r="C1007" s="2"/>
    </row>
    <row r="1008" spans="3:3" x14ac:dyDescent="0.25">
      <c r="C1008" s="2"/>
    </row>
    <row r="1009" spans="3:3" x14ac:dyDescent="0.25">
      <c r="C1009" s="2"/>
    </row>
    <row r="1010" spans="3:3" x14ac:dyDescent="0.25">
      <c r="C1010" s="2"/>
    </row>
    <row r="1011" spans="3:3" x14ac:dyDescent="0.25">
      <c r="C1011" s="2"/>
    </row>
    <row r="1012" spans="3:3" x14ac:dyDescent="0.25">
      <c r="C1012" s="2"/>
    </row>
    <row r="1013" spans="3:3" x14ac:dyDescent="0.25">
      <c r="C1013" s="2"/>
    </row>
    <row r="1014" spans="3:3" x14ac:dyDescent="0.25">
      <c r="C1014" s="2"/>
    </row>
    <row r="1015" spans="3:3" x14ac:dyDescent="0.25">
      <c r="C1015" s="2"/>
    </row>
    <row r="1016" spans="3:3" x14ac:dyDescent="0.25">
      <c r="C1016" s="2"/>
    </row>
    <row r="1017" spans="3:3" x14ac:dyDescent="0.25">
      <c r="C1017" s="2"/>
    </row>
    <row r="1018" spans="3:3" x14ac:dyDescent="0.25">
      <c r="C1018" s="2"/>
    </row>
    <row r="1019" spans="3:3" x14ac:dyDescent="0.25">
      <c r="C1019" s="2"/>
    </row>
    <row r="1020" spans="3:3" x14ac:dyDescent="0.25">
      <c r="C1020" s="2"/>
    </row>
    <row r="1021" spans="3:3" x14ac:dyDescent="0.25">
      <c r="C1021" s="2"/>
    </row>
    <row r="1022" spans="3:3" x14ac:dyDescent="0.25">
      <c r="C1022" s="2"/>
    </row>
    <row r="1023" spans="3:3" x14ac:dyDescent="0.25">
      <c r="C1023" s="2"/>
    </row>
    <row r="1024" spans="3:3" x14ac:dyDescent="0.25">
      <c r="C1024" s="2"/>
    </row>
    <row r="1025" spans="3:3" x14ac:dyDescent="0.25">
      <c r="C1025" s="2"/>
    </row>
    <row r="1026" spans="3:3" x14ac:dyDescent="0.25">
      <c r="C1026" s="2"/>
    </row>
    <row r="1027" spans="3:3" x14ac:dyDescent="0.25">
      <c r="C1027" s="2"/>
    </row>
    <row r="1028" spans="3:3" x14ac:dyDescent="0.25">
      <c r="C1028" s="2"/>
    </row>
    <row r="1029" spans="3:3" x14ac:dyDescent="0.25">
      <c r="C1029" s="2"/>
    </row>
    <row r="1030" spans="3:3" x14ac:dyDescent="0.25">
      <c r="C1030" s="2"/>
    </row>
    <row r="1031" spans="3:3" x14ac:dyDescent="0.25">
      <c r="C1031" s="2"/>
    </row>
    <row r="1032" spans="3:3" x14ac:dyDescent="0.25">
      <c r="C1032" s="2"/>
    </row>
    <row r="1033" spans="3:3" x14ac:dyDescent="0.25">
      <c r="C1033" s="2"/>
    </row>
    <row r="1034" spans="3:3" x14ac:dyDescent="0.25">
      <c r="C1034" s="2"/>
    </row>
    <row r="1035" spans="3:3" x14ac:dyDescent="0.25">
      <c r="C1035" s="2"/>
    </row>
    <row r="1036" spans="3:3" x14ac:dyDescent="0.25">
      <c r="C1036" s="2"/>
    </row>
    <row r="1037" spans="3:3" x14ac:dyDescent="0.25">
      <c r="C1037" s="2"/>
    </row>
    <row r="1038" spans="3:3" x14ac:dyDescent="0.25">
      <c r="C1038" s="2"/>
    </row>
    <row r="1039" spans="3:3" x14ac:dyDescent="0.25">
      <c r="C1039" s="2"/>
    </row>
    <row r="1040" spans="3:3" x14ac:dyDescent="0.25">
      <c r="C1040" s="2"/>
    </row>
    <row r="1041" spans="3:3" x14ac:dyDescent="0.25">
      <c r="C1041" s="2"/>
    </row>
    <row r="1042" spans="3:3" x14ac:dyDescent="0.25">
      <c r="C1042" s="2"/>
    </row>
    <row r="1043" spans="3:3" x14ac:dyDescent="0.25">
      <c r="C1043" s="2"/>
    </row>
    <row r="1044" spans="3:3" x14ac:dyDescent="0.25">
      <c r="C1044" s="2"/>
    </row>
    <row r="1045" spans="3:3" x14ac:dyDescent="0.25">
      <c r="C1045" s="2"/>
    </row>
    <row r="1046" spans="3:3" x14ac:dyDescent="0.25">
      <c r="C1046" s="2"/>
    </row>
    <row r="1047" spans="3:3" x14ac:dyDescent="0.25">
      <c r="C1047" s="2"/>
    </row>
    <row r="1048" spans="3:3" x14ac:dyDescent="0.25">
      <c r="C1048" s="2"/>
    </row>
    <row r="1049" spans="3:3" x14ac:dyDescent="0.25">
      <c r="C1049" s="2"/>
    </row>
    <row r="1050" spans="3:3" x14ac:dyDescent="0.25">
      <c r="C1050" s="2"/>
    </row>
    <row r="1051" spans="3:3" x14ac:dyDescent="0.25">
      <c r="C1051" s="2"/>
    </row>
    <row r="1052" spans="3:3" x14ac:dyDescent="0.25">
      <c r="C1052" s="2"/>
    </row>
    <row r="1053" spans="3:3" x14ac:dyDescent="0.25">
      <c r="C1053" s="2"/>
    </row>
    <row r="1054" spans="3:3" x14ac:dyDescent="0.25">
      <c r="C1054" s="2"/>
    </row>
    <row r="1055" spans="3:3" x14ac:dyDescent="0.25">
      <c r="C1055" s="2"/>
    </row>
    <row r="1056" spans="3:3" x14ac:dyDescent="0.25">
      <c r="C1056" s="2"/>
    </row>
    <row r="1057" spans="3:3" x14ac:dyDescent="0.25">
      <c r="C1057" s="2"/>
    </row>
    <row r="1058" spans="3:3" x14ac:dyDescent="0.25">
      <c r="C1058" s="2"/>
    </row>
    <row r="1059" spans="3:3" x14ac:dyDescent="0.25">
      <c r="C1059" s="2"/>
    </row>
    <row r="1060" spans="3:3" x14ac:dyDescent="0.25">
      <c r="C1060" s="2"/>
    </row>
    <row r="1061" spans="3:3" x14ac:dyDescent="0.25">
      <c r="C1061" s="2"/>
    </row>
    <row r="1062" spans="3:3" x14ac:dyDescent="0.25">
      <c r="C1062" s="2"/>
    </row>
    <row r="1063" spans="3:3" x14ac:dyDescent="0.25">
      <c r="C1063" s="2"/>
    </row>
    <row r="1064" spans="3:3" x14ac:dyDescent="0.25">
      <c r="C1064" s="2"/>
    </row>
    <row r="1065" spans="3:3" x14ac:dyDescent="0.25">
      <c r="C1065" s="2"/>
    </row>
    <row r="1066" spans="3:3" x14ac:dyDescent="0.25">
      <c r="C1066" s="2"/>
    </row>
    <row r="1067" spans="3:3" x14ac:dyDescent="0.25">
      <c r="C1067" s="2"/>
    </row>
    <row r="1068" spans="3:3" x14ac:dyDescent="0.25">
      <c r="C1068" s="2"/>
    </row>
    <row r="1069" spans="3:3" x14ac:dyDescent="0.25">
      <c r="C1069" s="2"/>
    </row>
    <row r="1070" spans="3:3" x14ac:dyDescent="0.25">
      <c r="C1070" s="2"/>
    </row>
    <row r="1071" spans="3:3" x14ac:dyDescent="0.25">
      <c r="C1071" s="2"/>
    </row>
    <row r="1072" spans="3:3" x14ac:dyDescent="0.25">
      <c r="C1072" s="2"/>
    </row>
    <row r="1073" spans="3:3" x14ac:dyDescent="0.25">
      <c r="C1073" s="2"/>
    </row>
    <row r="1074" spans="3:3" x14ac:dyDescent="0.25">
      <c r="C1074" s="2"/>
    </row>
    <row r="1075" spans="3:3" x14ac:dyDescent="0.25">
      <c r="C1075" s="2"/>
    </row>
    <row r="1076" spans="3:3" x14ac:dyDescent="0.25">
      <c r="C1076" s="2"/>
    </row>
    <row r="1077" spans="3:3" x14ac:dyDescent="0.25">
      <c r="C1077" s="2"/>
    </row>
    <row r="1078" spans="3:3" x14ac:dyDescent="0.25">
      <c r="C1078" s="2"/>
    </row>
    <row r="1079" spans="3:3" x14ac:dyDescent="0.25">
      <c r="C1079" s="2"/>
    </row>
    <row r="1080" spans="3:3" x14ac:dyDescent="0.25">
      <c r="C1080" s="2"/>
    </row>
    <row r="1081" spans="3:3" x14ac:dyDescent="0.25">
      <c r="C1081" s="2"/>
    </row>
    <row r="1082" spans="3:3" x14ac:dyDescent="0.25">
      <c r="C1082" s="2"/>
    </row>
    <row r="1083" spans="3:3" x14ac:dyDescent="0.25">
      <c r="C1083" s="2"/>
    </row>
    <row r="1084" spans="3:3" x14ac:dyDescent="0.25">
      <c r="C1084" s="2"/>
    </row>
    <row r="1085" spans="3:3" x14ac:dyDescent="0.25">
      <c r="C1085" s="2"/>
    </row>
    <row r="1086" spans="3:3" x14ac:dyDescent="0.25">
      <c r="C1086" s="2"/>
    </row>
    <row r="1087" spans="3:3" x14ac:dyDescent="0.25">
      <c r="C1087" s="2"/>
    </row>
    <row r="1088" spans="3:3" x14ac:dyDescent="0.25">
      <c r="C1088" s="2"/>
    </row>
    <row r="1089" spans="3:3" x14ac:dyDescent="0.25">
      <c r="C1089" s="2"/>
    </row>
    <row r="1090" spans="3:3" x14ac:dyDescent="0.25">
      <c r="C1090" s="2"/>
    </row>
    <row r="1091" spans="3:3" x14ac:dyDescent="0.25">
      <c r="C1091" s="2"/>
    </row>
    <row r="1092" spans="3:3" x14ac:dyDescent="0.25">
      <c r="C1092" s="2"/>
    </row>
    <row r="1093" spans="3:3" x14ac:dyDescent="0.25">
      <c r="C1093" s="2"/>
    </row>
    <row r="1094" spans="3:3" x14ac:dyDescent="0.25">
      <c r="C1094" s="2"/>
    </row>
    <row r="1095" spans="3:3" x14ac:dyDescent="0.25">
      <c r="C1095" s="2"/>
    </row>
    <row r="1096" spans="3:3" x14ac:dyDescent="0.25">
      <c r="C1096" s="2"/>
    </row>
    <row r="1097" spans="3:3" x14ac:dyDescent="0.25">
      <c r="C1097" s="2"/>
    </row>
    <row r="1098" spans="3:3" x14ac:dyDescent="0.25">
      <c r="C1098" s="2"/>
    </row>
    <row r="1099" spans="3:3" x14ac:dyDescent="0.25">
      <c r="C1099" s="2"/>
    </row>
    <row r="1100" spans="3:3" x14ac:dyDescent="0.25">
      <c r="C1100" s="2"/>
    </row>
    <row r="1101" spans="3:3" x14ac:dyDescent="0.25">
      <c r="C1101" s="2"/>
    </row>
    <row r="1102" spans="3:3" x14ac:dyDescent="0.25">
      <c r="C1102" s="2"/>
    </row>
    <row r="1103" spans="3:3" x14ac:dyDescent="0.25">
      <c r="C1103" s="2"/>
    </row>
    <row r="1104" spans="3:3" x14ac:dyDescent="0.25">
      <c r="C1104" s="2"/>
    </row>
    <row r="1105" spans="3:3" x14ac:dyDescent="0.25">
      <c r="C1105" s="2"/>
    </row>
    <row r="1106" spans="3:3" x14ac:dyDescent="0.25">
      <c r="C1106" s="2"/>
    </row>
    <row r="1107" spans="3:3" x14ac:dyDescent="0.25">
      <c r="C1107" s="2"/>
    </row>
    <row r="1108" spans="3:3" x14ac:dyDescent="0.25">
      <c r="C1108" s="2"/>
    </row>
    <row r="1109" spans="3:3" x14ac:dyDescent="0.25">
      <c r="C1109" s="2"/>
    </row>
    <row r="1110" spans="3:3" x14ac:dyDescent="0.25">
      <c r="C1110" s="2"/>
    </row>
    <row r="1111" spans="3:3" x14ac:dyDescent="0.25">
      <c r="C1111" s="2"/>
    </row>
    <row r="1112" spans="3:3" x14ac:dyDescent="0.25">
      <c r="C1112" s="2"/>
    </row>
    <row r="1113" spans="3:3" x14ac:dyDescent="0.25">
      <c r="C1113" s="2"/>
    </row>
    <row r="1114" spans="3:3" x14ac:dyDescent="0.25">
      <c r="C1114" s="2"/>
    </row>
    <row r="1115" spans="3:3" x14ac:dyDescent="0.25">
      <c r="C1115" s="2"/>
    </row>
    <row r="1116" spans="3:3" x14ac:dyDescent="0.25">
      <c r="C1116" s="2"/>
    </row>
    <row r="1117" spans="3:3" x14ac:dyDescent="0.25">
      <c r="C1117" s="2"/>
    </row>
    <row r="1118" spans="3:3" x14ac:dyDescent="0.25">
      <c r="C1118" s="2"/>
    </row>
    <row r="1119" spans="3:3" x14ac:dyDescent="0.25">
      <c r="C1119" s="2"/>
    </row>
    <row r="1120" spans="3:3" x14ac:dyDescent="0.25">
      <c r="C1120" s="2"/>
    </row>
    <row r="1121" spans="3:3" x14ac:dyDescent="0.25">
      <c r="C1121" s="2"/>
    </row>
    <row r="1122" spans="3:3" x14ac:dyDescent="0.25">
      <c r="C1122" s="2"/>
    </row>
    <row r="1123" spans="3:3" x14ac:dyDescent="0.25">
      <c r="C1123" s="2"/>
    </row>
    <row r="1124" spans="3:3" x14ac:dyDescent="0.25">
      <c r="C1124" s="2"/>
    </row>
    <row r="1125" spans="3:3" x14ac:dyDescent="0.25">
      <c r="C1125" s="2"/>
    </row>
    <row r="1126" spans="3:3" x14ac:dyDescent="0.25">
      <c r="C1126" s="2"/>
    </row>
    <row r="1127" spans="3:3" x14ac:dyDescent="0.25">
      <c r="C1127" s="2"/>
    </row>
    <row r="1128" spans="3:3" x14ac:dyDescent="0.25">
      <c r="C1128" s="2"/>
    </row>
    <row r="1129" spans="3:3" x14ac:dyDescent="0.25">
      <c r="C1129" s="2"/>
    </row>
    <row r="1130" spans="3:3" x14ac:dyDescent="0.25">
      <c r="C1130" s="2"/>
    </row>
    <row r="1131" spans="3:3" x14ac:dyDescent="0.25">
      <c r="C1131" s="2"/>
    </row>
    <row r="1132" spans="3:3" x14ac:dyDescent="0.25">
      <c r="C1132" s="2"/>
    </row>
    <row r="1133" spans="3:3" x14ac:dyDescent="0.25">
      <c r="C1133" s="2"/>
    </row>
    <row r="1134" spans="3:3" x14ac:dyDescent="0.25">
      <c r="C1134" s="2"/>
    </row>
    <row r="1135" spans="3:3" x14ac:dyDescent="0.25">
      <c r="C1135" s="2"/>
    </row>
    <row r="1136" spans="3:3" x14ac:dyDescent="0.25">
      <c r="C1136" s="2"/>
    </row>
    <row r="1137" spans="3:3" x14ac:dyDescent="0.25">
      <c r="C1137" s="2"/>
    </row>
    <row r="1138" spans="3:3" x14ac:dyDescent="0.25">
      <c r="C1138" s="2"/>
    </row>
    <row r="1139" spans="3:3" x14ac:dyDescent="0.25">
      <c r="C1139" s="2"/>
    </row>
    <row r="1140" spans="3:3" x14ac:dyDescent="0.25">
      <c r="C1140" s="2"/>
    </row>
    <row r="1141" spans="3:3" x14ac:dyDescent="0.25">
      <c r="C1141" s="2"/>
    </row>
    <row r="1142" spans="3:3" x14ac:dyDescent="0.25">
      <c r="C1142" s="2"/>
    </row>
    <row r="1143" spans="3:3" x14ac:dyDescent="0.25">
      <c r="C1143" s="2"/>
    </row>
    <row r="1144" spans="3:3" x14ac:dyDescent="0.25">
      <c r="C1144" s="2"/>
    </row>
    <row r="1145" spans="3:3" x14ac:dyDescent="0.25">
      <c r="C1145" s="2"/>
    </row>
    <row r="1146" spans="3:3" x14ac:dyDescent="0.25">
      <c r="C1146" s="2"/>
    </row>
    <row r="1147" spans="3:3" x14ac:dyDescent="0.25">
      <c r="C1147" s="2"/>
    </row>
    <row r="1148" spans="3:3" x14ac:dyDescent="0.25">
      <c r="C1148" s="2"/>
    </row>
    <row r="1149" spans="3:3" x14ac:dyDescent="0.25">
      <c r="C1149" s="2"/>
    </row>
    <row r="1150" spans="3:3" x14ac:dyDescent="0.25">
      <c r="C1150" s="2"/>
    </row>
    <row r="1151" spans="3:3" x14ac:dyDescent="0.25">
      <c r="C1151" s="2"/>
    </row>
    <row r="1152" spans="3:3" x14ac:dyDescent="0.25">
      <c r="C1152" s="2"/>
    </row>
    <row r="1153" spans="3:3" x14ac:dyDescent="0.25">
      <c r="C1153" s="2"/>
    </row>
    <row r="1154" spans="3:3" x14ac:dyDescent="0.25">
      <c r="C1154" s="2"/>
    </row>
    <row r="1155" spans="3:3" x14ac:dyDescent="0.25">
      <c r="C1155" s="2"/>
    </row>
    <row r="1156" spans="3:3" x14ac:dyDescent="0.25">
      <c r="C1156" s="2"/>
    </row>
    <row r="1157" spans="3:3" x14ac:dyDescent="0.25">
      <c r="C1157" s="2"/>
    </row>
    <row r="1158" spans="3:3" x14ac:dyDescent="0.25">
      <c r="C1158" s="2"/>
    </row>
    <row r="1159" spans="3:3" x14ac:dyDescent="0.25">
      <c r="C1159" s="2"/>
    </row>
    <row r="1160" spans="3:3" x14ac:dyDescent="0.25">
      <c r="C1160" s="2"/>
    </row>
    <row r="1161" spans="3:3" x14ac:dyDescent="0.25">
      <c r="C1161" s="2"/>
    </row>
    <row r="1162" spans="3:3" x14ac:dyDescent="0.25">
      <c r="C1162" s="2"/>
    </row>
    <row r="1163" spans="3:3" x14ac:dyDescent="0.25">
      <c r="C1163" s="2"/>
    </row>
    <row r="1164" spans="3:3" x14ac:dyDescent="0.25">
      <c r="C1164" s="2"/>
    </row>
    <row r="1165" spans="3:3" x14ac:dyDescent="0.25">
      <c r="C1165" s="2"/>
    </row>
    <row r="1166" spans="3:3" x14ac:dyDescent="0.25">
      <c r="C1166" s="2"/>
    </row>
    <row r="1167" spans="3:3" x14ac:dyDescent="0.25">
      <c r="C1167" s="2"/>
    </row>
    <row r="1168" spans="3:3" x14ac:dyDescent="0.25">
      <c r="C1168" s="2"/>
    </row>
    <row r="1169" spans="3:3" x14ac:dyDescent="0.25">
      <c r="C1169" s="2"/>
    </row>
    <row r="1170" spans="3:3" x14ac:dyDescent="0.25">
      <c r="C1170" s="2"/>
    </row>
    <row r="1171" spans="3:3" x14ac:dyDescent="0.25">
      <c r="C1171" s="2"/>
    </row>
    <row r="1172" spans="3:3" x14ac:dyDescent="0.25">
      <c r="C1172" s="2"/>
    </row>
    <row r="1173" spans="3:3" x14ac:dyDescent="0.25">
      <c r="C1173" s="2"/>
    </row>
    <row r="1174" spans="3:3" x14ac:dyDescent="0.25">
      <c r="C1174" s="2"/>
    </row>
    <row r="1175" spans="3:3" x14ac:dyDescent="0.25">
      <c r="C1175" s="2"/>
    </row>
    <row r="1176" spans="3:3" x14ac:dyDescent="0.25">
      <c r="C1176" s="2"/>
    </row>
    <row r="1177" spans="3:3" x14ac:dyDescent="0.25">
      <c r="C1177" s="2"/>
    </row>
    <row r="1178" spans="3:3" x14ac:dyDescent="0.25">
      <c r="C1178" s="2"/>
    </row>
    <row r="1179" spans="3:3" x14ac:dyDescent="0.25">
      <c r="C1179" s="2"/>
    </row>
    <row r="1180" spans="3:3" x14ac:dyDescent="0.25">
      <c r="C1180" s="2"/>
    </row>
    <row r="1181" spans="3:3" x14ac:dyDescent="0.25">
      <c r="C1181" s="2"/>
    </row>
    <row r="1182" spans="3:3" x14ac:dyDescent="0.25">
      <c r="C1182" s="2"/>
    </row>
    <row r="1183" spans="3:3" x14ac:dyDescent="0.25">
      <c r="C1183" s="2"/>
    </row>
    <row r="1184" spans="3:3" x14ac:dyDescent="0.25">
      <c r="C1184" s="2"/>
    </row>
    <row r="1185" spans="3:3" x14ac:dyDescent="0.25">
      <c r="C1185" s="2"/>
    </row>
    <row r="1186" spans="3:3" x14ac:dyDescent="0.25">
      <c r="C1186" s="2"/>
    </row>
    <row r="1187" spans="3:3" x14ac:dyDescent="0.25">
      <c r="C1187" s="2"/>
    </row>
    <row r="1188" spans="3:3" x14ac:dyDescent="0.25">
      <c r="C1188" s="2"/>
    </row>
    <row r="1189" spans="3:3" x14ac:dyDescent="0.25">
      <c r="C1189" s="2"/>
    </row>
    <row r="1190" spans="3:3" x14ac:dyDescent="0.25">
      <c r="C1190" s="2"/>
    </row>
    <row r="1191" spans="3:3" x14ac:dyDescent="0.25">
      <c r="C1191" s="2"/>
    </row>
    <row r="1192" spans="3:3" x14ac:dyDescent="0.25">
      <c r="C1192" s="2"/>
    </row>
    <row r="1193" spans="3:3" x14ac:dyDescent="0.25">
      <c r="C1193" s="2"/>
    </row>
    <row r="1194" spans="3:3" x14ac:dyDescent="0.25">
      <c r="C1194" s="2"/>
    </row>
    <row r="1195" spans="3:3" x14ac:dyDescent="0.25">
      <c r="C1195" s="2"/>
    </row>
    <row r="1196" spans="3:3" x14ac:dyDescent="0.25">
      <c r="C1196" s="2"/>
    </row>
    <row r="1197" spans="3:3" x14ac:dyDescent="0.25">
      <c r="C1197" s="2"/>
    </row>
    <row r="1198" spans="3:3" x14ac:dyDescent="0.25">
      <c r="C1198" s="2"/>
    </row>
    <row r="1199" spans="3:3" x14ac:dyDescent="0.25">
      <c r="C1199" s="2"/>
    </row>
    <row r="1200" spans="3:3" x14ac:dyDescent="0.25">
      <c r="C1200" s="2"/>
    </row>
    <row r="1201" spans="3:3" x14ac:dyDescent="0.25">
      <c r="C1201" s="2"/>
    </row>
    <row r="1202" spans="3:3" x14ac:dyDescent="0.25">
      <c r="C1202" s="2"/>
    </row>
    <row r="1203" spans="3:3" x14ac:dyDescent="0.25">
      <c r="C1203" s="2"/>
    </row>
    <row r="1204" spans="3:3" x14ac:dyDescent="0.25">
      <c r="C1204" s="2"/>
    </row>
    <row r="1205" spans="3:3" x14ac:dyDescent="0.25">
      <c r="C1205" s="2"/>
    </row>
    <row r="1206" spans="3:3" x14ac:dyDescent="0.25">
      <c r="C1206" s="2"/>
    </row>
    <row r="1207" spans="3:3" x14ac:dyDescent="0.25">
      <c r="C1207" s="2"/>
    </row>
    <row r="1208" spans="3:3" x14ac:dyDescent="0.25">
      <c r="C1208" s="2"/>
    </row>
    <row r="1209" spans="3:3" x14ac:dyDescent="0.25">
      <c r="C1209" s="2"/>
    </row>
    <row r="1210" spans="3:3" x14ac:dyDescent="0.25">
      <c r="C1210" s="2"/>
    </row>
    <row r="1211" spans="3:3" x14ac:dyDescent="0.25">
      <c r="C1211" s="2"/>
    </row>
    <row r="1212" spans="3:3" x14ac:dyDescent="0.25">
      <c r="C1212" s="2"/>
    </row>
    <row r="1213" spans="3:3" x14ac:dyDescent="0.25">
      <c r="C1213" s="2"/>
    </row>
    <row r="1214" spans="3:3" x14ac:dyDescent="0.25">
      <c r="C1214" s="2"/>
    </row>
    <row r="1215" spans="3:3" x14ac:dyDescent="0.25">
      <c r="C1215" s="2"/>
    </row>
    <row r="1216" spans="3:3" x14ac:dyDescent="0.25">
      <c r="C1216" s="2"/>
    </row>
    <row r="1217" spans="3:3" x14ac:dyDescent="0.25">
      <c r="C1217" s="2"/>
    </row>
    <row r="1218" spans="3:3" x14ac:dyDescent="0.25">
      <c r="C1218" s="2"/>
    </row>
    <row r="1219" spans="3:3" x14ac:dyDescent="0.25">
      <c r="C1219" s="2"/>
    </row>
    <row r="1220" spans="3:3" x14ac:dyDescent="0.25">
      <c r="C1220" s="2"/>
    </row>
    <row r="1221" spans="3:3" x14ac:dyDescent="0.25">
      <c r="C1221" s="2"/>
    </row>
    <row r="1222" spans="3:3" x14ac:dyDescent="0.25">
      <c r="C1222" s="2"/>
    </row>
    <row r="1223" spans="3:3" x14ac:dyDescent="0.25">
      <c r="C1223" s="2"/>
    </row>
    <row r="1224" spans="3:3" x14ac:dyDescent="0.25">
      <c r="C1224" s="2"/>
    </row>
    <row r="1225" spans="3:3" x14ac:dyDescent="0.25">
      <c r="C1225" s="2"/>
    </row>
    <row r="1226" spans="3:3" x14ac:dyDescent="0.25">
      <c r="C1226" s="2"/>
    </row>
    <row r="1227" spans="3:3" x14ac:dyDescent="0.25">
      <c r="C1227" s="2"/>
    </row>
    <row r="1228" spans="3:3" x14ac:dyDescent="0.25">
      <c r="C1228" s="2"/>
    </row>
    <row r="1229" spans="3:3" x14ac:dyDescent="0.25">
      <c r="C1229" s="2"/>
    </row>
    <row r="1230" spans="3:3" x14ac:dyDescent="0.25">
      <c r="C1230" s="2"/>
    </row>
    <row r="1231" spans="3:3" x14ac:dyDescent="0.25">
      <c r="C1231" s="2"/>
    </row>
    <row r="1232" spans="3:3" x14ac:dyDescent="0.25">
      <c r="C1232" s="2"/>
    </row>
    <row r="1233" spans="3:3" x14ac:dyDescent="0.25">
      <c r="C1233" s="2"/>
    </row>
    <row r="1234" spans="3:3" x14ac:dyDescent="0.25">
      <c r="C1234" s="2"/>
    </row>
    <row r="1235" spans="3:3" x14ac:dyDescent="0.25">
      <c r="C1235" s="2"/>
    </row>
    <row r="1236" spans="3:3" x14ac:dyDescent="0.25">
      <c r="C1236" s="2"/>
    </row>
    <row r="1237" spans="3:3" x14ac:dyDescent="0.25">
      <c r="C1237" s="2"/>
    </row>
    <row r="1238" spans="3:3" x14ac:dyDescent="0.25">
      <c r="C1238" s="2"/>
    </row>
    <row r="1239" spans="3:3" x14ac:dyDescent="0.25">
      <c r="C1239" s="2"/>
    </row>
    <row r="1240" spans="3:3" x14ac:dyDescent="0.25">
      <c r="C1240" s="2"/>
    </row>
    <row r="1241" spans="3:3" x14ac:dyDescent="0.25">
      <c r="C1241" s="2"/>
    </row>
    <row r="1242" spans="3:3" x14ac:dyDescent="0.25">
      <c r="C1242" s="2"/>
    </row>
    <row r="1243" spans="3:3" x14ac:dyDescent="0.25">
      <c r="C1243" s="2"/>
    </row>
    <row r="1244" spans="3:3" x14ac:dyDescent="0.25">
      <c r="C1244" s="2"/>
    </row>
    <row r="1245" spans="3:3" x14ac:dyDescent="0.25">
      <c r="C1245" s="2"/>
    </row>
    <row r="1246" spans="3:3" x14ac:dyDescent="0.25">
      <c r="C1246" s="2"/>
    </row>
    <row r="1247" spans="3:3" x14ac:dyDescent="0.25">
      <c r="C1247" s="2"/>
    </row>
    <row r="1248" spans="3:3" x14ac:dyDescent="0.25">
      <c r="C1248" s="2"/>
    </row>
    <row r="1249" spans="3:3" x14ac:dyDescent="0.25">
      <c r="C1249" s="2"/>
    </row>
    <row r="1250" spans="3:3" x14ac:dyDescent="0.25">
      <c r="C1250" s="2"/>
    </row>
    <row r="1251" spans="3:3" x14ac:dyDescent="0.25">
      <c r="C1251" s="2"/>
    </row>
    <row r="1252" spans="3:3" x14ac:dyDescent="0.25">
      <c r="C1252" s="2"/>
    </row>
    <row r="1253" spans="3:3" x14ac:dyDescent="0.25">
      <c r="C1253" s="2"/>
    </row>
    <row r="1254" spans="3:3" x14ac:dyDescent="0.25">
      <c r="C1254" s="2"/>
    </row>
    <row r="1255" spans="3:3" x14ac:dyDescent="0.25">
      <c r="C1255" s="2"/>
    </row>
    <row r="1256" spans="3:3" x14ac:dyDescent="0.25">
      <c r="C1256" s="2"/>
    </row>
    <row r="1257" spans="3:3" x14ac:dyDescent="0.25">
      <c r="C1257" s="2"/>
    </row>
    <row r="1258" spans="3:3" x14ac:dyDescent="0.25">
      <c r="C1258" s="2"/>
    </row>
    <row r="1259" spans="3:3" x14ac:dyDescent="0.25">
      <c r="C1259" s="2"/>
    </row>
    <row r="1260" spans="3:3" x14ac:dyDescent="0.25">
      <c r="C1260" s="2"/>
    </row>
    <row r="1261" spans="3:3" x14ac:dyDescent="0.25">
      <c r="C1261" s="2"/>
    </row>
    <row r="1262" spans="3:3" x14ac:dyDescent="0.25">
      <c r="C1262" s="2"/>
    </row>
    <row r="1263" spans="3:3" x14ac:dyDescent="0.25">
      <c r="C1263" s="2"/>
    </row>
    <row r="1264" spans="3:3" x14ac:dyDescent="0.25">
      <c r="C1264" s="2"/>
    </row>
    <row r="1265" spans="3:3" x14ac:dyDescent="0.25">
      <c r="C1265" s="2"/>
    </row>
    <row r="1266" spans="3:3" x14ac:dyDescent="0.25">
      <c r="C1266" s="2"/>
    </row>
    <row r="1267" spans="3:3" x14ac:dyDescent="0.25">
      <c r="C1267" s="2"/>
    </row>
    <row r="1268" spans="3:3" x14ac:dyDescent="0.25">
      <c r="C1268" s="2"/>
    </row>
    <row r="1269" spans="3:3" x14ac:dyDescent="0.25">
      <c r="C1269" s="2"/>
    </row>
    <row r="1270" spans="3:3" x14ac:dyDescent="0.25">
      <c r="C1270" s="2"/>
    </row>
    <row r="1271" spans="3:3" x14ac:dyDescent="0.25">
      <c r="C1271" s="2"/>
    </row>
    <row r="1272" spans="3:3" x14ac:dyDescent="0.25">
      <c r="C1272" s="2"/>
    </row>
    <row r="1273" spans="3:3" x14ac:dyDescent="0.25">
      <c r="C1273" s="2"/>
    </row>
    <row r="1274" spans="3:3" x14ac:dyDescent="0.25">
      <c r="C1274" s="2"/>
    </row>
    <row r="1275" spans="3:3" x14ac:dyDescent="0.25">
      <c r="C1275" s="2"/>
    </row>
    <row r="1276" spans="3:3" x14ac:dyDescent="0.25">
      <c r="C1276" s="2"/>
    </row>
    <row r="1277" spans="3:3" x14ac:dyDescent="0.25">
      <c r="C1277" s="2"/>
    </row>
    <row r="1278" spans="3:3" x14ac:dyDescent="0.25">
      <c r="C1278" s="2"/>
    </row>
    <row r="1279" spans="3:3" x14ac:dyDescent="0.25">
      <c r="C1279" s="2"/>
    </row>
    <row r="1280" spans="3:3" x14ac:dyDescent="0.25">
      <c r="C1280" s="2"/>
    </row>
    <row r="1281" spans="3:3" x14ac:dyDescent="0.25">
      <c r="C1281" s="2"/>
    </row>
    <row r="1282" spans="3:3" x14ac:dyDescent="0.25">
      <c r="C1282" s="2"/>
    </row>
    <row r="1283" spans="3:3" x14ac:dyDescent="0.25">
      <c r="C1283" s="2"/>
    </row>
    <row r="1284" spans="3:3" x14ac:dyDescent="0.25">
      <c r="C1284" s="2"/>
    </row>
    <row r="1285" spans="3:3" x14ac:dyDescent="0.25">
      <c r="C1285" s="2"/>
    </row>
    <row r="1286" spans="3:3" x14ac:dyDescent="0.25">
      <c r="C1286" s="2"/>
    </row>
    <row r="1287" spans="3:3" x14ac:dyDescent="0.25">
      <c r="C1287" s="2"/>
    </row>
    <row r="1288" spans="3:3" x14ac:dyDescent="0.25">
      <c r="C1288" s="2"/>
    </row>
    <row r="1289" spans="3:3" x14ac:dyDescent="0.25">
      <c r="C1289" s="2"/>
    </row>
    <row r="1290" spans="3:3" x14ac:dyDescent="0.25">
      <c r="C1290" s="2"/>
    </row>
    <row r="1291" spans="3:3" x14ac:dyDescent="0.25">
      <c r="C1291" s="2"/>
    </row>
    <row r="1292" spans="3:3" x14ac:dyDescent="0.25">
      <c r="C1292" s="2"/>
    </row>
    <row r="1293" spans="3:3" x14ac:dyDescent="0.25">
      <c r="C1293" s="2"/>
    </row>
    <row r="1294" spans="3:3" x14ac:dyDescent="0.25">
      <c r="C1294" s="2"/>
    </row>
    <row r="1295" spans="3:3" x14ac:dyDescent="0.25">
      <c r="C1295" s="2"/>
    </row>
    <row r="1296" spans="3:3" x14ac:dyDescent="0.25">
      <c r="C1296" s="2"/>
    </row>
    <row r="1297" spans="3:3" x14ac:dyDescent="0.25">
      <c r="C1297" s="2"/>
    </row>
    <row r="1298" spans="3:3" x14ac:dyDescent="0.25">
      <c r="C1298" s="2"/>
    </row>
    <row r="1299" spans="3:3" x14ac:dyDescent="0.25">
      <c r="C1299" s="2"/>
    </row>
    <row r="1300" spans="3:3" x14ac:dyDescent="0.25">
      <c r="C1300" s="2"/>
    </row>
    <row r="1301" spans="3:3" x14ac:dyDescent="0.25">
      <c r="C1301" s="2"/>
    </row>
    <row r="1302" spans="3:3" x14ac:dyDescent="0.25">
      <c r="C1302" s="2"/>
    </row>
    <row r="1303" spans="3:3" x14ac:dyDescent="0.25">
      <c r="C1303" s="2"/>
    </row>
    <row r="1304" spans="3:3" x14ac:dyDescent="0.25">
      <c r="C1304" s="2"/>
    </row>
    <row r="1305" spans="3:3" x14ac:dyDescent="0.25">
      <c r="C1305" s="2"/>
    </row>
    <row r="1306" spans="3:3" x14ac:dyDescent="0.25">
      <c r="C1306" s="2"/>
    </row>
    <row r="1307" spans="3:3" x14ac:dyDescent="0.25">
      <c r="C1307" s="2"/>
    </row>
    <row r="1308" spans="3:3" x14ac:dyDescent="0.25">
      <c r="C1308" s="2"/>
    </row>
    <row r="1309" spans="3:3" x14ac:dyDescent="0.25">
      <c r="C1309" s="2"/>
    </row>
    <row r="1310" spans="3:3" x14ac:dyDescent="0.25">
      <c r="C1310" s="2"/>
    </row>
    <row r="1311" spans="3:3" x14ac:dyDescent="0.25">
      <c r="C1311" s="2"/>
    </row>
    <row r="1312" spans="3:3" x14ac:dyDescent="0.25">
      <c r="C1312" s="2"/>
    </row>
    <row r="1313" spans="3:3" x14ac:dyDescent="0.25">
      <c r="C1313" s="2"/>
    </row>
    <row r="1314" spans="3:3" x14ac:dyDescent="0.25">
      <c r="C1314" s="2"/>
    </row>
    <row r="1315" spans="3:3" x14ac:dyDescent="0.25">
      <c r="C1315" s="2"/>
    </row>
    <row r="1316" spans="3:3" x14ac:dyDescent="0.25">
      <c r="C1316" s="2"/>
    </row>
    <row r="1317" spans="3:3" x14ac:dyDescent="0.25">
      <c r="C1317" s="2"/>
    </row>
    <row r="1318" spans="3:3" x14ac:dyDescent="0.25">
      <c r="C1318" s="2"/>
    </row>
    <row r="1319" spans="3:3" x14ac:dyDescent="0.25">
      <c r="C1319" s="2"/>
    </row>
    <row r="1320" spans="3:3" x14ac:dyDescent="0.25">
      <c r="C1320" s="2"/>
    </row>
    <row r="1321" spans="3:3" x14ac:dyDescent="0.25">
      <c r="C1321" s="2"/>
    </row>
    <row r="1322" spans="3:3" x14ac:dyDescent="0.25">
      <c r="C1322" s="2"/>
    </row>
    <row r="1323" spans="3:3" x14ac:dyDescent="0.25">
      <c r="C1323" s="2"/>
    </row>
    <row r="1324" spans="3:3" x14ac:dyDescent="0.25">
      <c r="C1324" s="2"/>
    </row>
    <row r="1325" spans="3:3" x14ac:dyDescent="0.25">
      <c r="C1325" s="2"/>
    </row>
    <row r="1326" spans="3:3" x14ac:dyDescent="0.25">
      <c r="C1326" s="2"/>
    </row>
    <row r="1327" spans="3:3" x14ac:dyDescent="0.25">
      <c r="C1327" s="2"/>
    </row>
    <row r="1328" spans="3:3" x14ac:dyDescent="0.25">
      <c r="C1328" s="2"/>
    </row>
    <row r="1329" spans="3:3" x14ac:dyDescent="0.25">
      <c r="C1329" s="2"/>
    </row>
    <row r="1330" spans="3:3" x14ac:dyDescent="0.25">
      <c r="C1330" s="2"/>
    </row>
    <row r="1331" spans="3:3" x14ac:dyDescent="0.25">
      <c r="C1331" s="2"/>
    </row>
    <row r="1332" spans="3:3" x14ac:dyDescent="0.25">
      <c r="C1332" s="2"/>
    </row>
    <row r="1333" spans="3:3" x14ac:dyDescent="0.25">
      <c r="C1333" s="2"/>
    </row>
    <row r="1334" spans="3:3" x14ac:dyDescent="0.25">
      <c r="C1334" s="2"/>
    </row>
    <row r="1335" spans="3:3" x14ac:dyDescent="0.25">
      <c r="C1335" s="2"/>
    </row>
    <row r="1336" spans="3:3" x14ac:dyDescent="0.25">
      <c r="C1336" s="2"/>
    </row>
    <row r="1337" spans="3:3" x14ac:dyDescent="0.25">
      <c r="C1337" s="2"/>
    </row>
    <row r="1338" spans="3:3" x14ac:dyDescent="0.25">
      <c r="C1338" s="2"/>
    </row>
    <row r="1339" spans="3:3" x14ac:dyDescent="0.25">
      <c r="C1339" s="2"/>
    </row>
    <row r="1340" spans="3:3" x14ac:dyDescent="0.25">
      <c r="C1340" s="2"/>
    </row>
    <row r="1341" spans="3:3" x14ac:dyDescent="0.25">
      <c r="C1341" s="2"/>
    </row>
    <row r="1342" spans="3:3" x14ac:dyDescent="0.25">
      <c r="C1342" s="2"/>
    </row>
    <row r="1343" spans="3:3" x14ac:dyDescent="0.25">
      <c r="C1343" s="2"/>
    </row>
    <row r="1344" spans="3:3" x14ac:dyDescent="0.25">
      <c r="C1344" s="2"/>
    </row>
    <row r="1345" spans="3:3" x14ac:dyDescent="0.25">
      <c r="C1345" s="2"/>
    </row>
    <row r="1346" spans="3:3" x14ac:dyDescent="0.25">
      <c r="C1346" s="2"/>
    </row>
    <row r="1347" spans="3:3" x14ac:dyDescent="0.25">
      <c r="C1347" s="2"/>
    </row>
    <row r="1348" spans="3:3" x14ac:dyDescent="0.25">
      <c r="C1348" s="2"/>
    </row>
    <row r="1349" spans="3:3" x14ac:dyDescent="0.25">
      <c r="C1349" s="2"/>
    </row>
    <row r="1350" spans="3:3" x14ac:dyDescent="0.25">
      <c r="C1350" s="2"/>
    </row>
    <row r="1351" spans="3:3" x14ac:dyDescent="0.25">
      <c r="C1351" s="2"/>
    </row>
    <row r="1352" spans="3:3" x14ac:dyDescent="0.25">
      <c r="C1352" s="2"/>
    </row>
    <row r="1353" spans="3:3" x14ac:dyDescent="0.25">
      <c r="C1353" s="2"/>
    </row>
    <row r="1354" spans="3:3" x14ac:dyDescent="0.25">
      <c r="C1354" s="2"/>
    </row>
    <row r="1355" spans="3:3" x14ac:dyDescent="0.25">
      <c r="C1355" s="2"/>
    </row>
    <row r="1356" spans="3:3" x14ac:dyDescent="0.25">
      <c r="C1356" s="2"/>
    </row>
    <row r="1357" spans="3:3" x14ac:dyDescent="0.25">
      <c r="C1357" s="2"/>
    </row>
    <row r="1358" spans="3:3" x14ac:dyDescent="0.25">
      <c r="C1358" s="2"/>
    </row>
    <row r="1359" spans="3:3" x14ac:dyDescent="0.25">
      <c r="C1359" s="2"/>
    </row>
    <row r="1360" spans="3:3" x14ac:dyDescent="0.25">
      <c r="C1360" s="2"/>
    </row>
    <row r="1361" spans="3:3" x14ac:dyDescent="0.25">
      <c r="C1361" s="2"/>
    </row>
    <row r="1362" spans="3:3" x14ac:dyDescent="0.25">
      <c r="C1362" s="2"/>
    </row>
    <row r="1363" spans="3:3" x14ac:dyDescent="0.25">
      <c r="C1363" s="2"/>
    </row>
    <row r="1364" spans="3:3" x14ac:dyDescent="0.25">
      <c r="C1364" s="2"/>
    </row>
    <row r="1365" spans="3:3" x14ac:dyDescent="0.25">
      <c r="C1365" s="2"/>
    </row>
    <row r="1366" spans="3:3" x14ac:dyDescent="0.25">
      <c r="C1366" s="2"/>
    </row>
    <row r="1367" spans="3:3" x14ac:dyDescent="0.25">
      <c r="C1367" s="2"/>
    </row>
    <row r="1368" spans="3:3" x14ac:dyDescent="0.25">
      <c r="C1368" s="2"/>
    </row>
    <row r="1369" spans="3:3" x14ac:dyDescent="0.25">
      <c r="C1369" s="2"/>
    </row>
    <row r="1370" spans="3:3" x14ac:dyDescent="0.25">
      <c r="C1370" s="2"/>
    </row>
    <row r="1371" spans="3:3" x14ac:dyDescent="0.25">
      <c r="C1371" s="2"/>
    </row>
    <row r="1372" spans="3:3" x14ac:dyDescent="0.25">
      <c r="C1372" s="2"/>
    </row>
    <row r="1373" spans="3:3" x14ac:dyDescent="0.25">
      <c r="C1373" s="2"/>
    </row>
    <row r="1374" spans="3:3" x14ac:dyDescent="0.25">
      <c r="C1374" s="2"/>
    </row>
    <row r="1375" spans="3:3" x14ac:dyDescent="0.25">
      <c r="C1375" s="2"/>
    </row>
    <row r="1376" spans="3:3" x14ac:dyDescent="0.25">
      <c r="C1376" s="2"/>
    </row>
    <row r="1377" spans="3:3" x14ac:dyDescent="0.25">
      <c r="C1377" s="2"/>
    </row>
    <row r="1378" spans="3:3" x14ac:dyDescent="0.25">
      <c r="C1378" s="2"/>
    </row>
    <row r="1379" spans="3:3" x14ac:dyDescent="0.25">
      <c r="C1379" s="2"/>
    </row>
    <row r="1380" spans="3:3" x14ac:dyDescent="0.25">
      <c r="C1380" s="2"/>
    </row>
    <row r="1381" spans="3:3" x14ac:dyDescent="0.25">
      <c r="C1381" s="2"/>
    </row>
    <row r="1382" spans="3:3" x14ac:dyDescent="0.25">
      <c r="C1382" s="2"/>
    </row>
    <row r="1383" spans="3:3" x14ac:dyDescent="0.25">
      <c r="C1383" s="2"/>
    </row>
    <row r="1384" spans="3:3" x14ac:dyDescent="0.25">
      <c r="C1384" s="2"/>
    </row>
    <row r="1385" spans="3:3" x14ac:dyDescent="0.25">
      <c r="C1385" s="2"/>
    </row>
    <row r="1386" spans="3:3" x14ac:dyDescent="0.25">
      <c r="C1386" s="2"/>
    </row>
    <row r="1387" spans="3:3" x14ac:dyDescent="0.25">
      <c r="C1387" s="2"/>
    </row>
    <row r="1388" spans="3:3" x14ac:dyDescent="0.25">
      <c r="C1388" s="2"/>
    </row>
    <row r="1389" spans="3:3" x14ac:dyDescent="0.25">
      <c r="C1389" s="2"/>
    </row>
    <row r="1390" spans="3:3" x14ac:dyDescent="0.25">
      <c r="C1390" s="2"/>
    </row>
    <row r="1391" spans="3:3" x14ac:dyDescent="0.25">
      <c r="C1391" s="2"/>
    </row>
    <row r="1392" spans="3:3" x14ac:dyDescent="0.25">
      <c r="C1392" s="2"/>
    </row>
    <row r="1393" spans="3:3" x14ac:dyDescent="0.25">
      <c r="C1393" s="2"/>
    </row>
    <row r="1394" spans="3:3" x14ac:dyDescent="0.25">
      <c r="C1394" s="2"/>
    </row>
    <row r="1395" spans="3:3" x14ac:dyDescent="0.25">
      <c r="C1395" s="2"/>
    </row>
    <row r="1396" spans="3:3" x14ac:dyDescent="0.25">
      <c r="C1396" s="2"/>
    </row>
    <row r="1397" spans="3:3" x14ac:dyDescent="0.25">
      <c r="C1397" s="2"/>
    </row>
    <row r="1398" spans="3:3" x14ac:dyDescent="0.25">
      <c r="C1398" s="2"/>
    </row>
    <row r="1399" spans="3:3" x14ac:dyDescent="0.25">
      <c r="C1399" s="2"/>
    </row>
    <row r="1400" spans="3:3" x14ac:dyDescent="0.25">
      <c r="C1400" s="2"/>
    </row>
    <row r="1401" spans="3:3" x14ac:dyDescent="0.25">
      <c r="C1401" s="2"/>
    </row>
    <row r="1402" spans="3:3" x14ac:dyDescent="0.25">
      <c r="C1402" s="2"/>
    </row>
    <row r="1403" spans="3:3" x14ac:dyDescent="0.25">
      <c r="C1403" s="2"/>
    </row>
    <row r="1404" spans="3:3" x14ac:dyDescent="0.25">
      <c r="C1404" s="2"/>
    </row>
    <row r="1405" spans="3:3" x14ac:dyDescent="0.25">
      <c r="C1405" s="2"/>
    </row>
    <row r="1406" spans="3:3" x14ac:dyDescent="0.25">
      <c r="C1406" s="2"/>
    </row>
    <row r="1407" spans="3:3" x14ac:dyDescent="0.25">
      <c r="C1407" s="2"/>
    </row>
    <row r="1408" spans="3:3" x14ac:dyDescent="0.25">
      <c r="C1408" s="2"/>
    </row>
    <row r="1409" spans="3:3" x14ac:dyDescent="0.25">
      <c r="C1409" s="2"/>
    </row>
    <row r="1410" spans="3:3" x14ac:dyDescent="0.25">
      <c r="C1410" s="2"/>
    </row>
    <row r="1411" spans="3:3" x14ac:dyDescent="0.25">
      <c r="C1411" s="2"/>
    </row>
    <row r="1412" spans="3:3" x14ac:dyDescent="0.25">
      <c r="C1412" s="2"/>
    </row>
    <row r="1413" spans="3:3" x14ac:dyDescent="0.25">
      <c r="C1413" s="2"/>
    </row>
    <row r="1414" spans="3:3" x14ac:dyDescent="0.25">
      <c r="C1414" s="2"/>
    </row>
    <row r="1415" spans="3:3" x14ac:dyDescent="0.25">
      <c r="C1415" s="2"/>
    </row>
    <row r="1416" spans="3:3" x14ac:dyDescent="0.25">
      <c r="C1416" s="2"/>
    </row>
    <row r="1417" spans="3:3" x14ac:dyDescent="0.25">
      <c r="C1417" s="2"/>
    </row>
    <row r="1418" spans="3:3" x14ac:dyDescent="0.25">
      <c r="C1418" s="2"/>
    </row>
    <row r="1419" spans="3:3" x14ac:dyDescent="0.25">
      <c r="C1419" s="2"/>
    </row>
    <row r="1420" spans="3:3" x14ac:dyDescent="0.25">
      <c r="C1420" s="2"/>
    </row>
    <row r="1421" spans="3:3" x14ac:dyDescent="0.25">
      <c r="C1421" s="2"/>
    </row>
    <row r="1422" spans="3:3" x14ac:dyDescent="0.25">
      <c r="C1422" s="2"/>
    </row>
    <row r="1423" spans="3:3" x14ac:dyDescent="0.25">
      <c r="C1423" s="2"/>
    </row>
    <row r="1424" spans="3:3" x14ac:dyDescent="0.25">
      <c r="C1424" s="2"/>
    </row>
    <row r="1425" spans="3:3" x14ac:dyDescent="0.25">
      <c r="C1425" s="2"/>
    </row>
    <row r="1426" spans="3:3" x14ac:dyDescent="0.25">
      <c r="C1426" s="2"/>
    </row>
    <row r="1427" spans="3:3" x14ac:dyDescent="0.25">
      <c r="C1427" s="2"/>
    </row>
    <row r="1428" spans="3:3" x14ac:dyDescent="0.25">
      <c r="C1428" s="2"/>
    </row>
    <row r="1429" spans="3:3" x14ac:dyDescent="0.25">
      <c r="C1429" s="2"/>
    </row>
    <row r="1430" spans="3:3" x14ac:dyDescent="0.25">
      <c r="C1430" s="2"/>
    </row>
    <row r="1431" spans="3:3" x14ac:dyDescent="0.25">
      <c r="C1431" s="2"/>
    </row>
    <row r="1432" spans="3:3" x14ac:dyDescent="0.25">
      <c r="C1432" s="2"/>
    </row>
    <row r="1433" spans="3:3" x14ac:dyDescent="0.25">
      <c r="C1433" s="2"/>
    </row>
    <row r="1434" spans="3:3" x14ac:dyDescent="0.25">
      <c r="C1434" s="2"/>
    </row>
    <row r="1435" spans="3:3" x14ac:dyDescent="0.25">
      <c r="C1435" s="2"/>
    </row>
    <row r="1436" spans="3:3" x14ac:dyDescent="0.25">
      <c r="C1436" s="2"/>
    </row>
    <row r="1437" spans="3:3" x14ac:dyDescent="0.25">
      <c r="C1437" s="2"/>
    </row>
    <row r="1438" spans="3:3" x14ac:dyDescent="0.25">
      <c r="C1438" s="2"/>
    </row>
    <row r="1439" spans="3:3" x14ac:dyDescent="0.25">
      <c r="C1439" s="2"/>
    </row>
    <row r="1440" spans="3:3" x14ac:dyDescent="0.25">
      <c r="C1440" s="2"/>
    </row>
    <row r="1441" spans="3:3" x14ac:dyDescent="0.25">
      <c r="C1441" s="2"/>
    </row>
    <row r="1442" spans="3:3" x14ac:dyDescent="0.25">
      <c r="C1442" s="2"/>
    </row>
    <row r="1443" spans="3:3" x14ac:dyDescent="0.25">
      <c r="C1443" s="2"/>
    </row>
    <row r="1444" spans="3:3" x14ac:dyDescent="0.25">
      <c r="C1444" s="2"/>
    </row>
    <row r="1445" spans="3:3" x14ac:dyDescent="0.25">
      <c r="C1445" s="2"/>
    </row>
    <row r="1446" spans="3:3" x14ac:dyDescent="0.25">
      <c r="C1446" s="2"/>
    </row>
    <row r="1447" spans="3:3" x14ac:dyDescent="0.25">
      <c r="C1447" s="2"/>
    </row>
    <row r="1448" spans="3:3" x14ac:dyDescent="0.25">
      <c r="C1448" s="2"/>
    </row>
    <row r="1449" spans="3:3" x14ac:dyDescent="0.25">
      <c r="C1449" s="2"/>
    </row>
    <row r="1450" spans="3:3" x14ac:dyDescent="0.25">
      <c r="C1450" s="2"/>
    </row>
    <row r="1451" spans="3:3" x14ac:dyDescent="0.25">
      <c r="C1451" s="2"/>
    </row>
    <row r="1452" spans="3:3" x14ac:dyDescent="0.25">
      <c r="C1452" s="2"/>
    </row>
    <row r="1453" spans="3:3" x14ac:dyDescent="0.25">
      <c r="C1453" s="2"/>
    </row>
    <row r="1454" spans="3:3" x14ac:dyDescent="0.25">
      <c r="C1454" s="2"/>
    </row>
    <row r="1455" spans="3:3" x14ac:dyDescent="0.25">
      <c r="C1455" s="2"/>
    </row>
    <row r="1456" spans="3:3" x14ac:dyDescent="0.25">
      <c r="C1456" s="2"/>
    </row>
    <row r="1457" spans="3:3" x14ac:dyDescent="0.25">
      <c r="C1457" s="2"/>
    </row>
    <row r="1458" spans="3:3" x14ac:dyDescent="0.25">
      <c r="C1458" s="2"/>
    </row>
    <row r="1459" spans="3:3" x14ac:dyDescent="0.25">
      <c r="C1459" s="2"/>
    </row>
    <row r="1460" spans="3:3" x14ac:dyDescent="0.25">
      <c r="C1460" s="2"/>
    </row>
    <row r="1461" spans="3:3" x14ac:dyDescent="0.25">
      <c r="C1461" s="2"/>
    </row>
    <row r="1462" spans="3:3" x14ac:dyDescent="0.25">
      <c r="C1462" s="2"/>
    </row>
    <row r="1463" spans="3:3" x14ac:dyDescent="0.25">
      <c r="C1463" s="2"/>
    </row>
    <row r="1464" spans="3:3" x14ac:dyDescent="0.25">
      <c r="C1464" s="2"/>
    </row>
    <row r="1465" spans="3:3" x14ac:dyDescent="0.25">
      <c r="C1465" s="2"/>
    </row>
    <row r="1466" spans="3:3" x14ac:dyDescent="0.25">
      <c r="C1466" s="2"/>
    </row>
    <row r="1467" spans="3:3" x14ac:dyDescent="0.25">
      <c r="C1467" s="2"/>
    </row>
    <row r="1468" spans="3:3" x14ac:dyDescent="0.25">
      <c r="C1468" s="2"/>
    </row>
    <row r="1469" spans="3:3" x14ac:dyDescent="0.25">
      <c r="C1469" s="2"/>
    </row>
    <row r="1470" spans="3:3" x14ac:dyDescent="0.25">
      <c r="C1470" s="2"/>
    </row>
    <row r="1471" spans="3:3" x14ac:dyDescent="0.25">
      <c r="C1471" s="2"/>
    </row>
    <row r="1472" spans="3:3" x14ac:dyDescent="0.25">
      <c r="C1472" s="2"/>
    </row>
    <row r="1473" spans="3:3" x14ac:dyDescent="0.25">
      <c r="C1473" s="2"/>
    </row>
    <row r="1474" spans="3:3" x14ac:dyDescent="0.25">
      <c r="C1474" s="2"/>
    </row>
    <row r="1475" spans="3:3" x14ac:dyDescent="0.25">
      <c r="C1475" s="2"/>
    </row>
    <row r="1476" spans="3:3" x14ac:dyDescent="0.25">
      <c r="C1476" s="2"/>
    </row>
    <row r="1477" spans="3:3" x14ac:dyDescent="0.25">
      <c r="C1477" s="2"/>
    </row>
    <row r="1478" spans="3:3" x14ac:dyDescent="0.25">
      <c r="C1478" s="2"/>
    </row>
    <row r="1479" spans="3:3" x14ac:dyDescent="0.25">
      <c r="C1479" s="2"/>
    </row>
    <row r="1480" spans="3:3" x14ac:dyDescent="0.25">
      <c r="C1480" s="2"/>
    </row>
    <row r="1481" spans="3:3" x14ac:dyDescent="0.25">
      <c r="C1481" s="2"/>
    </row>
    <row r="1482" spans="3:3" x14ac:dyDescent="0.25">
      <c r="C1482" s="2"/>
    </row>
    <row r="1483" spans="3:3" x14ac:dyDescent="0.25">
      <c r="C1483" s="2"/>
    </row>
    <row r="1484" spans="3:3" x14ac:dyDescent="0.25">
      <c r="C1484" s="2"/>
    </row>
    <row r="1485" spans="3:3" x14ac:dyDescent="0.25">
      <c r="C1485" s="2"/>
    </row>
    <row r="1486" spans="3:3" x14ac:dyDescent="0.25">
      <c r="C1486" s="2"/>
    </row>
    <row r="1487" spans="3:3" x14ac:dyDescent="0.25">
      <c r="C1487" s="2"/>
    </row>
    <row r="1488" spans="3:3" x14ac:dyDescent="0.25">
      <c r="C1488" s="2"/>
    </row>
    <row r="1489" spans="3:3" x14ac:dyDescent="0.25">
      <c r="C1489" s="2"/>
    </row>
    <row r="1490" spans="3:3" x14ac:dyDescent="0.25">
      <c r="C1490" s="2"/>
    </row>
    <row r="1491" spans="3:3" x14ac:dyDescent="0.25">
      <c r="C1491" s="2"/>
    </row>
    <row r="1492" spans="3:3" x14ac:dyDescent="0.25">
      <c r="C1492" s="2"/>
    </row>
    <row r="1493" spans="3:3" x14ac:dyDescent="0.25">
      <c r="C1493" s="2"/>
    </row>
    <row r="1494" spans="3:3" x14ac:dyDescent="0.25">
      <c r="C1494" s="2"/>
    </row>
    <row r="1495" spans="3:3" x14ac:dyDescent="0.25">
      <c r="C1495" s="2"/>
    </row>
    <row r="1496" spans="3:3" x14ac:dyDescent="0.25">
      <c r="C1496" s="2"/>
    </row>
    <row r="1497" spans="3:3" x14ac:dyDescent="0.25">
      <c r="C1497" s="2"/>
    </row>
    <row r="1498" spans="3:3" x14ac:dyDescent="0.25">
      <c r="C1498" s="2"/>
    </row>
    <row r="1499" spans="3:3" x14ac:dyDescent="0.25">
      <c r="C1499" s="2"/>
    </row>
    <row r="1500" spans="3:3" x14ac:dyDescent="0.25">
      <c r="C1500" s="2"/>
    </row>
    <row r="1501" spans="3:3" x14ac:dyDescent="0.25">
      <c r="C1501" s="2"/>
    </row>
    <row r="1502" spans="3:3" x14ac:dyDescent="0.25">
      <c r="C1502" s="2"/>
    </row>
    <row r="1503" spans="3:3" x14ac:dyDescent="0.25">
      <c r="C1503" s="2"/>
    </row>
    <row r="1504" spans="3:3" x14ac:dyDescent="0.25">
      <c r="C1504" s="2"/>
    </row>
    <row r="1505" spans="3:3" x14ac:dyDescent="0.25">
      <c r="C1505" s="2"/>
    </row>
    <row r="1506" spans="3:3" x14ac:dyDescent="0.25">
      <c r="C1506" s="2"/>
    </row>
    <row r="1507" spans="3:3" x14ac:dyDescent="0.25">
      <c r="C1507" s="2"/>
    </row>
    <row r="1508" spans="3:3" x14ac:dyDescent="0.25">
      <c r="C1508" s="2"/>
    </row>
    <row r="1509" spans="3:3" x14ac:dyDescent="0.25">
      <c r="C1509" s="2"/>
    </row>
    <row r="1510" spans="3:3" x14ac:dyDescent="0.25">
      <c r="C1510" s="2"/>
    </row>
    <row r="1511" spans="3:3" x14ac:dyDescent="0.25">
      <c r="C1511" s="2"/>
    </row>
    <row r="1512" spans="3:3" x14ac:dyDescent="0.25">
      <c r="C1512" s="2"/>
    </row>
    <row r="1513" spans="3:3" x14ac:dyDescent="0.25">
      <c r="C1513" s="2"/>
    </row>
    <row r="1514" spans="3:3" x14ac:dyDescent="0.25">
      <c r="C1514" s="2"/>
    </row>
    <row r="1515" spans="3:3" x14ac:dyDescent="0.25">
      <c r="C1515" s="2"/>
    </row>
    <row r="1516" spans="3:3" x14ac:dyDescent="0.25">
      <c r="C1516" s="2"/>
    </row>
    <row r="1517" spans="3:3" x14ac:dyDescent="0.25">
      <c r="C1517" s="2"/>
    </row>
    <row r="1518" spans="3:3" x14ac:dyDescent="0.25">
      <c r="C1518" s="2"/>
    </row>
    <row r="1519" spans="3:3" x14ac:dyDescent="0.25">
      <c r="C1519" s="2"/>
    </row>
    <row r="1520" spans="3:3" x14ac:dyDescent="0.25">
      <c r="C1520" s="2"/>
    </row>
    <row r="1521" spans="3:3" x14ac:dyDescent="0.25">
      <c r="C1521" s="2"/>
    </row>
    <row r="1522" spans="3:3" x14ac:dyDescent="0.25">
      <c r="C1522" s="2"/>
    </row>
    <row r="1523" spans="3:3" x14ac:dyDescent="0.25">
      <c r="C1523" s="2"/>
    </row>
    <row r="1524" spans="3:3" x14ac:dyDescent="0.25">
      <c r="C1524" s="2"/>
    </row>
    <row r="1525" spans="3:3" x14ac:dyDescent="0.25">
      <c r="C1525" s="2"/>
    </row>
    <row r="1526" spans="3:3" x14ac:dyDescent="0.25">
      <c r="C1526" s="2"/>
    </row>
    <row r="1527" spans="3:3" x14ac:dyDescent="0.25">
      <c r="C1527" s="2"/>
    </row>
    <row r="1528" spans="3:3" x14ac:dyDescent="0.25">
      <c r="C1528" s="2"/>
    </row>
    <row r="1529" spans="3:3" x14ac:dyDescent="0.25">
      <c r="C1529" s="2"/>
    </row>
    <row r="1530" spans="3:3" x14ac:dyDescent="0.25">
      <c r="C1530" s="2"/>
    </row>
    <row r="1531" spans="3:3" x14ac:dyDescent="0.25">
      <c r="C1531" s="2"/>
    </row>
    <row r="1532" spans="3:3" x14ac:dyDescent="0.25">
      <c r="C1532" s="2"/>
    </row>
    <row r="1533" spans="3:3" x14ac:dyDescent="0.25">
      <c r="C1533" s="2"/>
    </row>
    <row r="1534" spans="3:3" x14ac:dyDescent="0.25">
      <c r="C1534" s="2"/>
    </row>
    <row r="1535" spans="3:3" x14ac:dyDescent="0.25">
      <c r="C1535" s="2"/>
    </row>
    <row r="1536" spans="3:3" x14ac:dyDescent="0.25">
      <c r="C1536" s="2"/>
    </row>
    <row r="1537" spans="3:3" x14ac:dyDescent="0.25">
      <c r="C1537" s="2"/>
    </row>
    <row r="1538" spans="3:3" x14ac:dyDescent="0.25">
      <c r="C1538" s="2"/>
    </row>
    <row r="1539" spans="3:3" x14ac:dyDescent="0.25">
      <c r="C1539" s="2"/>
    </row>
    <row r="1540" spans="3:3" x14ac:dyDescent="0.25">
      <c r="C1540" s="2"/>
    </row>
    <row r="1541" spans="3:3" x14ac:dyDescent="0.25">
      <c r="C1541" s="2"/>
    </row>
    <row r="1542" spans="3:3" x14ac:dyDescent="0.25">
      <c r="C1542" s="2"/>
    </row>
    <row r="1543" spans="3:3" x14ac:dyDescent="0.25">
      <c r="C1543" s="2"/>
    </row>
    <row r="1544" spans="3:3" x14ac:dyDescent="0.25">
      <c r="C1544" s="2"/>
    </row>
    <row r="1545" spans="3:3" x14ac:dyDescent="0.25">
      <c r="C1545" s="2"/>
    </row>
    <row r="1546" spans="3:3" x14ac:dyDescent="0.25">
      <c r="C1546" s="2"/>
    </row>
    <row r="1547" spans="3:3" x14ac:dyDescent="0.25">
      <c r="C1547" s="2"/>
    </row>
    <row r="1548" spans="3:3" x14ac:dyDescent="0.25">
      <c r="C1548" s="2"/>
    </row>
    <row r="1549" spans="3:3" x14ac:dyDescent="0.25">
      <c r="C1549" s="2"/>
    </row>
    <row r="1550" spans="3:3" x14ac:dyDescent="0.25">
      <c r="C1550" s="2"/>
    </row>
    <row r="1551" spans="3:3" x14ac:dyDescent="0.25">
      <c r="C1551" s="2"/>
    </row>
    <row r="1552" spans="3:3" x14ac:dyDescent="0.25">
      <c r="C1552" s="2"/>
    </row>
    <row r="1553" spans="3:3" x14ac:dyDescent="0.25">
      <c r="C1553" s="2"/>
    </row>
    <row r="1554" spans="3:3" x14ac:dyDescent="0.25">
      <c r="C1554" s="2"/>
    </row>
    <row r="1555" spans="3:3" x14ac:dyDescent="0.25">
      <c r="C1555" s="2"/>
    </row>
    <row r="1556" spans="3:3" x14ac:dyDescent="0.25">
      <c r="C1556" s="2"/>
    </row>
    <row r="1557" spans="3:3" x14ac:dyDescent="0.25">
      <c r="C1557" s="2"/>
    </row>
    <row r="1558" spans="3:3" x14ac:dyDescent="0.25">
      <c r="C1558" s="2"/>
    </row>
    <row r="1559" spans="3:3" x14ac:dyDescent="0.25">
      <c r="C1559" s="2"/>
    </row>
    <row r="1560" spans="3:3" x14ac:dyDescent="0.25">
      <c r="C1560" s="2"/>
    </row>
    <row r="1561" spans="3:3" x14ac:dyDescent="0.25">
      <c r="C1561" s="2"/>
    </row>
    <row r="1562" spans="3:3" x14ac:dyDescent="0.25">
      <c r="C1562" s="2"/>
    </row>
    <row r="1563" spans="3:3" x14ac:dyDescent="0.25">
      <c r="C1563" s="2"/>
    </row>
    <row r="1564" spans="3:3" x14ac:dyDescent="0.25">
      <c r="C1564" s="2"/>
    </row>
    <row r="1565" spans="3:3" x14ac:dyDescent="0.25">
      <c r="C1565" s="2"/>
    </row>
    <row r="1566" spans="3:3" x14ac:dyDescent="0.25">
      <c r="C1566" s="2"/>
    </row>
    <row r="1567" spans="3:3" x14ac:dyDescent="0.25">
      <c r="C1567" s="2"/>
    </row>
    <row r="1568" spans="3:3" x14ac:dyDescent="0.25">
      <c r="C1568" s="2"/>
    </row>
    <row r="1569" spans="3:3" x14ac:dyDescent="0.25">
      <c r="C1569" s="2"/>
    </row>
    <row r="1570" spans="3:3" x14ac:dyDescent="0.25">
      <c r="C1570" s="2"/>
    </row>
    <row r="1571" spans="3:3" x14ac:dyDescent="0.25">
      <c r="C1571" s="2"/>
    </row>
    <row r="1572" spans="3:3" x14ac:dyDescent="0.25">
      <c r="C1572" s="2"/>
    </row>
    <row r="1573" spans="3:3" x14ac:dyDescent="0.25">
      <c r="C1573" s="2"/>
    </row>
    <row r="1574" spans="3:3" x14ac:dyDescent="0.25">
      <c r="C1574" s="2"/>
    </row>
    <row r="1575" spans="3:3" x14ac:dyDescent="0.25">
      <c r="C1575" s="2"/>
    </row>
    <row r="1576" spans="3:3" x14ac:dyDescent="0.25">
      <c r="C1576" s="2"/>
    </row>
    <row r="1577" spans="3:3" x14ac:dyDescent="0.25">
      <c r="C1577" s="2"/>
    </row>
    <row r="1578" spans="3:3" x14ac:dyDescent="0.25">
      <c r="C1578" s="2"/>
    </row>
    <row r="1579" spans="3:3" x14ac:dyDescent="0.25">
      <c r="C1579" s="2"/>
    </row>
    <row r="1580" spans="3:3" x14ac:dyDescent="0.25">
      <c r="C1580" s="2"/>
    </row>
    <row r="1581" spans="3:3" x14ac:dyDescent="0.25">
      <c r="C1581" s="2"/>
    </row>
    <row r="1582" spans="3:3" x14ac:dyDescent="0.25">
      <c r="C1582" s="2"/>
    </row>
    <row r="1583" spans="3:3" x14ac:dyDescent="0.25">
      <c r="C1583" s="2"/>
    </row>
    <row r="1584" spans="3:3" x14ac:dyDescent="0.25">
      <c r="C1584" s="2"/>
    </row>
    <row r="1585" spans="3:3" x14ac:dyDescent="0.25">
      <c r="C1585" s="2"/>
    </row>
    <row r="1586" spans="3:3" x14ac:dyDescent="0.25">
      <c r="C1586" s="2"/>
    </row>
    <row r="1587" spans="3:3" x14ac:dyDescent="0.25">
      <c r="C1587" s="2"/>
    </row>
    <row r="1588" spans="3:3" x14ac:dyDescent="0.25">
      <c r="C1588" s="2"/>
    </row>
    <row r="1589" spans="3:3" x14ac:dyDescent="0.25">
      <c r="C1589" s="2"/>
    </row>
    <row r="1590" spans="3:3" x14ac:dyDescent="0.25">
      <c r="C1590" s="2"/>
    </row>
    <row r="1591" spans="3:3" x14ac:dyDescent="0.25">
      <c r="C1591" s="2"/>
    </row>
    <row r="1592" spans="3:3" x14ac:dyDescent="0.25">
      <c r="C1592" s="2"/>
    </row>
    <row r="1593" spans="3:3" x14ac:dyDescent="0.25">
      <c r="C1593" s="2"/>
    </row>
    <row r="1594" spans="3:3" x14ac:dyDescent="0.25">
      <c r="C1594" s="2"/>
    </row>
    <row r="1595" spans="3:3" x14ac:dyDescent="0.25">
      <c r="C1595" s="2"/>
    </row>
    <row r="1596" spans="3:3" x14ac:dyDescent="0.25">
      <c r="C1596" s="2"/>
    </row>
    <row r="1597" spans="3:3" x14ac:dyDescent="0.25">
      <c r="C1597" s="2"/>
    </row>
    <row r="1598" spans="3:3" x14ac:dyDescent="0.25">
      <c r="C1598" s="2"/>
    </row>
    <row r="1599" spans="3:3" x14ac:dyDescent="0.25">
      <c r="C1599" s="2"/>
    </row>
    <row r="1600" spans="3:3" x14ac:dyDescent="0.25">
      <c r="C1600" s="2"/>
    </row>
    <row r="1601" spans="3:3" x14ac:dyDescent="0.25">
      <c r="C1601" s="2"/>
    </row>
    <row r="1602" spans="3:3" x14ac:dyDescent="0.25">
      <c r="C1602" s="2"/>
    </row>
    <row r="1603" spans="3:3" x14ac:dyDescent="0.25">
      <c r="C1603" s="2"/>
    </row>
    <row r="1604" spans="3:3" x14ac:dyDescent="0.25">
      <c r="C1604" s="2"/>
    </row>
    <row r="1605" spans="3:3" x14ac:dyDescent="0.25">
      <c r="C1605" s="2"/>
    </row>
    <row r="1606" spans="3:3" x14ac:dyDescent="0.25">
      <c r="C1606" s="2"/>
    </row>
    <row r="1607" spans="3:3" x14ac:dyDescent="0.25">
      <c r="C1607" s="2"/>
    </row>
    <row r="1608" spans="3:3" x14ac:dyDescent="0.25">
      <c r="C1608" s="2"/>
    </row>
    <row r="1609" spans="3:3" x14ac:dyDescent="0.25">
      <c r="C1609" s="2"/>
    </row>
    <row r="1610" spans="3:3" x14ac:dyDescent="0.25">
      <c r="C1610" s="2"/>
    </row>
    <row r="1611" spans="3:3" x14ac:dyDescent="0.25">
      <c r="C1611" s="2"/>
    </row>
    <row r="1612" spans="3:3" x14ac:dyDescent="0.25">
      <c r="C1612" s="2"/>
    </row>
    <row r="1613" spans="3:3" x14ac:dyDescent="0.25">
      <c r="C1613" s="2"/>
    </row>
    <row r="1614" spans="3:3" x14ac:dyDescent="0.25">
      <c r="C1614" s="2"/>
    </row>
    <row r="1615" spans="3:3" x14ac:dyDescent="0.25">
      <c r="C1615" s="2"/>
    </row>
    <row r="1616" spans="3:3" x14ac:dyDescent="0.25">
      <c r="C1616" s="2"/>
    </row>
    <row r="1617" spans="3:3" x14ac:dyDescent="0.25">
      <c r="C1617" s="2"/>
    </row>
    <row r="1618" spans="3:3" x14ac:dyDescent="0.25">
      <c r="C1618" s="2"/>
    </row>
    <row r="1619" spans="3:3" x14ac:dyDescent="0.25">
      <c r="C1619" s="2"/>
    </row>
    <row r="1620" spans="3:3" x14ac:dyDescent="0.25">
      <c r="C1620" s="2"/>
    </row>
    <row r="1621" spans="3:3" x14ac:dyDescent="0.25">
      <c r="C1621" s="2"/>
    </row>
    <row r="1622" spans="3:3" x14ac:dyDescent="0.25">
      <c r="C1622" s="2"/>
    </row>
    <row r="1623" spans="3:3" x14ac:dyDescent="0.25">
      <c r="C1623" s="2"/>
    </row>
    <row r="1624" spans="3:3" x14ac:dyDescent="0.25">
      <c r="C1624" s="2"/>
    </row>
    <row r="1625" spans="3:3" x14ac:dyDescent="0.25">
      <c r="C1625" s="2"/>
    </row>
    <row r="1626" spans="3:3" x14ac:dyDescent="0.25">
      <c r="C1626" s="2"/>
    </row>
    <row r="1627" spans="3:3" x14ac:dyDescent="0.25">
      <c r="C1627" s="2"/>
    </row>
    <row r="1628" spans="3:3" x14ac:dyDescent="0.25">
      <c r="C1628" s="2"/>
    </row>
    <row r="1629" spans="3:3" x14ac:dyDescent="0.25">
      <c r="C1629" s="2"/>
    </row>
    <row r="1630" spans="3:3" x14ac:dyDescent="0.25">
      <c r="C1630" s="2"/>
    </row>
    <row r="1631" spans="3:3" x14ac:dyDescent="0.25">
      <c r="C1631" s="2"/>
    </row>
    <row r="1632" spans="3:3" x14ac:dyDescent="0.25">
      <c r="C1632" s="2"/>
    </row>
    <row r="1633" spans="3:3" x14ac:dyDescent="0.25">
      <c r="C1633" s="2"/>
    </row>
    <row r="1634" spans="3:3" x14ac:dyDescent="0.25">
      <c r="C1634" s="2"/>
    </row>
    <row r="1635" spans="3:3" x14ac:dyDescent="0.25">
      <c r="C1635" s="2"/>
    </row>
    <row r="1636" spans="3:3" x14ac:dyDescent="0.25">
      <c r="C1636" s="2"/>
    </row>
    <row r="1637" spans="3:3" x14ac:dyDescent="0.25">
      <c r="C1637" s="2"/>
    </row>
    <row r="1638" spans="3:3" x14ac:dyDescent="0.25">
      <c r="C1638" s="2"/>
    </row>
    <row r="1639" spans="3:3" x14ac:dyDescent="0.25">
      <c r="C1639" s="2"/>
    </row>
    <row r="1640" spans="3:3" x14ac:dyDescent="0.25">
      <c r="C1640" s="2"/>
    </row>
    <row r="1641" spans="3:3" x14ac:dyDescent="0.25">
      <c r="C1641" s="2"/>
    </row>
    <row r="1642" spans="3:3" x14ac:dyDescent="0.25">
      <c r="C1642" s="2"/>
    </row>
    <row r="1643" spans="3:3" x14ac:dyDescent="0.25">
      <c r="C1643" s="2"/>
    </row>
    <row r="1644" spans="3:3" x14ac:dyDescent="0.25">
      <c r="C1644" s="2"/>
    </row>
    <row r="1645" spans="3:3" x14ac:dyDescent="0.25">
      <c r="C1645" s="2"/>
    </row>
    <row r="1646" spans="3:3" x14ac:dyDescent="0.25">
      <c r="C1646" s="2"/>
    </row>
    <row r="1647" spans="3:3" x14ac:dyDescent="0.25">
      <c r="C1647" s="2"/>
    </row>
    <row r="1648" spans="3:3" x14ac:dyDescent="0.25">
      <c r="C1648" s="2"/>
    </row>
    <row r="1649" spans="3:3" x14ac:dyDescent="0.25">
      <c r="C1649" s="2"/>
    </row>
    <row r="1650" spans="3:3" x14ac:dyDescent="0.25">
      <c r="C1650" s="2"/>
    </row>
    <row r="1651" spans="3:3" x14ac:dyDescent="0.25">
      <c r="C1651" s="2"/>
    </row>
    <row r="1652" spans="3:3" x14ac:dyDescent="0.25">
      <c r="C1652" s="2"/>
    </row>
    <row r="1653" spans="3:3" x14ac:dyDescent="0.25">
      <c r="C1653" s="2"/>
    </row>
    <row r="1654" spans="3:3" x14ac:dyDescent="0.25">
      <c r="C1654" s="2"/>
    </row>
    <row r="1655" spans="3:3" x14ac:dyDescent="0.25">
      <c r="C1655" s="2"/>
    </row>
    <row r="1656" spans="3:3" x14ac:dyDescent="0.25">
      <c r="C1656" s="2"/>
    </row>
    <row r="1657" spans="3:3" x14ac:dyDescent="0.25">
      <c r="C1657" s="2"/>
    </row>
    <row r="1658" spans="3:3" x14ac:dyDescent="0.25">
      <c r="C1658" s="2"/>
    </row>
    <row r="1659" spans="3:3" x14ac:dyDescent="0.25">
      <c r="C1659" s="2"/>
    </row>
    <row r="1660" spans="3:3" x14ac:dyDescent="0.25">
      <c r="C1660" s="2"/>
    </row>
    <row r="1661" spans="3:3" x14ac:dyDescent="0.25">
      <c r="C1661" s="2"/>
    </row>
    <row r="1662" spans="3:3" x14ac:dyDescent="0.25">
      <c r="C1662" s="2"/>
    </row>
    <row r="1663" spans="3:3" x14ac:dyDescent="0.25">
      <c r="C1663" s="2"/>
    </row>
    <row r="1664" spans="3:3" x14ac:dyDescent="0.25">
      <c r="C1664" s="2"/>
    </row>
    <row r="1665" spans="3:3" x14ac:dyDescent="0.25">
      <c r="C1665" s="2"/>
    </row>
    <row r="1666" spans="3:3" x14ac:dyDescent="0.25">
      <c r="C1666" s="2"/>
    </row>
    <row r="1667" spans="3:3" x14ac:dyDescent="0.25">
      <c r="C1667" s="2"/>
    </row>
    <row r="1668" spans="3:3" x14ac:dyDescent="0.25">
      <c r="C1668" s="2"/>
    </row>
    <row r="1669" spans="3:3" x14ac:dyDescent="0.25">
      <c r="C1669" s="2"/>
    </row>
    <row r="1670" spans="3:3" x14ac:dyDescent="0.25">
      <c r="C1670" s="2"/>
    </row>
    <row r="1671" spans="3:3" x14ac:dyDescent="0.25">
      <c r="C1671" s="2"/>
    </row>
    <row r="1672" spans="3:3" x14ac:dyDescent="0.25">
      <c r="C1672" s="2"/>
    </row>
    <row r="1673" spans="3:3" x14ac:dyDescent="0.25">
      <c r="C1673" s="2"/>
    </row>
    <row r="1674" spans="3:3" x14ac:dyDescent="0.25">
      <c r="C1674" s="2"/>
    </row>
    <row r="1675" spans="3:3" x14ac:dyDescent="0.25">
      <c r="C1675" s="2"/>
    </row>
    <row r="1676" spans="3:3" x14ac:dyDescent="0.25">
      <c r="C1676" s="2"/>
    </row>
    <row r="1677" spans="3:3" x14ac:dyDescent="0.25">
      <c r="C1677" s="2"/>
    </row>
    <row r="1678" spans="3:3" x14ac:dyDescent="0.25">
      <c r="C1678" s="2"/>
    </row>
    <row r="1679" spans="3:3" x14ac:dyDescent="0.25">
      <c r="C1679" s="2"/>
    </row>
    <row r="1680" spans="3:3" x14ac:dyDescent="0.25">
      <c r="C1680" s="2"/>
    </row>
    <row r="1681" spans="3:3" x14ac:dyDescent="0.25">
      <c r="C1681" s="2"/>
    </row>
    <row r="1682" spans="3:3" x14ac:dyDescent="0.25">
      <c r="C1682" s="2"/>
    </row>
    <row r="1683" spans="3:3" x14ac:dyDescent="0.25">
      <c r="C1683" s="2"/>
    </row>
    <row r="1684" spans="3:3" x14ac:dyDescent="0.25">
      <c r="C1684" s="2"/>
    </row>
    <row r="1685" spans="3:3" x14ac:dyDescent="0.25">
      <c r="C1685" s="2"/>
    </row>
    <row r="1686" spans="3:3" x14ac:dyDescent="0.25">
      <c r="C1686" s="2"/>
    </row>
    <row r="1687" spans="3:3" x14ac:dyDescent="0.25">
      <c r="C1687" s="2"/>
    </row>
    <row r="1688" spans="3:3" x14ac:dyDescent="0.25">
      <c r="C1688" s="2"/>
    </row>
    <row r="1689" spans="3:3" x14ac:dyDescent="0.25">
      <c r="C1689" s="2"/>
    </row>
    <row r="1690" spans="3:3" x14ac:dyDescent="0.25">
      <c r="C1690" s="2"/>
    </row>
    <row r="1691" spans="3:3" x14ac:dyDescent="0.25">
      <c r="C1691" s="2"/>
    </row>
    <row r="1692" spans="3:3" x14ac:dyDescent="0.25">
      <c r="C1692" s="2"/>
    </row>
    <row r="1693" spans="3:3" x14ac:dyDescent="0.25">
      <c r="C1693" s="2"/>
    </row>
    <row r="1694" spans="3:3" x14ac:dyDescent="0.25">
      <c r="C1694" s="2"/>
    </row>
    <row r="1695" spans="3:3" x14ac:dyDescent="0.25">
      <c r="C1695" s="2"/>
    </row>
    <row r="1696" spans="3:3" x14ac:dyDescent="0.25">
      <c r="C1696" s="2"/>
    </row>
    <row r="1697" spans="3:3" x14ac:dyDescent="0.25">
      <c r="C1697" s="2"/>
    </row>
    <row r="1698" spans="3:3" x14ac:dyDescent="0.25">
      <c r="C1698" s="2"/>
    </row>
    <row r="1699" spans="3:3" x14ac:dyDescent="0.25">
      <c r="C1699" s="2"/>
    </row>
    <row r="1700" spans="3:3" x14ac:dyDescent="0.25">
      <c r="C1700" s="2"/>
    </row>
    <row r="1701" spans="3:3" x14ac:dyDescent="0.25">
      <c r="C1701" s="2"/>
    </row>
    <row r="1702" spans="3:3" x14ac:dyDescent="0.25">
      <c r="C1702" s="2"/>
    </row>
    <row r="1703" spans="3:3" x14ac:dyDescent="0.25">
      <c r="C1703" s="2"/>
    </row>
    <row r="1704" spans="3:3" x14ac:dyDescent="0.25">
      <c r="C1704" s="2"/>
    </row>
    <row r="1705" spans="3:3" x14ac:dyDescent="0.25">
      <c r="C1705" s="2"/>
    </row>
    <row r="1706" spans="3:3" x14ac:dyDescent="0.25">
      <c r="C1706" s="2"/>
    </row>
    <row r="1707" spans="3:3" x14ac:dyDescent="0.25">
      <c r="C1707" s="2"/>
    </row>
    <row r="1708" spans="3:3" x14ac:dyDescent="0.25">
      <c r="C1708" s="2"/>
    </row>
    <row r="1709" spans="3:3" x14ac:dyDescent="0.25">
      <c r="C1709" s="2"/>
    </row>
    <row r="1710" spans="3:3" x14ac:dyDescent="0.25">
      <c r="C1710" s="2"/>
    </row>
    <row r="1711" spans="3:3" x14ac:dyDescent="0.25">
      <c r="C1711" s="2"/>
    </row>
    <row r="1712" spans="3:3" x14ac:dyDescent="0.25">
      <c r="C1712" s="2"/>
    </row>
    <row r="1713" spans="3:3" x14ac:dyDescent="0.25">
      <c r="C1713" s="2"/>
    </row>
    <row r="1714" spans="3:3" x14ac:dyDescent="0.25">
      <c r="C1714" s="2"/>
    </row>
    <row r="1715" spans="3:3" x14ac:dyDescent="0.25">
      <c r="C1715" s="2"/>
    </row>
    <row r="1716" spans="3:3" x14ac:dyDescent="0.25">
      <c r="C1716" s="2"/>
    </row>
    <row r="1717" spans="3:3" x14ac:dyDescent="0.25">
      <c r="C1717" s="2"/>
    </row>
    <row r="1718" spans="3:3" x14ac:dyDescent="0.25">
      <c r="C1718" s="2"/>
    </row>
    <row r="1719" spans="3:3" x14ac:dyDescent="0.25">
      <c r="C1719" s="2"/>
    </row>
    <row r="1720" spans="3:3" x14ac:dyDescent="0.25">
      <c r="C1720" s="2"/>
    </row>
    <row r="1721" spans="3:3" x14ac:dyDescent="0.25">
      <c r="C1721" s="2"/>
    </row>
    <row r="1722" spans="3:3" x14ac:dyDescent="0.25">
      <c r="C1722" s="2"/>
    </row>
    <row r="1723" spans="3:3" x14ac:dyDescent="0.25">
      <c r="C1723" s="2"/>
    </row>
    <row r="1724" spans="3:3" x14ac:dyDescent="0.25">
      <c r="C1724" s="2"/>
    </row>
    <row r="1725" spans="3:3" x14ac:dyDescent="0.25">
      <c r="C1725" s="2"/>
    </row>
    <row r="1726" spans="3:3" x14ac:dyDescent="0.25">
      <c r="C1726" s="2"/>
    </row>
    <row r="1727" spans="3:3" x14ac:dyDescent="0.25">
      <c r="C1727" s="2"/>
    </row>
    <row r="1728" spans="3:3" x14ac:dyDescent="0.25">
      <c r="C1728" s="2"/>
    </row>
    <row r="1729" spans="3:3" x14ac:dyDescent="0.25">
      <c r="C1729" s="2"/>
    </row>
    <row r="1730" spans="3:3" x14ac:dyDescent="0.25">
      <c r="C1730" s="2"/>
    </row>
    <row r="1731" spans="3:3" x14ac:dyDescent="0.25">
      <c r="C1731" s="2"/>
    </row>
    <row r="1732" spans="3:3" x14ac:dyDescent="0.25">
      <c r="C1732" s="2"/>
    </row>
    <row r="1733" spans="3:3" x14ac:dyDescent="0.25">
      <c r="C1733" s="2"/>
    </row>
    <row r="1734" spans="3:3" x14ac:dyDescent="0.25">
      <c r="C1734" s="2"/>
    </row>
    <row r="1735" spans="3:3" x14ac:dyDescent="0.25">
      <c r="C1735" s="2"/>
    </row>
    <row r="1736" spans="3:3" x14ac:dyDescent="0.25">
      <c r="C1736" s="2"/>
    </row>
    <row r="1737" spans="3:3" x14ac:dyDescent="0.25">
      <c r="C1737" s="2"/>
    </row>
    <row r="1738" spans="3:3" x14ac:dyDescent="0.25">
      <c r="C1738" s="2"/>
    </row>
    <row r="1739" spans="3:3" x14ac:dyDescent="0.25">
      <c r="C1739" s="2"/>
    </row>
    <row r="1740" spans="3:3" x14ac:dyDescent="0.25">
      <c r="C1740" s="2"/>
    </row>
    <row r="1741" spans="3:3" x14ac:dyDescent="0.25">
      <c r="C1741" s="2"/>
    </row>
    <row r="1742" spans="3:3" x14ac:dyDescent="0.25">
      <c r="C1742" s="2"/>
    </row>
    <row r="1743" spans="3:3" x14ac:dyDescent="0.25">
      <c r="C1743" s="2"/>
    </row>
    <row r="1744" spans="3:3" x14ac:dyDescent="0.25">
      <c r="C1744" s="2"/>
    </row>
    <row r="1745" spans="3:3" x14ac:dyDescent="0.25">
      <c r="C1745" s="2"/>
    </row>
    <row r="1746" spans="3:3" x14ac:dyDescent="0.25">
      <c r="C1746" s="2"/>
    </row>
    <row r="1747" spans="3:3" x14ac:dyDescent="0.25">
      <c r="C1747" s="2"/>
    </row>
    <row r="1748" spans="3:3" x14ac:dyDescent="0.25">
      <c r="C1748" s="2"/>
    </row>
    <row r="1749" spans="3:3" x14ac:dyDescent="0.25">
      <c r="C1749" s="2"/>
    </row>
    <row r="1750" spans="3:3" x14ac:dyDescent="0.25">
      <c r="C1750" s="2"/>
    </row>
    <row r="1751" spans="3:3" x14ac:dyDescent="0.25">
      <c r="C1751" s="2"/>
    </row>
    <row r="1752" spans="3:3" x14ac:dyDescent="0.25">
      <c r="C1752" s="2"/>
    </row>
    <row r="1753" spans="3:3" x14ac:dyDescent="0.25">
      <c r="C1753" s="2"/>
    </row>
    <row r="1754" spans="3:3" x14ac:dyDescent="0.25">
      <c r="C1754" s="2"/>
    </row>
    <row r="1755" spans="3:3" x14ac:dyDescent="0.25">
      <c r="C1755" s="2"/>
    </row>
    <row r="1756" spans="3:3" x14ac:dyDescent="0.25">
      <c r="C1756" s="2"/>
    </row>
    <row r="1757" spans="3:3" x14ac:dyDescent="0.25">
      <c r="C1757" s="2"/>
    </row>
    <row r="1758" spans="3:3" x14ac:dyDescent="0.25">
      <c r="C1758" s="2"/>
    </row>
    <row r="1759" spans="3:3" x14ac:dyDescent="0.25">
      <c r="C1759" s="2"/>
    </row>
    <row r="1760" spans="3:3" x14ac:dyDescent="0.25">
      <c r="C1760" s="2"/>
    </row>
    <row r="1761" spans="3:3" x14ac:dyDescent="0.25">
      <c r="C1761" s="2"/>
    </row>
    <row r="1762" spans="3:3" x14ac:dyDescent="0.25">
      <c r="C1762" s="2"/>
    </row>
    <row r="1763" spans="3:3" x14ac:dyDescent="0.25">
      <c r="C1763" s="2"/>
    </row>
    <row r="1764" spans="3:3" x14ac:dyDescent="0.25">
      <c r="C1764" s="2"/>
    </row>
    <row r="1765" spans="3:3" x14ac:dyDescent="0.25">
      <c r="C1765" s="2"/>
    </row>
    <row r="1766" spans="3:3" x14ac:dyDescent="0.25">
      <c r="C1766" s="2"/>
    </row>
    <row r="1767" spans="3:3" x14ac:dyDescent="0.25">
      <c r="C1767" s="2"/>
    </row>
    <row r="1768" spans="3:3" x14ac:dyDescent="0.25">
      <c r="C1768" s="2"/>
    </row>
    <row r="1769" spans="3:3" x14ac:dyDescent="0.25">
      <c r="C1769" s="2"/>
    </row>
    <row r="1770" spans="3:3" x14ac:dyDescent="0.25">
      <c r="C1770" s="2"/>
    </row>
    <row r="1771" spans="3:3" x14ac:dyDescent="0.25">
      <c r="C1771" s="2"/>
    </row>
    <row r="1772" spans="3:3" x14ac:dyDescent="0.25">
      <c r="C1772" s="2"/>
    </row>
    <row r="1773" spans="3:3" x14ac:dyDescent="0.25">
      <c r="C1773" s="2"/>
    </row>
    <row r="1774" spans="3:3" x14ac:dyDescent="0.25">
      <c r="C1774" s="2"/>
    </row>
    <row r="1775" spans="3:3" x14ac:dyDescent="0.25">
      <c r="C1775" s="2"/>
    </row>
    <row r="1776" spans="3:3" x14ac:dyDescent="0.25">
      <c r="C1776" s="2"/>
    </row>
    <row r="1777" spans="3:3" x14ac:dyDescent="0.25">
      <c r="C1777" s="2"/>
    </row>
    <row r="1778" spans="3:3" x14ac:dyDescent="0.25">
      <c r="C1778" s="2"/>
    </row>
    <row r="1779" spans="3:3" x14ac:dyDescent="0.25">
      <c r="C1779" s="2"/>
    </row>
    <row r="1780" spans="3:3" x14ac:dyDescent="0.25">
      <c r="C1780" s="2"/>
    </row>
    <row r="1781" spans="3:3" x14ac:dyDescent="0.25">
      <c r="C1781" s="2"/>
    </row>
    <row r="1782" spans="3:3" x14ac:dyDescent="0.25">
      <c r="C1782" s="2"/>
    </row>
    <row r="1783" spans="3:3" x14ac:dyDescent="0.25">
      <c r="C1783" s="2"/>
    </row>
    <row r="1784" spans="3:3" x14ac:dyDescent="0.25">
      <c r="C1784" s="2"/>
    </row>
    <row r="1785" spans="3:3" x14ac:dyDescent="0.25">
      <c r="C1785" s="2"/>
    </row>
    <row r="1786" spans="3:3" x14ac:dyDescent="0.25">
      <c r="C1786" s="2"/>
    </row>
    <row r="1787" spans="3:3" x14ac:dyDescent="0.25">
      <c r="C1787" s="2"/>
    </row>
    <row r="1788" spans="3:3" x14ac:dyDescent="0.25">
      <c r="C1788" s="2"/>
    </row>
    <row r="1789" spans="3:3" x14ac:dyDescent="0.25">
      <c r="C1789" s="2"/>
    </row>
    <row r="1790" spans="3:3" x14ac:dyDescent="0.25">
      <c r="C1790" s="2"/>
    </row>
    <row r="1791" spans="3:3" x14ac:dyDescent="0.25">
      <c r="C1791" s="2"/>
    </row>
    <row r="1792" spans="3:3" x14ac:dyDescent="0.25">
      <c r="C1792" s="2"/>
    </row>
    <row r="1793" spans="3:3" x14ac:dyDescent="0.25">
      <c r="C1793" s="2"/>
    </row>
    <row r="1794" spans="3:3" x14ac:dyDescent="0.25">
      <c r="C1794" s="2"/>
    </row>
    <row r="1795" spans="3:3" x14ac:dyDescent="0.25">
      <c r="C1795" s="2"/>
    </row>
    <row r="1796" spans="3:3" x14ac:dyDescent="0.25">
      <c r="C1796" s="2"/>
    </row>
    <row r="1797" spans="3:3" x14ac:dyDescent="0.25">
      <c r="C1797" s="2"/>
    </row>
    <row r="1798" spans="3:3" x14ac:dyDescent="0.25">
      <c r="C1798" s="2"/>
    </row>
    <row r="1799" spans="3:3" x14ac:dyDescent="0.25">
      <c r="C1799" s="2"/>
    </row>
    <row r="1800" spans="3:3" x14ac:dyDescent="0.25">
      <c r="C1800" s="2"/>
    </row>
    <row r="1801" spans="3:3" x14ac:dyDescent="0.25">
      <c r="C1801" s="2"/>
    </row>
    <row r="1802" spans="3:3" x14ac:dyDescent="0.25">
      <c r="C1802" s="2"/>
    </row>
    <row r="1803" spans="3:3" x14ac:dyDescent="0.25">
      <c r="C1803" s="2"/>
    </row>
    <row r="1804" spans="3:3" x14ac:dyDescent="0.25">
      <c r="C1804" s="2"/>
    </row>
    <row r="1805" spans="3:3" x14ac:dyDescent="0.25">
      <c r="C1805" s="2"/>
    </row>
    <row r="1806" spans="3:3" x14ac:dyDescent="0.25">
      <c r="C1806" s="2"/>
    </row>
    <row r="1807" spans="3:3" x14ac:dyDescent="0.25">
      <c r="C1807" s="2"/>
    </row>
    <row r="1808" spans="3:3" x14ac:dyDescent="0.25">
      <c r="C1808" s="2"/>
    </row>
    <row r="1809" spans="3:3" x14ac:dyDescent="0.25">
      <c r="C1809" s="2"/>
    </row>
    <row r="1810" spans="3:3" x14ac:dyDescent="0.25">
      <c r="C1810" s="2"/>
    </row>
    <row r="1811" spans="3:3" x14ac:dyDescent="0.25">
      <c r="C1811" s="2"/>
    </row>
    <row r="1812" spans="3:3" x14ac:dyDescent="0.25">
      <c r="C1812" s="2"/>
    </row>
    <row r="1813" spans="3:3" x14ac:dyDescent="0.25">
      <c r="C1813" s="2"/>
    </row>
    <row r="1814" spans="3:3" x14ac:dyDescent="0.25">
      <c r="C1814" s="2"/>
    </row>
    <row r="1815" spans="3:3" x14ac:dyDescent="0.25">
      <c r="C1815" s="2"/>
    </row>
    <row r="1816" spans="3:3" x14ac:dyDescent="0.25">
      <c r="C1816" s="2"/>
    </row>
    <row r="1817" spans="3:3" x14ac:dyDescent="0.25">
      <c r="C1817" s="2"/>
    </row>
    <row r="1818" spans="3:3" x14ac:dyDescent="0.25">
      <c r="C1818" s="2"/>
    </row>
    <row r="1819" spans="3:3" x14ac:dyDescent="0.25">
      <c r="C1819" s="2"/>
    </row>
    <row r="1820" spans="3:3" x14ac:dyDescent="0.25">
      <c r="C1820" s="2"/>
    </row>
    <row r="1821" spans="3:3" x14ac:dyDescent="0.25">
      <c r="C1821" s="2"/>
    </row>
    <row r="1822" spans="3:3" x14ac:dyDescent="0.25">
      <c r="C1822" s="2"/>
    </row>
    <row r="1823" spans="3:3" x14ac:dyDescent="0.25">
      <c r="C1823" s="2"/>
    </row>
    <row r="1824" spans="3:3" x14ac:dyDescent="0.25">
      <c r="C1824" s="2"/>
    </row>
    <row r="1825" spans="3:3" x14ac:dyDescent="0.25">
      <c r="C1825" s="2"/>
    </row>
    <row r="1826" spans="3:3" x14ac:dyDescent="0.25">
      <c r="C1826" s="2"/>
    </row>
    <row r="1827" spans="3:3" x14ac:dyDescent="0.25">
      <c r="C1827" s="2"/>
    </row>
    <row r="1828" spans="3:3" x14ac:dyDescent="0.25">
      <c r="C1828" s="2"/>
    </row>
    <row r="1829" spans="3:3" x14ac:dyDescent="0.25">
      <c r="C1829" s="2"/>
    </row>
    <row r="1830" spans="3:3" x14ac:dyDescent="0.25">
      <c r="C1830" s="2"/>
    </row>
    <row r="1831" spans="3:3" x14ac:dyDescent="0.25">
      <c r="C1831" s="2"/>
    </row>
    <row r="1832" spans="3:3" x14ac:dyDescent="0.25">
      <c r="C1832" s="2"/>
    </row>
    <row r="1833" spans="3:3" x14ac:dyDescent="0.25">
      <c r="C1833" s="2"/>
    </row>
    <row r="1834" spans="3:3" x14ac:dyDescent="0.25">
      <c r="C1834" s="2"/>
    </row>
    <row r="1835" spans="3:3" x14ac:dyDescent="0.25">
      <c r="C1835" s="2"/>
    </row>
    <row r="1836" spans="3:3" x14ac:dyDescent="0.25">
      <c r="C1836" s="2"/>
    </row>
    <row r="1837" spans="3:3" x14ac:dyDescent="0.25">
      <c r="C1837" s="2"/>
    </row>
    <row r="1838" spans="3:3" x14ac:dyDescent="0.25">
      <c r="C1838" s="2"/>
    </row>
    <row r="1839" spans="3:3" x14ac:dyDescent="0.25">
      <c r="C1839" s="2"/>
    </row>
    <row r="1840" spans="3:3" x14ac:dyDescent="0.25">
      <c r="C1840" s="2"/>
    </row>
    <row r="1841" spans="3:3" x14ac:dyDescent="0.25">
      <c r="C1841" s="2"/>
    </row>
    <row r="1842" spans="3:3" x14ac:dyDescent="0.25">
      <c r="C1842" s="2"/>
    </row>
    <row r="1843" spans="3:3" x14ac:dyDescent="0.25">
      <c r="C1843" s="2"/>
    </row>
    <row r="1844" spans="3:3" x14ac:dyDescent="0.25">
      <c r="C1844" s="2"/>
    </row>
    <row r="1845" spans="3:3" x14ac:dyDescent="0.25">
      <c r="C1845" s="2"/>
    </row>
    <row r="1846" spans="3:3" x14ac:dyDescent="0.25">
      <c r="C1846" s="2"/>
    </row>
    <row r="1847" spans="3:3" x14ac:dyDescent="0.25">
      <c r="C1847" s="2"/>
    </row>
    <row r="1848" spans="3:3" x14ac:dyDescent="0.25">
      <c r="C1848" s="2"/>
    </row>
    <row r="1849" spans="3:3" x14ac:dyDescent="0.25">
      <c r="C1849" s="2"/>
    </row>
    <row r="1850" spans="3:3" x14ac:dyDescent="0.25">
      <c r="C1850" s="2"/>
    </row>
    <row r="1851" spans="3:3" x14ac:dyDescent="0.25">
      <c r="C1851" s="2"/>
    </row>
    <row r="1852" spans="3:3" x14ac:dyDescent="0.25">
      <c r="C1852" s="2"/>
    </row>
    <row r="1853" spans="3:3" x14ac:dyDescent="0.25">
      <c r="C1853" s="2"/>
    </row>
    <row r="1854" spans="3:3" x14ac:dyDescent="0.25">
      <c r="C1854" s="2"/>
    </row>
    <row r="1855" spans="3:3" x14ac:dyDescent="0.25">
      <c r="C1855" s="2"/>
    </row>
    <row r="1856" spans="3:3" x14ac:dyDescent="0.25">
      <c r="C1856" s="2"/>
    </row>
    <row r="1857" spans="3:3" x14ac:dyDescent="0.25">
      <c r="C1857" s="2"/>
    </row>
    <row r="1858" spans="3:3" x14ac:dyDescent="0.25">
      <c r="C1858" s="2"/>
    </row>
    <row r="1859" spans="3:3" x14ac:dyDescent="0.25">
      <c r="C1859" s="2"/>
    </row>
    <row r="1860" spans="3:3" x14ac:dyDescent="0.25">
      <c r="C1860" s="2"/>
    </row>
    <row r="1861" spans="3:3" x14ac:dyDescent="0.25">
      <c r="C1861" s="2"/>
    </row>
    <row r="1862" spans="3:3" x14ac:dyDescent="0.25">
      <c r="C1862" s="2"/>
    </row>
    <row r="1863" spans="3:3" x14ac:dyDescent="0.25">
      <c r="C1863" s="2"/>
    </row>
    <row r="1864" spans="3:3" x14ac:dyDescent="0.25">
      <c r="C1864" s="2"/>
    </row>
    <row r="1865" spans="3:3" x14ac:dyDescent="0.25">
      <c r="C1865" s="2"/>
    </row>
    <row r="1866" spans="3:3" x14ac:dyDescent="0.25">
      <c r="C1866" s="2"/>
    </row>
    <row r="1867" spans="3:3" x14ac:dyDescent="0.25">
      <c r="C1867" s="2"/>
    </row>
    <row r="1868" spans="3:3" x14ac:dyDescent="0.25">
      <c r="C1868" s="2"/>
    </row>
    <row r="1869" spans="3:3" x14ac:dyDescent="0.25">
      <c r="C1869" s="2"/>
    </row>
    <row r="1870" spans="3:3" x14ac:dyDescent="0.25">
      <c r="C1870" s="2"/>
    </row>
    <row r="1871" spans="3:3" x14ac:dyDescent="0.25">
      <c r="C1871" s="2"/>
    </row>
    <row r="1872" spans="3:3" x14ac:dyDescent="0.25">
      <c r="C1872" s="2"/>
    </row>
    <row r="1873" spans="3:3" x14ac:dyDescent="0.25">
      <c r="C1873" s="2"/>
    </row>
    <row r="1874" spans="3:3" x14ac:dyDescent="0.25">
      <c r="C1874" s="2"/>
    </row>
    <row r="1875" spans="3:3" x14ac:dyDescent="0.25">
      <c r="C1875" s="2"/>
    </row>
    <row r="1876" spans="3:3" x14ac:dyDescent="0.25">
      <c r="C1876" s="2"/>
    </row>
    <row r="1877" spans="3:3" x14ac:dyDescent="0.25">
      <c r="C1877" s="2"/>
    </row>
    <row r="1878" spans="3:3" x14ac:dyDescent="0.25">
      <c r="C1878" s="2"/>
    </row>
    <row r="1879" spans="3:3" x14ac:dyDescent="0.25">
      <c r="C1879" s="2"/>
    </row>
    <row r="1880" spans="3:3" x14ac:dyDescent="0.25">
      <c r="C1880" s="2"/>
    </row>
    <row r="1881" spans="3:3" x14ac:dyDescent="0.25">
      <c r="C1881" s="2"/>
    </row>
    <row r="1882" spans="3:3" x14ac:dyDescent="0.25">
      <c r="C1882" s="2"/>
    </row>
    <row r="1883" spans="3:3" x14ac:dyDescent="0.25">
      <c r="C1883" s="2"/>
    </row>
    <row r="1884" spans="3:3" x14ac:dyDescent="0.25">
      <c r="C1884" s="2"/>
    </row>
    <row r="1885" spans="3:3" x14ac:dyDescent="0.25">
      <c r="C1885" s="2"/>
    </row>
    <row r="1886" spans="3:3" x14ac:dyDescent="0.25">
      <c r="C1886" s="2"/>
    </row>
    <row r="1887" spans="3:3" x14ac:dyDescent="0.25">
      <c r="C1887" s="2"/>
    </row>
    <row r="1888" spans="3:3" x14ac:dyDescent="0.25">
      <c r="C1888" s="2"/>
    </row>
    <row r="1889" spans="3:3" x14ac:dyDescent="0.25">
      <c r="C1889" s="2"/>
    </row>
    <row r="1890" spans="3:3" x14ac:dyDescent="0.25">
      <c r="C1890" s="2"/>
    </row>
    <row r="1891" spans="3:3" x14ac:dyDescent="0.25">
      <c r="C1891" s="2"/>
    </row>
    <row r="1892" spans="3:3" x14ac:dyDescent="0.25">
      <c r="C1892" s="2"/>
    </row>
    <row r="1893" spans="3:3" x14ac:dyDescent="0.25">
      <c r="C1893" s="2"/>
    </row>
    <row r="1894" spans="3:3" x14ac:dyDescent="0.25">
      <c r="C1894" s="2"/>
    </row>
    <row r="1895" spans="3:3" x14ac:dyDescent="0.25">
      <c r="C1895" s="2"/>
    </row>
    <row r="1896" spans="3:3" x14ac:dyDescent="0.25">
      <c r="C1896" s="2"/>
    </row>
    <row r="1897" spans="3:3" x14ac:dyDescent="0.25">
      <c r="C1897" s="2"/>
    </row>
    <row r="1898" spans="3:3" x14ac:dyDescent="0.25">
      <c r="C1898" s="2"/>
    </row>
    <row r="1899" spans="3:3" x14ac:dyDescent="0.25">
      <c r="C1899" s="2"/>
    </row>
    <row r="1900" spans="3:3" x14ac:dyDescent="0.25">
      <c r="C1900" s="2"/>
    </row>
    <row r="1901" spans="3:3" x14ac:dyDescent="0.25">
      <c r="C1901" s="2"/>
    </row>
    <row r="1902" spans="3:3" x14ac:dyDescent="0.25">
      <c r="C1902" s="2"/>
    </row>
    <row r="1903" spans="3:3" x14ac:dyDescent="0.25">
      <c r="C1903" s="2"/>
    </row>
    <row r="1904" spans="3:3" x14ac:dyDescent="0.25">
      <c r="C1904" s="2"/>
    </row>
    <row r="1905" spans="3:3" x14ac:dyDescent="0.25">
      <c r="C1905" s="2"/>
    </row>
    <row r="1906" spans="3:3" x14ac:dyDescent="0.25">
      <c r="C1906" s="2"/>
    </row>
    <row r="1907" spans="3:3" x14ac:dyDescent="0.25">
      <c r="C1907" s="2"/>
    </row>
    <row r="1908" spans="3:3" x14ac:dyDescent="0.25">
      <c r="C1908" s="2"/>
    </row>
    <row r="1909" spans="3:3" x14ac:dyDescent="0.25">
      <c r="C1909" s="2"/>
    </row>
    <row r="1910" spans="3:3" x14ac:dyDescent="0.25">
      <c r="C1910" s="2"/>
    </row>
    <row r="1911" spans="3:3" x14ac:dyDescent="0.25">
      <c r="C1911" s="2"/>
    </row>
    <row r="1912" spans="3:3" x14ac:dyDescent="0.25">
      <c r="C1912" s="2"/>
    </row>
    <row r="1913" spans="3:3" x14ac:dyDescent="0.25">
      <c r="C1913" s="2"/>
    </row>
    <row r="1914" spans="3:3" x14ac:dyDescent="0.25">
      <c r="C1914" s="2"/>
    </row>
    <row r="1915" spans="3:3" x14ac:dyDescent="0.25">
      <c r="C1915" s="2"/>
    </row>
    <row r="1916" spans="3:3" x14ac:dyDescent="0.25">
      <c r="C1916" s="2"/>
    </row>
    <row r="1917" spans="3:3" x14ac:dyDescent="0.25">
      <c r="C1917" s="2"/>
    </row>
    <row r="1918" spans="3:3" x14ac:dyDescent="0.25">
      <c r="C1918" s="2"/>
    </row>
    <row r="1919" spans="3:3" x14ac:dyDescent="0.25">
      <c r="C1919" s="2"/>
    </row>
    <row r="1920" spans="3:3" x14ac:dyDescent="0.25">
      <c r="C1920" s="2"/>
    </row>
    <row r="1921" spans="3:3" x14ac:dyDescent="0.25">
      <c r="C1921" s="2"/>
    </row>
    <row r="1922" spans="3:3" x14ac:dyDescent="0.25">
      <c r="C1922" s="2"/>
    </row>
    <row r="1923" spans="3:3" x14ac:dyDescent="0.25">
      <c r="C1923" s="2"/>
    </row>
    <row r="1924" spans="3:3" x14ac:dyDescent="0.25">
      <c r="C1924" s="2"/>
    </row>
    <row r="1925" spans="3:3" x14ac:dyDescent="0.25">
      <c r="C1925" s="2"/>
    </row>
    <row r="1926" spans="3:3" x14ac:dyDescent="0.25">
      <c r="C1926" s="2"/>
    </row>
    <row r="1927" spans="3:3" x14ac:dyDescent="0.25">
      <c r="C1927" s="2"/>
    </row>
    <row r="1928" spans="3:3" x14ac:dyDescent="0.25">
      <c r="C1928" s="2"/>
    </row>
    <row r="1929" spans="3:3" x14ac:dyDescent="0.25">
      <c r="C1929" s="2"/>
    </row>
    <row r="1930" spans="3:3" x14ac:dyDescent="0.25">
      <c r="C1930" s="2"/>
    </row>
    <row r="1931" spans="3:3" x14ac:dyDescent="0.25">
      <c r="C1931" s="2"/>
    </row>
    <row r="1932" spans="3:3" x14ac:dyDescent="0.25">
      <c r="C1932" s="2"/>
    </row>
    <row r="1933" spans="3:3" x14ac:dyDescent="0.25">
      <c r="C1933" s="2"/>
    </row>
    <row r="1934" spans="3:3" x14ac:dyDescent="0.25">
      <c r="C1934" s="2"/>
    </row>
    <row r="1935" spans="3:3" x14ac:dyDescent="0.25">
      <c r="C1935" s="2"/>
    </row>
    <row r="1936" spans="3:3" x14ac:dyDescent="0.25">
      <c r="C1936" s="2"/>
    </row>
    <row r="1937" spans="3:3" x14ac:dyDescent="0.25">
      <c r="C1937" s="2"/>
    </row>
    <row r="1938" spans="3:3" x14ac:dyDescent="0.25">
      <c r="C1938" s="2"/>
    </row>
    <row r="1939" spans="3:3" x14ac:dyDescent="0.25">
      <c r="C1939" s="2"/>
    </row>
    <row r="1940" spans="3:3" x14ac:dyDescent="0.25">
      <c r="C1940" s="2"/>
    </row>
    <row r="1941" spans="3:3" x14ac:dyDescent="0.25">
      <c r="C1941" s="2"/>
    </row>
    <row r="1942" spans="3:3" x14ac:dyDescent="0.25">
      <c r="C1942" s="2"/>
    </row>
    <row r="1943" spans="3:3" x14ac:dyDescent="0.25">
      <c r="C1943" s="2"/>
    </row>
    <row r="1944" spans="3:3" x14ac:dyDescent="0.25">
      <c r="C1944" s="2"/>
    </row>
    <row r="1945" spans="3:3" x14ac:dyDescent="0.25">
      <c r="C1945" s="2"/>
    </row>
    <row r="1946" spans="3:3" x14ac:dyDescent="0.25">
      <c r="C1946" s="2"/>
    </row>
    <row r="1947" spans="3:3" x14ac:dyDescent="0.25">
      <c r="C1947" s="2"/>
    </row>
    <row r="1948" spans="3:3" x14ac:dyDescent="0.25">
      <c r="C1948" s="2"/>
    </row>
    <row r="1949" spans="3:3" x14ac:dyDescent="0.25">
      <c r="C1949" s="2"/>
    </row>
    <row r="1950" spans="3:3" x14ac:dyDescent="0.25">
      <c r="C1950" s="2"/>
    </row>
    <row r="1951" spans="3:3" x14ac:dyDescent="0.25">
      <c r="C1951" s="2"/>
    </row>
    <row r="1952" spans="3:3" x14ac:dyDescent="0.25">
      <c r="C1952" s="2"/>
    </row>
    <row r="1953" spans="3:3" x14ac:dyDescent="0.25">
      <c r="C1953" s="2"/>
    </row>
    <row r="1954" spans="3:3" x14ac:dyDescent="0.25">
      <c r="C1954" s="2"/>
    </row>
    <row r="1955" spans="3:3" x14ac:dyDescent="0.25">
      <c r="C1955" s="2"/>
    </row>
    <row r="1956" spans="3:3" x14ac:dyDescent="0.25">
      <c r="C1956" s="2"/>
    </row>
    <row r="1957" spans="3:3" x14ac:dyDescent="0.25">
      <c r="C1957" s="2"/>
    </row>
    <row r="1958" spans="3:3" x14ac:dyDescent="0.25">
      <c r="C1958" s="2"/>
    </row>
    <row r="1959" spans="3:3" x14ac:dyDescent="0.25">
      <c r="C1959" s="2"/>
    </row>
    <row r="1960" spans="3:3" x14ac:dyDescent="0.25">
      <c r="C1960" s="2"/>
    </row>
    <row r="1961" spans="3:3" x14ac:dyDescent="0.25">
      <c r="C1961" s="2"/>
    </row>
    <row r="1962" spans="3:3" x14ac:dyDescent="0.25">
      <c r="C1962" s="2"/>
    </row>
    <row r="1963" spans="3:3" x14ac:dyDescent="0.25">
      <c r="C1963" s="2"/>
    </row>
    <row r="1964" spans="3:3" x14ac:dyDescent="0.25">
      <c r="C1964" s="2"/>
    </row>
    <row r="1965" spans="3:3" x14ac:dyDescent="0.25">
      <c r="C1965" s="2"/>
    </row>
    <row r="1966" spans="3:3" x14ac:dyDescent="0.25">
      <c r="C1966" s="2"/>
    </row>
    <row r="1967" spans="3:3" x14ac:dyDescent="0.25">
      <c r="C1967" s="2"/>
    </row>
    <row r="1968" spans="3:3" x14ac:dyDescent="0.25">
      <c r="C1968" s="2"/>
    </row>
    <row r="1969" spans="3:3" x14ac:dyDescent="0.25">
      <c r="C1969" s="2"/>
    </row>
    <row r="1970" spans="3:3" x14ac:dyDescent="0.25">
      <c r="C1970" s="2"/>
    </row>
    <row r="1971" spans="3:3" x14ac:dyDescent="0.25">
      <c r="C1971" s="2"/>
    </row>
    <row r="1972" spans="3:3" x14ac:dyDescent="0.25">
      <c r="C1972" s="2"/>
    </row>
    <row r="1973" spans="3:3" x14ac:dyDescent="0.25">
      <c r="C1973" s="2"/>
    </row>
    <row r="1974" spans="3:3" x14ac:dyDescent="0.25">
      <c r="C1974" s="2"/>
    </row>
    <row r="1975" spans="3:3" x14ac:dyDescent="0.25">
      <c r="C1975" s="2"/>
    </row>
    <row r="1976" spans="3:3" x14ac:dyDescent="0.25">
      <c r="C1976" s="2"/>
    </row>
    <row r="1977" spans="3:3" x14ac:dyDescent="0.25">
      <c r="C1977" s="2"/>
    </row>
    <row r="1978" spans="3:3" x14ac:dyDescent="0.25">
      <c r="C1978" s="2"/>
    </row>
    <row r="1979" spans="3:3" x14ac:dyDescent="0.25">
      <c r="C1979" s="2"/>
    </row>
    <row r="1980" spans="3:3" x14ac:dyDescent="0.25">
      <c r="C1980" s="2"/>
    </row>
    <row r="1981" spans="3:3" x14ac:dyDescent="0.25">
      <c r="C1981" s="2"/>
    </row>
    <row r="1982" spans="3:3" x14ac:dyDescent="0.25">
      <c r="C1982" s="2"/>
    </row>
    <row r="1983" spans="3:3" x14ac:dyDescent="0.25">
      <c r="C1983" s="2"/>
    </row>
    <row r="1984" spans="3:3" x14ac:dyDescent="0.25">
      <c r="C1984" s="2"/>
    </row>
    <row r="1985" spans="3:3" x14ac:dyDescent="0.25">
      <c r="C1985" s="2"/>
    </row>
    <row r="1986" spans="3:3" x14ac:dyDescent="0.25">
      <c r="C1986" s="2"/>
    </row>
    <row r="1987" spans="3:3" x14ac:dyDescent="0.25">
      <c r="C1987" s="2"/>
    </row>
    <row r="1988" spans="3:3" x14ac:dyDescent="0.25">
      <c r="C1988" s="2"/>
    </row>
    <row r="1989" spans="3:3" x14ac:dyDescent="0.25">
      <c r="C1989" s="2"/>
    </row>
    <row r="1990" spans="3:3" x14ac:dyDescent="0.25">
      <c r="C1990" s="2"/>
    </row>
    <row r="1991" spans="3:3" x14ac:dyDescent="0.25">
      <c r="C1991" s="2"/>
    </row>
    <row r="1992" spans="3:3" x14ac:dyDescent="0.25">
      <c r="C1992" s="2"/>
    </row>
    <row r="1993" spans="3:3" x14ac:dyDescent="0.25">
      <c r="C1993" s="2"/>
    </row>
    <row r="1994" spans="3:3" x14ac:dyDescent="0.25">
      <c r="C1994" s="2"/>
    </row>
    <row r="1995" spans="3:3" x14ac:dyDescent="0.25">
      <c r="C1995" s="2"/>
    </row>
    <row r="1996" spans="3:3" x14ac:dyDescent="0.25">
      <c r="C1996" s="2"/>
    </row>
    <row r="1997" spans="3:3" x14ac:dyDescent="0.25">
      <c r="C1997" s="2"/>
    </row>
    <row r="1998" spans="3:3" x14ac:dyDescent="0.25">
      <c r="C1998" s="2"/>
    </row>
    <row r="1999" spans="3:3" x14ac:dyDescent="0.25">
      <c r="C1999" s="2"/>
    </row>
    <row r="2000" spans="3:3" x14ac:dyDescent="0.25">
      <c r="C2000" s="2"/>
    </row>
    <row r="2001" spans="3:3" x14ac:dyDescent="0.25">
      <c r="C2001" s="2"/>
    </row>
    <row r="2002" spans="3:3" x14ac:dyDescent="0.25">
      <c r="C2002" s="2"/>
    </row>
    <row r="2003" spans="3:3" x14ac:dyDescent="0.25">
      <c r="C2003" s="2"/>
    </row>
    <row r="2004" spans="3:3" x14ac:dyDescent="0.25">
      <c r="C2004" s="2"/>
    </row>
    <row r="2005" spans="3:3" x14ac:dyDescent="0.25">
      <c r="C2005" s="2"/>
    </row>
    <row r="2006" spans="3:3" x14ac:dyDescent="0.25">
      <c r="C2006" s="2"/>
    </row>
    <row r="2007" spans="3:3" x14ac:dyDescent="0.25">
      <c r="C2007" s="2"/>
    </row>
    <row r="2008" spans="3:3" x14ac:dyDescent="0.25">
      <c r="C2008" s="2"/>
    </row>
    <row r="2009" spans="3:3" x14ac:dyDescent="0.25">
      <c r="C2009" s="2"/>
    </row>
    <row r="2010" spans="3:3" x14ac:dyDescent="0.25">
      <c r="C2010" s="2"/>
    </row>
    <row r="2011" spans="3:3" x14ac:dyDescent="0.25">
      <c r="C2011" s="2"/>
    </row>
    <row r="2012" spans="3:3" x14ac:dyDescent="0.25">
      <c r="C2012" s="2"/>
    </row>
    <row r="2013" spans="3:3" x14ac:dyDescent="0.25">
      <c r="C2013" s="2"/>
    </row>
    <row r="2014" spans="3:3" x14ac:dyDescent="0.25">
      <c r="C2014" s="2"/>
    </row>
    <row r="2015" spans="3:3" x14ac:dyDescent="0.25">
      <c r="C2015" s="2"/>
    </row>
    <row r="2016" spans="3:3" x14ac:dyDescent="0.25">
      <c r="C2016" s="2"/>
    </row>
    <row r="2017" spans="3:3" x14ac:dyDescent="0.25">
      <c r="C2017" s="2"/>
    </row>
    <row r="2018" spans="3:3" x14ac:dyDescent="0.25">
      <c r="C2018" s="2"/>
    </row>
    <row r="2019" spans="3:3" x14ac:dyDescent="0.25">
      <c r="C2019" s="2"/>
    </row>
    <row r="2020" spans="3:3" x14ac:dyDescent="0.25">
      <c r="C2020" s="2"/>
    </row>
    <row r="2021" spans="3:3" x14ac:dyDescent="0.25">
      <c r="C2021" s="2"/>
    </row>
    <row r="2022" spans="3:3" x14ac:dyDescent="0.25">
      <c r="C2022" s="2"/>
    </row>
    <row r="2023" spans="3:3" x14ac:dyDescent="0.25">
      <c r="C2023" s="2"/>
    </row>
    <row r="2024" spans="3:3" x14ac:dyDescent="0.25">
      <c r="C2024" s="2"/>
    </row>
    <row r="2025" spans="3:3" x14ac:dyDescent="0.25">
      <c r="C2025" s="2"/>
    </row>
    <row r="2026" spans="3:3" x14ac:dyDescent="0.25">
      <c r="C2026" s="2"/>
    </row>
    <row r="2027" spans="3:3" x14ac:dyDescent="0.25">
      <c r="C2027" s="2"/>
    </row>
    <row r="2028" spans="3:3" x14ac:dyDescent="0.25">
      <c r="C2028" s="2"/>
    </row>
    <row r="2029" spans="3:3" x14ac:dyDescent="0.25">
      <c r="C2029" s="2"/>
    </row>
    <row r="2030" spans="3:3" x14ac:dyDescent="0.25">
      <c r="C2030" s="2"/>
    </row>
    <row r="2031" spans="3:3" x14ac:dyDescent="0.25">
      <c r="C2031" s="2"/>
    </row>
    <row r="2032" spans="3:3" x14ac:dyDescent="0.25">
      <c r="C2032" s="2"/>
    </row>
    <row r="2033" spans="3:3" x14ac:dyDescent="0.25">
      <c r="C2033" s="2"/>
    </row>
    <row r="2034" spans="3:3" x14ac:dyDescent="0.25">
      <c r="C2034" s="2"/>
    </row>
    <row r="2035" spans="3:3" x14ac:dyDescent="0.25">
      <c r="C2035" s="2"/>
    </row>
    <row r="2036" spans="3:3" x14ac:dyDescent="0.25">
      <c r="C2036" s="2"/>
    </row>
    <row r="2037" spans="3:3" x14ac:dyDescent="0.25">
      <c r="C2037" s="2"/>
    </row>
    <row r="2038" spans="3:3" x14ac:dyDescent="0.25">
      <c r="C2038" s="2"/>
    </row>
    <row r="2039" spans="3:3" x14ac:dyDescent="0.25">
      <c r="C2039" s="2"/>
    </row>
    <row r="2040" spans="3:3" x14ac:dyDescent="0.25">
      <c r="C2040" s="2"/>
    </row>
    <row r="2041" spans="3:3" x14ac:dyDescent="0.25">
      <c r="C2041" s="2"/>
    </row>
    <row r="2042" spans="3:3" x14ac:dyDescent="0.25">
      <c r="C2042" s="2"/>
    </row>
    <row r="2043" spans="3:3" x14ac:dyDescent="0.25">
      <c r="C2043" s="2"/>
    </row>
    <row r="2044" spans="3:3" x14ac:dyDescent="0.25">
      <c r="C2044" s="2"/>
    </row>
    <row r="2045" spans="3:3" x14ac:dyDescent="0.25">
      <c r="C2045" s="2"/>
    </row>
    <row r="2046" spans="3:3" x14ac:dyDescent="0.25">
      <c r="C2046" s="2"/>
    </row>
    <row r="2047" spans="3:3" x14ac:dyDescent="0.25">
      <c r="C2047" s="2"/>
    </row>
    <row r="2048" spans="3:3" x14ac:dyDescent="0.25">
      <c r="C2048" s="2"/>
    </row>
    <row r="2049" spans="3:3" x14ac:dyDescent="0.25">
      <c r="C2049" s="2"/>
    </row>
    <row r="2050" spans="3:3" x14ac:dyDescent="0.25">
      <c r="C2050" s="2"/>
    </row>
    <row r="2051" spans="3:3" x14ac:dyDescent="0.25">
      <c r="C2051" s="2"/>
    </row>
    <row r="2052" spans="3:3" x14ac:dyDescent="0.25">
      <c r="C2052" s="2"/>
    </row>
    <row r="2053" spans="3:3" x14ac:dyDescent="0.25">
      <c r="C2053" s="2"/>
    </row>
    <row r="2054" spans="3:3" x14ac:dyDescent="0.25">
      <c r="C2054" s="2"/>
    </row>
    <row r="2055" spans="3:3" x14ac:dyDescent="0.25">
      <c r="C2055" s="2"/>
    </row>
    <row r="2056" spans="3:3" x14ac:dyDescent="0.25">
      <c r="C2056" s="2"/>
    </row>
    <row r="2057" spans="3:3" x14ac:dyDescent="0.25">
      <c r="C2057" s="2"/>
    </row>
    <row r="2058" spans="3:3" x14ac:dyDescent="0.25">
      <c r="C2058" s="2"/>
    </row>
    <row r="2059" spans="3:3" x14ac:dyDescent="0.25">
      <c r="C2059" s="2"/>
    </row>
    <row r="2060" spans="3:3" x14ac:dyDescent="0.25">
      <c r="C2060" s="2"/>
    </row>
    <row r="2061" spans="3:3" x14ac:dyDescent="0.25">
      <c r="C2061" s="2"/>
    </row>
    <row r="2062" spans="3:3" x14ac:dyDescent="0.25">
      <c r="C2062" s="2"/>
    </row>
    <row r="2063" spans="3:3" x14ac:dyDescent="0.25">
      <c r="C2063" s="2"/>
    </row>
    <row r="2064" spans="3:3" x14ac:dyDescent="0.25">
      <c r="C2064" s="2"/>
    </row>
    <row r="2065" spans="3:3" x14ac:dyDescent="0.25">
      <c r="C2065" s="2"/>
    </row>
    <row r="2066" spans="3:3" x14ac:dyDescent="0.25">
      <c r="C2066" s="2"/>
    </row>
    <row r="2067" spans="3:3" x14ac:dyDescent="0.25">
      <c r="C2067" s="2"/>
    </row>
    <row r="2068" spans="3:3" x14ac:dyDescent="0.25">
      <c r="C2068" s="2"/>
    </row>
    <row r="2069" spans="3:3" x14ac:dyDescent="0.25">
      <c r="C2069" s="2"/>
    </row>
    <row r="2070" spans="3:3" x14ac:dyDescent="0.25">
      <c r="C2070" s="2"/>
    </row>
    <row r="2071" spans="3:3" x14ac:dyDescent="0.25">
      <c r="C2071" s="2"/>
    </row>
    <row r="2072" spans="3:3" x14ac:dyDescent="0.25">
      <c r="C2072" s="2"/>
    </row>
    <row r="2073" spans="3:3" x14ac:dyDescent="0.25">
      <c r="C2073" s="2"/>
    </row>
    <row r="2074" spans="3:3" x14ac:dyDescent="0.25">
      <c r="C2074" s="2"/>
    </row>
    <row r="2075" spans="3:3" x14ac:dyDescent="0.25">
      <c r="C2075" s="2"/>
    </row>
    <row r="2076" spans="3:3" x14ac:dyDescent="0.25">
      <c r="C2076" s="2"/>
    </row>
    <row r="2077" spans="3:3" x14ac:dyDescent="0.25">
      <c r="C2077" s="2"/>
    </row>
    <row r="2078" spans="3:3" x14ac:dyDescent="0.25">
      <c r="C2078" s="2"/>
    </row>
    <row r="2079" spans="3:3" x14ac:dyDescent="0.25">
      <c r="C2079" s="2"/>
    </row>
    <row r="2080" spans="3:3" x14ac:dyDescent="0.25">
      <c r="C2080" s="2"/>
    </row>
    <row r="2081" spans="3:3" x14ac:dyDescent="0.25">
      <c r="C2081" s="2"/>
    </row>
    <row r="2082" spans="3:3" x14ac:dyDescent="0.25">
      <c r="C2082" s="2"/>
    </row>
    <row r="2083" spans="3:3" x14ac:dyDescent="0.25">
      <c r="C2083" s="2"/>
    </row>
    <row r="2084" spans="3:3" x14ac:dyDescent="0.25">
      <c r="C2084" s="2"/>
    </row>
    <row r="2085" spans="3:3" x14ac:dyDescent="0.25">
      <c r="C2085" s="2"/>
    </row>
    <row r="2086" spans="3:3" x14ac:dyDescent="0.25">
      <c r="C2086" s="2"/>
    </row>
    <row r="2087" spans="3:3" x14ac:dyDescent="0.25">
      <c r="C2087" s="2"/>
    </row>
    <row r="2088" spans="3:3" x14ac:dyDescent="0.25">
      <c r="C2088" s="2"/>
    </row>
    <row r="2089" spans="3:3" x14ac:dyDescent="0.25">
      <c r="C2089" s="2"/>
    </row>
    <row r="2090" spans="3:3" x14ac:dyDescent="0.25">
      <c r="C2090" s="2"/>
    </row>
    <row r="2091" spans="3:3" x14ac:dyDescent="0.25">
      <c r="C2091" s="2"/>
    </row>
    <row r="2092" spans="3:3" x14ac:dyDescent="0.25">
      <c r="C2092" s="2"/>
    </row>
    <row r="2093" spans="3:3" x14ac:dyDescent="0.25">
      <c r="C2093" s="2"/>
    </row>
    <row r="2094" spans="3:3" x14ac:dyDescent="0.25">
      <c r="C2094" s="2"/>
    </row>
    <row r="2095" spans="3:3" x14ac:dyDescent="0.25">
      <c r="C2095" s="2"/>
    </row>
    <row r="2096" spans="3:3" x14ac:dyDescent="0.25">
      <c r="C2096" s="2"/>
    </row>
    <row r="2097" spans="3:3" x14ac:dyDescent="0.25">
      <c r="C2097" s="2"/>
    </row>
    <row r="2098" spans="3:3" x14ac:dyDescent="0.25">
      <c r="C2098" s="2"/>
    </row>
    <row r="2099" spans="3:3" x14ac:dyDescent="0.25">
      <c r="C2099" s="2"/>
    </row>
    <row r="2100" spans="3:3" x14ac:dyDescent="0.25">
      <c r="C2100" s="2"/>
    </row>
    <row r="2101" spans="3:3" x14ac:dyDescent="0.25">
      <c r="C2101" s="2"/>
    </row>
    <row r="2102" spans="3:3" x14ac:dyDescent="0.25">
      <c r="C2102" s="2"/>
    </row>
    <row r="2103" spans="3:3" x14ac:dyDescent="0.25">
      <c r="C2103" s="2"/>
    </row>
    <row r="2104" spans="3:3" x14ac:dyDescent="0.25">
      <c r="C2104" s="2"/>
    </row>
    <row r="2105" spans="3:3" x14ac:dyDescent="0.25">
      <c r="C2105" s="2"/>
    </row>
    <row r="2106" spans="3:3" x14ac:dyDescent="0.25">
      <c r="C2106" s="2"/>
    </row>
    <row r="2107" spans="3:3" x14ac:dyDescent="0.25">
      <c r="C2107" s="2"/>
    </row>
    <row r="2108" spans="3:3" x14ac:dyDescent="0.25">
      <c r="C2108" s="2"/>
    </row>
    <row r="2109" spans="3:3" x14ac:dyDescent="0.25">
      <c r="C2109" s="2"/>
    </row>
    <row r="2110" spans="3:3" x14ac:dyDescent="0.25">
      <c r="C2110" s="2"/>
    </row>
    <row r="2111" spans="3:3" x14ac:dyDescent="0.25">
      <c r="C2111" s="2"/>
    </row>
    <row r="2112" spans="3:3" x14ac:dyDescent="0.25">
      <c r="C2112" s="2"/>
    </row>
    <row r="2113" spans="3:3" x14ac:dyDescent="0.25">
      <c r="C2113" s="2"/>
    </row>
    <row r="2114" spans="3:3" x14ac:dyDescent="0.25">
      <c r="C2114" s="2"/>
    </row>
    <row r="2115" spans="3:3" x14ac:dyDescent="0.25">
      <c r="C2115" s="2"/>
    </row>
    <row r="2116" spans="3:3" x14ac:dyDescent="0.25">
      <c r="C2116" s="2"/>
    </row>
    <row r="2117" spans="3:3" x14ac:dyDescent="0.25">
      <c r="C2117" s="2"/>
    </row>
    <row r="2118" spans="3:3" x14ac:dyDescent="0.25">
      <c r="C2118" s="2"/>
    </row>
    <row r="2119" spans="3:3" x14ac:dyDescent="0.25">
      <c r="C2119" s="2"/>
    </row>
    <row r="2120" spans="3:3" x14ac:dyDescent="0.25">
      <c r="C2120" s="2"/>
    </row>
    <row r="2121" spans="3:3" x14ac:dyDescent="0.25">
      <c r="C2121" s="2"/>
    </row>
    <row r="2122" spans="3:3" x14ac:dyDescent="0.25">
      <c r="C2122" s="2"/>
    </row>
    <row r="2123" spans="3:3" x14ac:dyDescent="0.25">
      <c r="C2123" s="2"/>
    </row>
    <row r="2124" spans="3:3" x14ac:dyDescent="0.25">
      <c r="C2124" s="2"/>
    </row>
    <row r="2125" spans="3:3" x14ac:dyDescent="0.25">
      <c r="C2125" s="2"/>
    </row>
    <row r="2126" spans="3:3" x14ac:dyDescent="0.25">
      <c r="C2126" s="2"/>
    </row>
    <row r="2127" spans="3:3" x14ac:dyDescent="0.25">
      <c r="C2127" s="2"/>
    </row>
    <row r="2128" spans="3:3" x14ac:dyDescent="0.25">
      <c r="C2128" s="2"/>
    </row>
    <row r="2129" spans="3:3" x14ac:dyDescent="0.25">
      <c r="C2129" s="2"/>
    </row>
    <row r="2130" spans="3:3" x14ac:dyDescent="0.25">
      <c r="C2130" s="2"/>
    </row>
    <row r="2131" spans="3:3" x14ac:dyDescent="0.25">
      <c r="C2131" s="2"/>
    </row>
    <row r="2132" spans="3:3" x14ac:dyDescent="0.25">
      <c r="C2132" s="2"/>
    </row>
    <row r="2133" spans="3:3" x14ac:dyDescent="0.25">
      <c r="C2133" s="2"/>
    </row>
    <row r="2134" spans="3:3" x14ac:dyDescent="0.25">
      <c r="C2134" s="2"/>
    </row>
    <row r="2135" spans="3:3" x14ac:dyDescent="0.25">
      <c r="C2135" s="2"/>
    </row>
    <row r="2136" spans="3:3" x14ac:dyDescent="0.25">
      <c r="C2136" s="2"/>
    </row>
    <row r="2137" spans="3:3" x14ac:dyDescent="0.25">
      <c r="C2137" s="2"/>
    </row>
    <row r="2138" spans="3:3" x14ac:dyDescent="0.25">
      <c r="C2138" s="2"/>
    </row>
    <row r="2139" spans="3:3" x14ac:dyDescent="0.25">
      <c r="C2139" s="2"/>
    </row>
    <row r="2140" spans="3:3" x14ac:dyDescent="0.25">
      <c r="C2140" s="2"/>
    </row>
    <row r="2141" spans="3:3" x14ac:dyDescent="0.25">
      <c r="C2141" s="2"/>
    </row>
    <row r="2142" spans="3:3" x14ac:dyDescent="0.25">
      <c r="C2142" s="2"/>
    </row>
    <row r="2143" spans="3:3" x14ac:dyDescent="0.25">
      <c r="C2143" s="2"/>
    </row>
    <row r="2144" spans="3:3" x14ac:dyDescent="0.25">
      <c r="C2144" s="2"/>
    </row>
    <row r="2145" spans="3:3" x14ac:dyDescent="0.25">
      <c r="C2145" s="2"/>
    </row>
    <row r="2146" spans="3:3" x14ac:dyDescent="0.25">
      <c r="C2146" s="2"/>
    </row>
    <row r="2147" spans="3:3" x14ac:dyDescent="0.25">
      <c r="C2147" s="2"/>
    </row>
    <row r="2148" spans="3:3" x14ac:dyDescent="0.25">
      <c r="C2148" s="2"/>
    </row>
    <row r="2149" spans="3:3" x14ac:dyDescent="0.25">
      <c r="C2149" s="2"/>
    </row>
    <row r="2150" spans="3:3" x14ac:dyDescent="0.25">
      <c r="C2150" s="2"/>
    </row>
    <row r="2151" spans="3:3" x14ac:dyDescent="0.25">
      <c r="C2151" s="2"/>
    </row>
    <row r="2152" spans="3:3" x14ac:dyDescent="0.25">
      <c r="C2152" s="2"/>
    </row>
    <row r="2153" spans="3:3" x14ac:dyDescent="0.25">
      <c r="C2153" s="2"/>
    </row>
    <row r="2154" spans="3:3" x14ac:dyDescent="0.25">
      <c r="C2154" s="2"/>
    </row>
    <row r="2155" spans="3:3" x14ac:dyDescent="0.25">
      <c r="C2155" s="2"/>
    </row>
    <row r="2156" spans="3:3" x14ac:dyDescent="0.25">
      <c r="C2156" s="2"/>
    </row>
    <row r="2157" spans="3:3" x14ac:dyDescent="0.25">
      <c r="C2157" s="2"/>
    </row>
    <row r="2158" spans="3:3" x14ac:dyDescent="0.25">
      <c r="C2158" s="2"/>
    </row>
    <row r="2159" spans="3:3" x14ac:dyDescent="0.25">
      <c r="C2159" s="2"/>
    </row>
    <row r="2160" spans="3:3" x14ac:dyDescent="0.25">
      <c r="C2160" s="2"/>
    </row>
    <row r="2161" spans="3:3" x14ac:dyDescent="0.25">
      <c r="C2161" s="2"/>
    </row>
    <row r="2162" spans="3:3" x14ac:dyDescent="0.25">
      <c r="C2162" s="2"/>
    </row>
    <row r="2163" spans="3:3" x14ac:dyDescent="0.25">
      <c r="C2163" s="2"/>
    </row>
    <row r="2164" spans="3:3" x14ac:dyDescent="0.25">
      <c r="C2164" s="2"/>
    </row>
    <row r="2165" spans="3:3" x14ac:dyDescent="0.25">
      <c r="C2165" s="2"/>
    </row>
    <row r="2166" spans="3:3" x14ac:dyDescent="0.25">
      <c r="C2166" s="2"/>
    </row>
    <row r="2167" spans="3:3" x14ac:dyDescent="0.25">
      <c r="C2167" s="2"/>
    </row>
    <row r="2168" spans="3:3" x14ac:dyDescent="0.25">
      <c r="C2168" s="2"/>
    </row>
    <row r="2169" spans="3:3" x14ac:dyDescent="0.25">
      <c r="C2169" s="2"/>
    </row>
    <row r="2170" spans="3:3" x14ac:dyDescent="0.25">
      <c r="C2170" s="2"/>
    </row>
    <row r="2171" spans="3:3" x14ac:dyDescent="0.25">
      <c r="C2171" s="2"/>
    </row>
    <row r="2172" spans="3:3" x14ac:dyDescent="0.25">
      <c r="C2172" s="2"/>
    </row>
    <row r="2173" spans="3:3" x14ac:dyDescent="0.25">
      <c r="C2173" s="2"/>
    </row>
    <row r="2174" spans="3:3" x14ac:dyDescent="0.25">
      <c r="C2174" s="2"/>
    </row>
    <row r="2175" spans="3:3" x14ac:dyDescent="0.25">
      <c r="C2175" s="2"/>
    </row>
    <row r="2176" spans="3:3" x14ac:dyDescent="0.25">
      <c r="C2176" s="2"/>
    </row>
    <row r="2177" spans="3:3" x14ac:dyDescent="0.25">
      <c r="C2177" s="2"/>
    </row>
    <row r="2178" spans="3:3" x14ac:dyDescent="0.25">
      <c r="C2178" s="2"/>
    </row>
    <row r="2179" spans="3:3" x14ac:dyDescent="0.25">
      <c r="C2179" s="2"/>
    </row>
    <row r="2180" spans="3:3" x14ac:dyDescent="0.25">
      <c r="C2180" s="2"/>
    </row>
    <row r="2181" spans="3:3" x14ac:dyDescent="0.25">
      <c r="C2181" s="2"/>
    </row>
    <row r="2182" spans="3:3" x14ac:dyDescent="0.25">
      <c r="C2182" s="2"/>
    </row>
    <row r="2183" spans="3:3" x14ac:dyDescent="0.25">
      <c r="C2183" s="2"/>
    </row>
    <row r="2184" spans="3:3" x14ac:dyDescent="0.25">
      <c r="C2184" s="2"/>
    </row>
    <row r="2185" spans="3:3" x14ac:dyDescent="0.25">
      <c r="C2185" s="2"/>
    </row>
    <row r="2186" spans="3:3" x14ac:dyDescent="0.25">
      <c r="C2186" s="2"/>
    </row>
    <row r="2187" spans="3:3" x14ac:dyDescent="0.25">
      <c r="C2187" s="2"/>
    </row>
    <row r="2188" spans="3:3" x14ac:dyDescent="0.25">
      <c r="C2188" s="2"/>
    </row>
    <row r="2189" spans="3:3" x14ac:dyDescent="0.25">
      <c r="C2189" s="2"/>
    </row>
    <row r="2190" spans="3:3" x14ac:dyDescent="0.25">
      <c r="C2190" s="2"/>
    </row>
    <row r="2191" spans="3:3" x14ac:dyDescent="0.25">
      <c r="C2191" s="2"/>
    </row>
    <row r="2192" spans="3:3" x14ac:dyDescent="0.25">
      <c r="C2192" s="2"/>
    </row>
    <row r="2193" spans="3:3" x14ac:dyDescent="0.25">
      <c r="C2193" s="2"/>
    </row>
    <row r="2194" spans="3:3" x14ac:dyDescent="0.25">
      <c r="C2194" s="2"/>
    </row>
    <row r="2195" spans="3:3" x14ac:dyDescent="0.25">
      <c r="C2195" s="2"/>
    </row>
    <row r="2196" spans="3:3" x14ac:dyDescent="0.25">
      <c r="C2196" s="2"/>
    </row>
    <row r="2197" spans="3:3" x14ac:dyDescent="0.25">
      <c r="C2197" s="2"/>
    </row>
    <row r="2198" spans="3:3" x14ac:dyDescent="0.25">
      <c r="C2198" s="2"/>
    </row>
    <row r="2199" spans="3:3" x14ac:dyDescent="0.25">
      <c r="C2199" s="2"/>
    </row>
    <row r="2200" spans="3:3" x14ac:dyDescent="0.25">
      <c r="C2200" s="2"/>
    </row>
    <row r="2201" spans="3:3" x14ac:dyDescent="0.25">
      <c r="C2201" s="2"/>
    </row>
    <row r="2202" spans="3:3" x14ac:dyDescent="0.25">
      <c r="C2202" s="2"/>
    </row>
    <row r="2203" spans="3:3" x14ac:dyDescent="0.25">
      <c r="C2203" s="2"/>
    </row>
    <row r="2204" spans="3:3" x14ac:dyDescent="0.25">
      <c r="C2204" s="2"/>
    </row>
    <row r="2205" spans="3:3" x14ac:dyDescent="0.25">
      <c r="C2205" s="2"/>
    </row>
    <row r="2206" spans="3:3" x14ac:dyDescent="0.25">
      <c r="C2206" s="2"/>
    </row>
    <row r="2207" spans="3:3" x14ac:dyDescent="0.25">
      <c r="C2207" s="2"/>
    </row>
    <row r="2208" spans="3:3" x14ac:dyDescent="0.25">
      <c r="C2208" s="2"/>
    </row>
    <row r="2209" spans="3:3" x14ac:dyDescent="0.25">
      <c r="C2209" s="2"/>
    </row>
    <row r="2210" spans="3:3" x14ac:dyDescent="0.25">
      <c r="C2210" s="2"/>
    </row>
    <row r="2211" spans="3:3" x14ac:dyDescent="0.25">
      <c r="C2211" s="2"/>
    </row>
    <row r="2212" spans="3:3" x14ac:dyDescent="0.25">
      <c r="C2212" s="2"/>
    </row>
    <row r="2213" spans="3:3" x14ac:dyDescent="0.25">
      <c r="C2213" s="2"/>
    </row>
    <row r="2214" spans="3:3" x14ac:dyDescent="0.25">
      <c r="C2214" s="2"/>
    </row>
    <row r="2215" spans="3:3" x14ac:dyDescent="0.25">
      <c r="C2215" s="2"/>
    </row>
    <row r="2216" spans="3:3" x14ac:dyDescent="0.25">
      <c r="C2216" s="2"/>
    </row>
    <row r="2217" spans="3:3" x14ac:dyDescent="0.25">
      <c r="C2217" s="2"/>
    </row>
    <row r="2218" spans="3:3" x14ac:dyDescent="0.25">
      <c r="C2218" s="2"/>
    </row>
    <row r="2219" spans="3:3" x14ac:dyDescent="0.25">
      <c r="C2219" s="2"/>
    </row>
    <row r="2220" spans="3:3" x14ac:dyDescent="0.25">
      <c r="C2220" s="2"/>
    </row>
    <row r="2221" spans="3:3" x14ac:dyDescent="0.25">
      <c r="C2221" s="2"/>
    </row>
    <row r="2222" spans="3:3" x14ac:dyDescent="0.25">
      <c r="C2222" s="2"/>
    </row>
    <row r="2223" spans="3:3" x14ac:dyDescent="0.25">
      <c r="C2223" s="2"/>
    </row>
    <row r="2224" spans="3:3" x14ac:dyDescent="0.25">
      <c r="C2224" s="2"/>
    </row>
    <row r="2225" spans="3:3" x14ac:dyDescent="0.25">
      <c r="C2225" s="2"/>
    </row>
    <row r="2226" spans="3:3" x14ac:dyDescent="0.25">
      <c r="C2226" s="2"/>
    </row>
    <row r="2227" spans="3:3" x14ac:dyDescent="0.25">
      <c r="C2227" s="2"/>
    </row>
    <row r="2228" spans="3:3" x14ac:dyDescent="0.25">
      <c r="C2228" s="2"/>
    </row>
    <row r="2229" spans="3:3" x14ac:dyDescent="0.25">
      <c r="C2229" s="2"/>
    </row>
    <row r="2230" spans="3:3" x14ac:dyDescent="0.25">
      <c r="C2230" s="2"/>
    </row>
    <row r="2231" spans="3:3" x14ac:dyDescent="0.25">
      <c r="C2231" s="2"/>
    </row>
    <row r="2232" spans="3:3" x14ac:dyDescent="0.25">
      <c r="C2232" s="2"/>
    </row>
    <row r="2233" spans="3:3" x14ac:dyDescent="0.25">
      <c r="C2233" s="2"/>
    </row>
    <row r="2234" spans="3:3" x14ac:dyDescent="0.25">
      <c r="C2234" s="2"/>
    </row>
    <row r="2235" spans="3:3" x14ac:dyDescent="0.25">
      <c r="C2235" s="2"/>
    </row>
    <row r="2236" spans="3:3" x14ac:dyDescent="0.25">
      <c r="C2236" s="2"/>
    </row>
    <row r="2237" spans="3:3" x14ac:dyDescent="0.25">
      <c r="C2237" s="2"/>
    </row>
    <row r="2238" spans="3:3" x14ac:dyDescent="0.25">
      <c r="C2238" s="2"/>
    </row>
    <row r="2239" spans="3:3" x14ac:dyDescent="0.25">
      <c r="C2239" s="2"/>
    </row>
    <row r="2240" spans="3:3" x14ac:dyDescent="0.25">
      <c r="C2240" s="2"/>
    </row>
    <row r="2241" spans="3:3" x14ac:dyDescent="0.25">
      <c r="C2241" s="2"/>
    </row>
    <row r="2242" spans="3:3" x14ac:dyDescent="0.25">
      <c r="C2242" s="2"/>
    </row>
    <row r="2243" spans="3:3" x14ac:dyDescent="0.25">
      <c r="C2243" s="2"/>
    </row>
    <row r="2244" spans="3:3" x14ac:dyDescent="0.25">
      <c r="C2244" s="2"/>
    </row>
    <row r="2245" spans="3:3" x14ac:dyDescent="0.25">
      <c r="C2245" s="2"/>
    </row>
    <row r="2246" spans="3:3" x14ac:dyDescent="0.25">
      <c r="C2246" s="2"/>
    </row>
    <row r="2247" spans="3:3" x14ac:dyDescent="0.25">
      <c r="C2247" s="2"/>
    </row>
    <row r="2248" spans="3:3" x14ac:dyDescent="0.25">
      <c r="C2248" s="2"/>
    </row>
    <row r="2249" spans="3:3" x14ac:dyDescent="0.25">
      <c r="C2249" s="2"/>
    </row>
    <row r="2250" spans="3:3" x14ac:dyDescent="0.25">
      <c r="C2250" s="2"/>
    </row>
    <row r="2251" spans="3:3" x14ac:dyDescent="0.25">
      <c r="C2251" s="2"/>
    </row>
    <row r="2252" spans="3:3" x14ac:dyDescent="0.25">
      <c r="C2252" s="2"/>
    </row>
    <row r="2253" spans="3:3" x14ac:dyDescent="0.25">
      <c r="C2253" s="2"/>
    </row>
    <row r="2254" spans="3:3" x14ac:dyDescent="0.25">
      <c r="C2254" s="2"/>
    </row>
    <row r="2255" spans="3:3" x14ac:dyDescent="0.25">
      <c r="C2255" s="2"/>
    </row>
    <row r="2256" spans="3:3" x14ac:dyDescent="0.25">
      <c r="C2256" s="2"/>
    </row>
    <row r="2257" spans="3:3" x14ac:dyDescent="0.25">
      <c r="C2257" s="2"/>
    </row>
    <row r="2258" spans="3:3" x14ac:dyDescent="0.25">
      <c r="C2258" s="2"/>
    </row>
    <row r="2259" spans="3:3" x14ac:dyDescent="0.25">
      <c r="C2259" s="2"/>
    </row>
    <row r="2260" spans="3:3" x14ac:dyDescent="0.25">
      <c r="C2260" s="2"/>
    </row>
    <row r="2261" spans="3:3" x14ac:dyDescent="0.25">
      <c r="C2261" s="2"/>
    </row>
    <row r="2262" spans="3:3" x14ac:dyDescent="0.25">
      <c r="C2262" s="2"/>
    </row>
    <row r="2263" spans="3:3" x14ac:dyDescent="0.25">
      <c r="C2263" s="2"/>
    </row>
    <row r="2264" spans="3:3" x14ac:dyDescent="0.25">
      <c r="C2264" s="2"/>
    </row>
    <row r="2265" spans="3:3" x14ac:dyDescent="0.25">
      <c r="C2265" s="2"/>
    </row>
    <row r="2266" spans="3:3" x14ac:dyDescent="0.25">
      <c r="C2266" s="2"/>
    </row>
    <row r="2267" spans="3:3" x14ac:dyDescent="0.25">
      <c r="C2267" s="2"/>
    </row>
    <row r="2268" spans="3:3" x14ac:dyDescent="0.25">
      <c r="C2268" s="2"/>
    </row>
    <row r="2269" spans="3:3" x14ac:dyDescent="0.25">
      <c r="C2269" s="2"/>
    </row>
    <row r="2270" spans="3:3" x14ac:dyDescent="0.25">
      <c r="C2270" s="2"/>
    </row>
    <row r="2271" spans="3:3" x14ac:dyDescent="0.25">
      <c r="C2271" s="2"/>
    </row>
    <row r="2272" spans="3:3" x14ac:dyDescent="0.25">
      <c r="C2272" s="2"/>
    </row>
    <row r="2273" spans="3:3" x14ac:dyDescent="0.25">
      <c r="C2273" s="2"/>
    </row>
    <row r="2274" spans="3:3" x14ac:dyDescent="0.25">
      <c r="C2274" s="2"/>
    </row>
    <row r="2275" spans="3:3" x14ac:dyDescent="0.25">
      <c r="C2275" s="2"/>
    </row>
    <row r="2276" spans="3:3" x14ac:dyDescent="0.25">
      <c r="C2276" s="2"/>
    </row>
    <row r="2277" spans="3:3" x14ac:dyDescent="0.25">
      <c r="C2277" s="2"/>
    </row>
    <row r="2278" spans="3:3" x14ac:dyDescent="0.25">
      <c r="C2278" s="2"/>
    </row>
    <row r="2279" spans="3:3" x14ac:dyDescent="0.25">
      <c r="C2279" s="2"/>
    </row>
    <row r="2280" spans="3:3" x14ac:dyDescent="0.25">
      <c r="C2280" s="2"/>
    </row>
    <row r="2281" spans="3:3" x14ac:dyDescent="0.25">
      <c r="C2281" s="2"/>
    </row>
    <row r="2282" spans="3:3" x14ac:dyDescent="0.25">
      <c r="C2282" s="2"/>
    </row>
    <row r="2283" spans="3:3" x14ac:dyDescent="0.25">
      <c r="C2283" s="2"/>
    </row>
    <row r="2284" spans="3:3" x14ac:dyDescent="0.25">
      <c r="C2284" s="2"/>
    </row>
    <row r="2285" spans="3:3" x14ac:dyDescent="0.25">
      <c r="C2285" s="2"/>
    </row>
    <row r="2286" spans="3:3" x14ac:dyDescent="0.25">
      <c r="C2286" s="2"/>
    </row>
    <row r="2287" spans="3:3" x14ac:dyDescent="0.25">
      <c r="C2287" s="2"/>
    </row>
    <row r="2288" spans="3:3" x14ac:dyDescent="0.25">
      <c r="C2288" s="2"/>
    </row>
    <row r="2289" spans="3:3" x14ac:dyDescent="0.25">
      <c r="C2289" s="2"/>
    </row>
    <row r="2290" spans="3:3" x14ac:dyDescent="0.25">
      <c r="C2290" s="2"/>
    </row>
    <row r="2291" spans="3:3" x14ac:dyDescent="0.25">
      <c r="C2291" s="2"/>
    </row>
    <row r="2292" spans="3:3" x14ac:dyDescent="0.25">
      <c r="C2292" s="2"/>
    </row>
    <row r="2293" spans="3:3" x14ac:dyDescent="0.25">
      <c r="C2293" s="2"/>
    </row>
    <row r="2294" spans="3:3" x14ac:dyDescent="0.25">
      <c r="C2294" s="2"/>
    </row>
    <row r="2295" spans="3:3" x14ac:dyDescent="0.25">
      <c r="C2295" s="2"/>
    </row>
    <row r="2296" spans="3:3" x14ac:dyDescent="0.25">
      <c r="C2296" s="2"/>
    </row>
    <row r="2297" spans="3:3" x14ac:dyDescent="0.25">
      <c r="C2297" s="2"/>
    </row>
    <row r="2298" spans="3:3" x14ac:dyDescent="0.25">
      <c r="C2298" s="2"/>
    </row>
    <row r="2299" spans="3:3" x14ac:dyDescent="0.25">
      <c r="C2299" s="2"/>
    </row>
    <row r="2300" spans="3:3" x14ac:dyDescent="0.25">
      <c r="C2300" s="2"/>
    </row>
    <row r="2301" spans="3:3" x14ac:dyDescent="0.25">
      <c r="C2301" s="2"/>
    </row>
    <row r="2302" spans="3:3" x14ac:dyDescent="0.25">
      <c r="C2302" s="2"/>
    </row>
    <row r="2303" spans="3:3" x14ac:dyDescent="0.25">
      <c r="C2303" s="2"/>
    </row>
    <row r="2304" spans="3:3" x14ac:dyDescent="0.25">
      <c r="C2304" s="2"/>
    </row>
    <row r="2305" spans="3:3" x14ac:dyDescent="0.25">
      <c r="C2305" s="2"/>
    </row>
    <row r="2306" spans="3:3" x14ac:dyDescent="0.25">
      <c r="C2306" s="2"/>
    </row>
    <row r="2307" spans="3:3" x14ac:dyDescent="0.25">
      <c r="C2307" s="2"/>
    </row>
    <row r="2308" spans="3:3" x14ac:dyDescent="0.25">
      <c r="C2308" s="2"/>
    </row>
    <row r="2309" spans="3:3" x14ac:dyDescent="0.25">
      <c r="C2309" s="2"/>
    </row>
    <row r="2310" spans="3:3" x14ac:dyDescent="0.25">
      <c r="C2310" s="2"/>
    </row>
    <row r="2311" spans="3:3" x14ac:dyDescent="0.25">
      <c r="C2311" s="2"/>
    </row>
    <row r="2312" spans="3:3" x14ac:dyDescent="0.25">
      <c r="C2312" s="2"/>
    </row>
    <row r="2313" spans="3:3" x14ac:dyDescent="0.25">
      <c r="C2313" s="2"/>
    </row>
    <row r="2314" spans="3:3" x14ac:dyDescent="0.25">
      <c r="C2314" s="2"/>
    </row>
    <row r="2315" spans="3:3" x14ac:dyDescent="0.25">
      <c r="C2315" s="2"/>
    </row>
    <row r="2316" spans="3:3" x14ac:dyDescent="0.25">
      <c r="C2316" s="2"/>
    </row>
    <row r="2317" spans="3:3" x14ac:dyDescent="0.25">
      <c r="C2317" s="2"/>
    </row>
    <row r="2318" spans="3:3" x14ac:dyDescent="0.25">
      <c r="C2318" s="2"/>
    </row>
    <row r="2319" spans="3:3" x14ac:dyDescent="0.25">
      <c r="C2319" s="2"/>
    </row>
    <row r="2320" spans="3:3" x14ac:dyDescent="0.25">
      <c r="C2320" s="2"/>
    </row>
    <row r="2321" spans="3:3" x14ac:dyDescent="0.25">
      <c r="C2321" s="2"/>
    </row>
    <row r="2322" spans="3:3" x14ac:dyDescent="0.25">
      <c r="C2322" s="2"/>
    </row>
    <row r="2323" spans="3:3" x14ac:dyDescent="0.25">
      <c r="C2323" s="2"/>
    </row>
    <row r="2324" spans="3:3" x14ac:dyDescent="0.25">
      <c r="C2324" s="2"/>
    </row>
    <row r="2325" spans="3:3" x14ac:dyDescent="0.25">
      <c r="C2325" s="2"/>
    </row>
    <row r="2326" spans="3:3" x14ac:dyDescent="0.25">
      <c r="C2326" s="2"/>
    </row>
    <row r="2327" spans="3:3" x14ac:dyDescent="0.25">
      <c r="C2327" s="2"/>
    </row>
    <row r="2328" spans="3:3" x14ac:dyDescent="0.25">
      <c r="C2328" s="2"/>
    </row>
    <row r="2329" spans="3:3" x14ac:dyDescent="0.25">
      <c r="C2329" s="2"/>
    </row>
    <row r="2330" spans="3:3" x14ac:dyDescent="0.25">
      <c r="C2330" s="2"/>
    </row>
    <row r="2331" spans="3:3" x14ac:dyDescent="0.25">
      <c r="C2331" s="2"/>
    </row>
    <row r="2332" spans="3:3" x14ac:dyDescent="0.25">
      <c r="C2332" s="2"/>
    </row>
    <row r="2333" spans="3:3" x14ac:dyDescent="0.25">
      <c r="C2333" s="2"/>
    </row>
    <row r="2334" spans="3:3" x14ac:dyDescent="0.25">
      <c r="C2334" s="2"/>
    </row>
    <row r="2335" spans="3:3" x14ac:dyDescent="0.25">
      <c r="C2335" s="2"/>
    </row>
    <row r="2336" spans="3:3" x14ac:dyDescent="0.25">
      <c r="C2336" s="2"/>
    </row>
    <row r="2337" spans="3:3" x14ac:dyDescent="0.25">
      <c r="C2337" s="2"/>
    </row>
    <row r="2338" spans="3:3" x14ac:dyDescent="0.25">
      <c r="C2338" s="2"/>
    </row>
    <row r="2339" spans="3:3" x14ac:dyDescent="0.25">
      <c r="C2339" s="2"/>
    </row>
    <row r="2340" spans="3:3" x14ac:dyDescent="0.25">
      <c r="C2340" s="2"/>
    </row>
    <row r="2341" spans="3:3" x14ac:dyDescent="0.25">
      <c r="C2341" s="2"/>
    </row>
    <row r="2342" spans="3:3" x14ac:dyDescent="0.25">
      <c r="C2342" s="2"/>
    </row>
    <row r="2343" spans="3:3" x14ac:dyDescent="0.25">
      <c r="C2343" s="2"/>
    </row>
    <row r="2344" spans="3:3" x14ac:dyDescent="0.25">
      <c r="C2344" s="2"/>
    </row>
    <row r="2345" spans="3:3" x14ac:dyDescent="0.25">
      <c r="C2345" s="2"/>
    </row>
    <row r="2346" spans="3:3" x14ac:dyDescent="0.25">
      <c r="C2346" s="2"/>
    </row>
    <row r="2347" spans="3:3" x14ac:dyDescent="0.25">
      <c r="C2347" s="2"/>
    </row>
    <row r="2348" spans="3:3" x14ac:dyDescent="0.25">
      <c r="C2348" s="2"/>
    </row>
    <row r="2349" spans="3:3" x14ac:dyDescent="0.25">
      <c r="C2349" s="2"/>
    </row>
    <row r="2350" spans="3:3" x14ac:dyDescent="0.25">
      <c r="C2350" s="2"/>
    </row>
    <row r="2351" spans="3:3" x14ac:dyDescent="0.25">
      <c r="C2351" s="2"/>
    </row>
    <row r="2352" spans="3:3" x14ac:dyDescent="0.25">
      <c r="C2352" s="2"/>
    </row>
    <row r="2353" spans="3:3" x14ac:dyDescent="0.25">
      <c r="C2353" s="2"/>
    </row>
    <row r="2354" spans="3:3" x14ac:dyDescent="0.25">
      <c r="C2354" s="2"/>
    </row>
    <row r="2355" spans="3:3" x14ac:dyDescent="0.25">
      <c r="C2355" s="2"/>
    </row>
    <row r="2356" spans="3:3" x14ac:dyDescent="0.25">
      <c r="C2356" s="2"/>
    </row>
    <row r="2357" spans="3:3" x14ac:dyDescent="0.25">
      <c r="C2357" s="2"/>
    </row>
    <row r="2358" spans="3:3" x14ac:dyDescent="0.25">
      <c r="C2358" s="2"/>
    </row>
    <row r="2359" spans="3:3" x14ac:dyDescent="0.25">
      <c r="C2359" s="2"/>
    </row>
    <row r="2360" spans="3:3" x14ac:dyDescent="0.25">
      <c r="C2360" s="2"/>
    </row>
    <row r="2361" spans="3:3" x14ac:dyDescent="0.25">
      <c r="C2361" s="2"/>
    </row>
    <row r="2362" spans="3:3" x14ac:dyDescent="0.25">
      <c r="C2362" s="2"/>
    </row>
    <row r="2363" spans="3:3" x14ac:dyDescent="0.25">
      <c r="C2363" s="2"/>
    </row>
    <row r="2364" spans="3:3" x14ac:dyDescent="0.25">
      <c r="C2364" s="2"/>
    </row>
    <row r="2365" spans="3:3" x14ac:dyDescent="0.25">
      <c r="C2365" s="2"/>
    </row>
    <row r="2366" spans="3:3" x14ac:dyDescent="0.25">
      <c r="C2366" s="2"/>
    </row>
    <row r="2367" spans="3:3" x14ac:dyDescent="0.25">
      <c r="C2367" s="2"/>
    </row>
    <row r="2368" spans="3:3" x14ac:dyDescent="0.25">
      <c r="C2368" s="2"/>
    </row>
    <row r="2369" spans="3:3" x14ac:dyDescent="0.25">
      <c r="C2369" s="2"/>
    </row>
    <row r="2370" spans="3:3" x14ac:dyDescent="0.25">
      <c r="C2370" s="2"/>
    </row>
    <row r="2371" spans="3:3" x14ac:dyDescent="0.25">
      <c r="C2371" s="2"/>
    </row>
    <row r="2372" spans="3:3" x14ac:dyDescent="0.25">
      <c r="C2372" s="2"/>
    </row>
    <row r="2373" spans="3:3" x14ac:dyDescent="0.25">
      <c r="C2373" s="2"/>
    </row>
    <row r="2374" spans="3:3" x14ac:dyDescent="0.25">
      <c r="C2374" s="2"/>
    </row>
    <row r="2375" spans="3:3" x14ac:dyDescent="0.25">
      <c r="C2375" s="2"/>
    </row>
    <row r="2376" spans="3:3" x14ac:dyDescent="0.25">
      <c r="C2376" s="2"/>
    </row>
    <row r="2377" spans="3:3" x14ac:dyDescent="0.25">
      <c r="C2377" s="2"/>
    </row>
    <row r="2378" spans="3:3" x14ac:dyDescent="0.25">
      <c r="C2378" s="2"/>
    </row>
    <row r="2379" spans="3:3" x14ac:dyDescent="0.25">
      <c r="C2379" s="2"/>
    </row>
    <row r="2380" spans="3:3" x14ac:dyDescent="0.25">
      <c r="C2380" s="2"/>
    </row>
    <row r="2381" spans="3:3" x14ac:dyDescent="0.25">
      <c r="C2381" s="2"/>
    </row>
    <row r="2382" spans="3:3" x14ac:dyDescent="0.25">
      <c r="C2382" s="2"/>
    </row>
    <row r="2383" spans="3:3" x14ac:dyDescent="0.25">
      <c r="C2383" s="2"/>
    </row>
    <row r="2384" spans="3:3" x14ac:dyDescent="0.25">
      <c r="C2384" s="2"/>
    </row>
    <row r="2385" spans="3:3" x14ac:dyDescent="0.25">
      <c r="C2385" s="2"/>
    </row>
    <row r="2386" spans="3:3" x14ac:dyDescent="0.25">
      <c r="C2386" s="2"/>
    </row>
    <row r="2387" spans="3:3" x14ac:dyDescent="0.25">
      <c r="C2387" s="2"/>
    </row>
    <row r="2388" spans="3:3" x14ac:dyDescent="0.25">
      <c r="C2388" s="2"/>
    </row>
    <row r="2389" spans="3:3" x14ac:dyDescent="0.25">
      <c r="C2389" s="2"/>
    </row>
    <row r="2390" spans="3:3" x14ac:dyDescent="0.25">
      <c r="C2390" s="2"/>
    </row>
    <row r="2391" spans="3:3" x14ac:dyDescent="0.25">
      <c r="C2391" s="2"/>
    </row>
    <row r="2392" spans="3:3" x14ac:dyDescent="0.25">
      <c r="C2392" s="2"/>
    </row>
    <row r="2393" spans="3:3" x14ac:dyDescent="0.25">
      <c r="C2393" s="2"/>
    </row>
    <row r="2394" spans="3:3" x14ac:dyDescent="0.25">
      <c r="C2394" s="2"/>
    </row>
    <row r="2395" spans="3:3" x14ac:dyDescent="0.25">
      <c r="C2395" s="2"/>
    </row>
    <row r="2396" spans="3:3" x14ac:dyDescent="0.25">
      <c r="C2396" s="2"/>
    </row>
    <row r="2397" spans="3:3" x14ac:dyDescent="0.25">
      <c r="C2397" s="2"/>
    </row>
    <row r="2398" spans="3:3" x14ac:dyDescent="0.25">
      <c r="C2398" s="2"/>
    </row>
    <row r="2399" spans="3:3" x14ac:dyDescent="0.25">
      <c r="C2399" s="2"/>
    </row>
    <row r="2400" spans="3:3" x14ac:dyDescent="0.25">
      <c r="C2400" s="2"/>
    </row>
    <row r="2401" spans="3:3" x14ac:dyDescent="0.25">
      <c r="C2401" s="2"/>
    </row>
    <row r="2402" spans="3:3" x14ac:dyDescent="0.25">
      <c r="C2402" s="2"/>
    </row>
    <row r="2403" spans="3:3" x14ac:dyDescent="0.25">
      <c r="C2403" s="2"/>
    </row>
    <row r="2404" spans="3:3" x14ac:dyDescent="0.25">
      <c r="C2404" s="2"/>
    </row>
    <row r="2405" spans="3:3" x14ac:dyDescent="0.25">
      <c r="C2405" s="2"/>
    </row>
    <row r="2406" spans="3:3" x14ac:dyDescent="0.25">
      <c r="C2406" s="2"/>
    </row>
    <row r="2407" spans="3:3" x14ac:dyDescent="0.25">
      <c r="C2407" s="2"/>
    </row>
    <row r="2408" spans="3:3" x14ac:dyDescent="0.25">
      <c r="C2408" s="2"/>
    </row>
    <row r="2409" spans="3:3" x14ac:dyDescent="0.25">
      <c r="C2409" s="2"/>
    </row>
    <row r="2410" spans="3:3" x14ac:dyDescent="0.25">
      <c r="C2410" s="2"/>
    </row>
    <row r="2411" spans="3:3" x14ac:dyDescent="0.25">
      <c r="C2411" s="2"/>
    </row>
    <row r="2412" spans="3:3" x14ac:dyDescent="0.25">
      <c r="C2412" s="2"/>
    </row>
    <row r="2413" spans="3:3" x14ac:dyDescent="0.25">
      <c r="C2413" s="2"/>
    </row>
    <row r="2414" spans="3:3" x14ac:dyDescent="0.25">
      <c r="C2414" s="2"/>
    </row>
    <row r="2415" spans="3:3" x14ac:dyDescent="0.25">
      <c r="C2415" s="2"/>
    </row>
    <row r="2416" spans="3:3" x14ac:dyDescent="0.25">
      <c r="C2416" s="2"/>
    </row>
    <row r="2417" spans="3:3" x14ac:dyDescent="0.25">
      <c r="C2417" s="2"/>
    </row>
    <row r="2418" spans="3:3" x14ac:dyDescent="0.25">
      <c r="C2418" s="2"/>
    </row>
    <row r="2419" spans="3:3" x14ac:dyDescent="0.25">
      <c r="C2419" s="2"/>
    </row>
    <row r="2420" spans="3:3" x14ac:dyDescent="0.25">
      <c r="C2420" s="2"/>
    </row>
    <row r="2421" spans="3:3" x14ac:dyDescent="0.25">
      <c r="C2421" s="2"/>
    </row>
    <row r="2422" spans="3:3" x14ac:dyDescent="0.25">
      <c r="C2422" s="2"/>
    </row>
    <row r="2423" spans="3:3" x14ac:dyDescent="0.25">
      <c r="C2423" s="2"/>
    </row>
    <row r="2424" spans="3:3" x14ac:dyDescent="0.25">
      <c r="C2424" s="2"/>
    </row>
    <row r="2425" spans="3:3" x14ac:dyDescent="0.25">
      <c r="C2425" s="2"/>
    </row>
    <row r="2426" spans="3:3" x14ac:dyDescent="0.25">
      <c r="C2426" s="2"/>
    </row>
    <row r="2427" spans="3:3" x14ac:dyDescent="0.25">
      <c r="C2427" s="2"/>
    </row>
    <row r="2428" spans="3:3" x14ac:dyDescent="0.25">
      <c r="C2428" s="2"/>
    </row>
    <row r="2429" spans="3:3" x14ac:dyDescent="0.25">
      <c r="C2429" s="2"/>
    </row>
    <row r="2430" spans="3:3" x14ac:dyDescent="0.25">
      <c r="C2430" s="2"/>
    </row>
    <row r="2431" spans="3:3" x14ac:dyDescent="0.25">
      <c r="C2431" s="2"/>
    </row>
    <row r="2432" spans="3:3" x14ac:dyDescent="0.25">
      <c r="C2432" s="2"/>
    </row>
    <row r="2433" spans="3:3" x14ac:dyDescent="0.25">
      <c r="C2433" s="2"/>
    </row>
    <row r="2434" spans="3:3" x14ac:dyDescent="0.25">
      <c r="C2434" s="2"/>
    </row>
    <row r="2435" spans="3:3" x14ac:dyDescent="0.25">
      <c r="C2435" s="2"/>
    </row>
    <row r="2436" spans="3:3" x14ac:dyDescent="0.25">
      <c r="C2436" s="2"/>
    </row>
    <row r="2437" spans="3:3" x14ac:dyDescent="0.25">
      <c r="C2437" s="2"/>
    </row>
    <row r="2438" spans="3:3" x14ac:dyDescent="0.25">
      <c r="C2438" s="2"/>
    </row>
    <row r="2439" spans="3:3" x14ac:dyDescent="0.25">
      <c r="C2439" s="2"/>
    </row>
    <row r="2440" spans="3:3" x14ac:dyDescent="0.25">
      <c r="C2440" s="2"/>
    </row>
    <row r="2441" spans="3:3" x14ac:dyDescent="0.25">
      <c r="C2441" s="2"/>
    </row>
    <row r="2442" spans="3:3" x14ac:dyDescent="0.25">
      <c r="C2442" s="2"/>
    </row>
    <row r="2443" spans="3:3" x14ac:dyDescent="0.25">
      <c r="C2443" s="2"/>
    </row>
    <row r="2444" spans="3:3" x14ac:dyDescent="0.25">
      <c r="C2444" s="2"/>
    </row>
    <row r="2445" spans="3:3" x14ac:dyDescent="0.25">
      <c r="C2445" s="2"/>
    </row>
    <row r="2446" spans="3:3" x14ac:dyDescent="0.25">
      <c r="C2446" s="2"/>
    </row>
    <row r="2447" spans="3:3" x14ac:dyDescent="0.25">
      <c r="C2447" s="2"/>
    </row>
    <row r="2448" spans="3:3" x14ac:dyDescent="0.25">
      <c r="C2448" s="2"/>
    </row>
    <row r="2449" spans="3:3" x14ac:dyDescent="0.25">
      <c r="C2449" s="2"/>
    </row>
    <row r="2450" spans="3:3" x14ac:dyDescent="0.25">
      <c r="C2450" s="2"/>
    </row>
    <row r="2451" spans="3:3" x14ac:dyDescent="0.25">
      <c r="C2451" s="2"/>
    </row>
    <row r="2452" spans="3:3" x14ac:dyDescent="0.25">
      <c r="C2452" s="2"/>
    </row>
    <row r="2453" spans="3:3" x14ac:dyDescent="0.25">
      <c r="C2453" s="2"/>
    </row>
    <row r="2454" spans="3:3" x14ac:dyDescent="0.25">
      <c r="C2454" s="2"/>
    </row>
    <row r="2455" spans="3:3" x14ac:dyDescent="0.25">
      <c r="C2455" s="2"/>
    </row>
    <row r="2456" spans="3:3" x14ac:dyDescent="0.25">
      <c r="C2456" s="2"/>
    </row>
    <row r="2457" spans="3:3" x14ac:dyDescent="0.25">
      <c r="C2457" s="2"/>
    </row>
    <row r="2458" spans="3:3" x14ac:dyDescent="0.25">
      <c r="C2458" s="2"/>
    </row>
    <row r="2459" spans="3:3" x14ac:dyDescent="0.25">
      <c r="C2459" s="2"/>
    </row>
    <row r="2460" spans="3:3" x14ac:dyDescent="0.25">
      <c r="C2460" s="2"/>
    </row>
    <row r="2461" spans="3:3" x14ac:dyDescent="0.25">
      <c r="C2461" s="2"/>
    </row>
    <row r="2462" spans="3:3" x14ac:dyDescent="0.25">
      <c r="C2462" s="2"/>
    </row>
    <row r="2463" spans="3:3" x14ac:dyDescent="0.25">
      <c r="C2463" s="2"/>
    </row>
    <row r="2464" spans="3:3" x14ac:dyDescent="0.25">
      <c r="C2464" s="2"/>
    </row>
    <row r="2465" spans="3:3" x14ac:dyDescent="0.25">
      <c r="C2465" s="2"/>
    </row>
    <row r="2466" spans="3:3" x14ac:dyDescent="0.25">
      <c r="C2466" s="2"/>
    </row>
    <row r="2467" spans="3:3" x14ac:dyDescent="0.25">
      <c r="C2467" s="2"/>
    </row>
    <row r="2468" spans="3:3" x14ac:dyDescent="0.25">
      <c r="C2468" s="2"/>
    </row>
    <row r="2469" spans="3:3" x14ac:dyDescent="0.25">
      <c r="C2469" s="2"/>
    </row>
    <row r="2470" spans="3:3" x14ac:dyDescent="0.25">
      <c r="C2470" s="2"/>
    </row>
    <row r="2471" spans="3:3" x14ac:dyDescent="0.25">
      <c r="C2471" s="2"/>
    </row>
    <row r="2472" spans="3:3" x14ac:dyDescent="0.25">
      <c r="C2472" s="2"/>
    </row>
    <row r="2473" spans="3:3" x14ac:dyDescent="0.25">
      <c r="C2473" s="2"/>
    </row>
    <row r="2474" spans="3:3" x14ac:dyDescent="0.25">
      <c r="C2474" s="2"/>
    </row>
    <row r="2475" spans="3:3" x14ac:dyDescent="0.25">
      <c r="C2475" s="2"/>
    </row>
    <row r="2476" spans="3:3" x14ac:dyDescent="0.25">
      <c r="C2476" s="2"/>
    </row>
    <row r="2477" spans="3:3" x14ac:dyDescent="0.25">
      <c r="C2477" s="2"/>
    </row>
    <row r="2478" spans="3:3" x14ac:dyDescent="0.25">
      <c r="C2478" s="2"/>
    </row>
    <row r="2479" spans="3:3" x14ac:dyDescent="0.25">
      <c r="C2479" s="2"/>
    </row>
    <row r="2480" spans="3:3" x14ac:dyDescent="0.25">
      <c r="C2480" s="2"/>
    </row>
    <row r="2481" spans="3:3" x14ac:dyDescent="0.25">
      <c r="C2481" s="2"/>
    </row>
    <row r="2482" spans="3:3" x14ac:dyDescent="0.25">
      <c r="C2482" s="2"/>
    </row>
    <row r="2483" spans="3:3" x14ac:dyDescent="0.25">
      <c r="C2483" s="2"/>
    </row>
    <row r="2484" spans="3:3" x14ac:dyDescent="0.25">
      <c r="C2484" s="2"/>
    </row>
    <row r="2485" spans="3:3" x14ac:dyDescent="0.25">
      <c r="C2485" s="2"/>
    </row>
    <row r="2486" spans="3:3" x14ac:dyDescent="0.25">
      <c r="C2486" s="2"/>
    </row>
    <row r="2487" spans="3:3" x14ac:dyDescent="0.25">
      <c r="C2487" s="2"/>
    </row>
    <row r="2488" spans="3:3" x14ac:dyDescent="0.25">
      <c r="C2488" s="2"/>
    </row>
    <row r="2489" spans="3:3" x14ac:dyDescent="0.25">
      <c r="C2489" s="2"/>
    </row>
    <row r="2490" spans="3:3" x14ac:dyDescent="0.25">
      <c r="C2490" s="2"/>
    </row>
    <row r="2491" spans="3:3" x14ac:dyDescent="0.25">
      <c r="C2491" s="2"/>
    </row>
    <row r="2492" spans="3:3" x14ac:dyDescent="0.25">
      <c r="C2492" s="2"/>
    </row>
    <row r="2493" spans="3:3" x14ac:dyDescent="0.25">
      <c r="C2493" s="2"/>
    </row>
    <row r="2494" spans="3:3" x14ac:dyDescent="0.25">
      <c r="C2494" s="2"/>
    </row>
    <row r="2495" spans="3:3" x14ac:dyDescent="0.25">
      <c r="C2495" s="2"/>
    </row>
    <row r="2496" spans="3:3" x14ac:dyDescent="0.25">
      <c r="C2496" s="2"/>
    </row>
    <row r="2497" spans="3:3" x14ac:dyDescent="0.25">
      <c r="C2497" s="2"/>
    </row>
    <row r="2498" spans="3:3" x14ac:dyDescent="0.25">
      <c r="C2498" s="2"/>
    </row>
    <row r="2499" spans="3:3" x14ac:dyDescent="0.25">
      <c r="C2499" s="2"/>
    </row>
    <row r="2500" spans="3:3" x14ac:dyDescent="0.25">
      <c r="C2500" s="2"/>
    </row>
    <row r="2501" spans="3:3" x14ac:dyDescent="0.25">
      <c r="C2501" s="2"/>
    </row>
    <row r="2502" spans="3:3" x14ac:dyDescent="0.25">
      <c r="C2502" s="2"/>
    </row>
    <row r="2503" spans="3:3" x14ac:dyDescent="0.25">
      <c r="C2503" s="2"/>
    </row>
    <row r="2504" spans="3:3" x14ac:dyDescent="0.25">
      <c r="C2504" s="2"/>
    </row>
    <row r="2505" spans="3:3" x14ac:dyDescent="0.25">
      <c r="C2505" s="2"/>
    </row>
    <row r="2506" spans="3:3" x14ac:dyDescent="0.25">
      <c r="C2506" s="2"/>
    </row>
    <row r="2507" spans="3:3" x14ac:dyDescent="0.25">
      <c r="C2507" s="2"/>
    </row>
    <row r="2508" spans="3:3" x14ac:dyDescent="0.25">
      <c r="C2508" s="2"/>
    </row>
    <row r="2509" spans="3:3" x14ac:dyDescent="0.25">
      <c r="C2509" s="2"/>
    </row>
    <row r="2510" spans="3:3" x14ac:dyDescent="0.25">
      <c r="C2510" s="2"/>
    </row>
    <row r="2511" spans="3:3" x14ac:dyDescent="0.25">
      <c r="C2511" s="2"/>
    </row>
    <row r="2512" spans="3:3" x14ac:dyDescent="0.25">
      <c r="C2512" s="2"/>
    </row>
    <row r="2513" spans="3:3" x14ac:dyDescent="0.25">
      <c r="C2513" s="2"/>
    </row>
    <row r="2514" spans="3:3" x14ac:dyDescent="0.25">
      <c r="C2514" s="2"/>
    </row>
    <row r="2515" spans="3:3" x14ac:dyDescent="0.25">
      <c r="C2515" s="2"/>
    </row>
    <row r="2516" spans="3:3" x14ac:dyDescent="0.25">
      <c r="C2516" s="2"/>
    </row>
    <row r="2517" spans="3:3" x14ac:dyDescent="0.25">
      <c r="C2517" s="2"/>
    </row>
    <row r="2518" spans="3:3" x14ac:dyDescent="0.25">
      <c r="C2518" s="2"/>
    </row>
    <row r="2519" spans="3:3" x14ac:dyDescent="0.25">
      <c r="C2519" s="2"/>
    </row>
    <row r="2520" spans="3:3" x14ac:dyDescent="0.25">
      <c r="C2520" s="2"/>
    </row>
  </sheetData>
  <mergeCells count="19">
    <mergeCell ref="EQ2:FH2"/>
    <mergeCell ref="B4:J4"/>
    <mergeCell ref="JU2:KL2"/>
    <mergeCell ref="AZ2:BQ2"/>
    <mergeCell ref="BS2:CJ2"/>
    <mergeCell ref="CL2:DC2"/>
    <mergeCell ref="DE2:DV2"/>
    <mergeCell ref="DX2:EO2"/>
    <mergeCell ref="MV2:MW2"/>
    <mergeCell ref="MZ2:NQ2"/>
    <mergeCell ref="FJ2:GA2"/>
    <mergeCell ref="GC2:GT2"/>
    <mergeCell ref="GV2:HM2"/>
    <mergeCell ref="HO2:IF2"/>
    <mergeCell ref="IT2:IY2"/>
    <mergeCell ref="JA2:JR2"/>
    <mergeCell ref="LM2:MD2"/>
    <mergeCell ref="MG2:MH2"/>
    <mergeCell ref="KO2:LF2"/>
  </mergeCells>
  <pageMargins left="0.7" right="0.7" top="0.75" bottom="0.75" header="0.3" footer="0.3"/>
  <pageSetup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Y56"/>
  <sheetViews>
    <sheetView topLeftCell="C28" workbookViewId="0">
      <selection activeCell="C56" sqref="C56:J56"/>
    </sheetView>
  </sheetViews>
  <sheetFormatPr defaultRowHeight="13.5" x14ac:dyDescent="0.25"/>
  <cols>
    <col min="1" max="1" width="9.140625" style="2"/>
    <col min="2" max="2" width="13.42578125" style="2" customWidth="1"/>
    <col min="3" max="3" width="25.85546875" style="2" bestFit="1" customWidth="1"/>
    <col min="4" max="4" width="33.28515625" style="2" bestFit="1" customWidth="1"/>
    <col min="5" max="5" width="40.140625" style="2" customWidth="1"/>
    <col min="6" max="24" width="41.140625" style="2" bestFit="1" customWidth="1"/>
    <col min="25" max="25" width="33.5703125" style="2" bestFit="1" customWidth="1"/>
    <col min="26" max="207" width="9.140625" style="2"/>
    <col min="208" max="208" width="13.42578125" style="2" customWidth="1"/>
    <col min="209" max="209" width="14" style="2" customWidth="1"/>
    <col min="210" max="210" width="18.140625" style="2" customWidth="1"/>
    <col min="211" max="211" width="52.42578125" style="2" customWidth="1"/>
    <col min="212" max="212" width="11.42578125" style="2" customWidth="1"/>
    <col min="213" max="249" width="9.140625" style="2"/>
    <col min="250" max="250" width="10.140625" style="2" bestFit="1" customWidth="1"/>
    <col min="251" max="463" width="9.140625" style="2"/>
    <col min="464" max="464" width="13.42578125" style="2" customWidth="1"/>
    <col min="465" max="465" width="14" style="2" customWidth="1"/>
    <col min="466" max="466" width="18.140625" style="2" customWidth="1"/>
    <col min="467" max="467" width="52.42578125" style="2" customWidth="1"/>
    <col min="468" max="468" width="11.42578125" style="2" customWidth="1"/>
    <col min="469" max="505" width="9.140625" style="2"/>
    <col min="506" max="506" width="10.140625" style="2" bestFit="1" customWidth="1"/>
    <col min="507" max="719" width="9.140625" style="2"/>
    <col min="720" max="720" width="13.42578125" style="2" customWidth="1"/>
    <col min="721" max="721" width="14" style="2" customWidth="1"/>
    <col min="722" max="722" width="18.140625" style="2" customWidth="1"/>
    <col min="723" max="723" width="52.42578125" style="2" customWidth="1"/>
    <col min="724" max="724" width="11.42578125" style="2" customWidth="1"/>
    <col min="725" max="761" width="9.140625" style="2"/>
    <col min="762" max="762" width="10.140625" style="2" bestFit="1" customWidth="1"/>
    <col min="763" max="975" width="9.140625" style="2"/>
    <col min="976" max="976" width="13.42578125" style="2" customWidth="1"/>
    <col min="977" max="977" width="14" style="2" customWidth="1"/>
    <col min="978" max="978" width="18.140625" style="2" customWidth="1"/>
    <col min="979" max="979" width="52.42578125" style="2" customWidth="1"/>
    <col min="980" max="980" width="11.42578125" style="2" customWidth="1"/>
    <col min="981" max="1017" width="9.140625" style="2"/>
    <col min="1018" max="1018" width="10.140625" style="2" bestFit="1" customWidth="1"/>
    <col min="1019" max="1231" width="9.140625" style="2"/>
    <col min="1232" max="1232" width="13.42578125" style="2" customWidth="1"/>
    <col min="1233" max="1233" width="14" style="2" customWidth="1"/>
    <col min="1234" max="1234" width="18.140625" style="2" customWidth="1"/>
    <col min="1235" max="1235" width="52.42578125" style="2" customWidth="1"/>
    <col min="1236" max="1236" width="11.42578125" style="2" customWidth="1"/>
    <col min="1237" max="1273" width="9.140625" style="2"/>
    <col min="1274" max="1274" width="10.140625" style="2" bestFit="1" customWidth="1"/>
    <col min="1275" max="1487" width="9.140625" style="2"/>
    <col min="1488" max="1488" width="13.42578125" style="2" customWidth="1"/>
    <col min="1489" max="1489" width="14" style="2" customWidth="1"/>
    <col min="1490" max="1490" width="18.140625" style="2" customWidth="1"/>
    <col min="1491" max="1491" width="52.42578125" style="2" customWidth="1"/>
    <col min="1492" max="1492" width="11.42578125" style="2" customWidth="1"/>
    <col min="1493" max="1529" width="9.140625" style="2"/>
    <col min="1530" max="1530" width="10.140625" style="2" bestFit="1" customWidth="1"/>
    <col min="1531" max="1743" width="9.140625" style="2"/>
    <col min="1744" max="1744" width="13.42578125" style="2" customWidth="1"/>
    <col min="1745" max="1745" width="14" style="2" customWidth="1"/>
    <col min="1746" max="1746" width="18.140625" style="2" customWidth="1"/>
    <col min="1747" max="1747" width="52.42578125" style="2" customWidth="1"/>
    <col min="1748" max="1748" width="11.42578125" style="2" customWidth="1"/>
    <col min="1749" max="1785" width="9.140625" style="2"/>
    <col min="1786" max="1786" width="10.140625" style="2" bestFit="1" customWidth="1"/>
    <col min="1787" max="1999" width="9.140625" style="2"/>
    <col min="2000" max="2000" width="13.42578125" style="2" customWidth="1"/>
    <col min="2001" max="2001" width="14" style="2" customWidth="1"/>
    <col min="2002" max="2002" width="18.140625" style="2" customWidth="1"/>
    <col min="2003" max="2003" width="52.42578125" style="2" customWidth="1"/>
    <col min="2004" max="2004" width="11.42578125" style="2" customWidth="1"/>
    <col min="2005" max="2041" width="9.140625" style="2"/>
    <col min="2042" max="2042" width="10.140625" style="2" bestFit="1" customWidth="1"/>
    <col min="2043" max="2255" width="9.140625" style="2"/>
    <col min="2256" max="2256" width="13.42578125" style="2" customWidth="1"/>
    <col min="2257" max="2257" width="14" style="2" customWidth="1"/>
    <col min="2258" max="2258" width="18.140625" style="2" customWidth="1"/>
    <col min="2259" max="2259" width="52.42578125" style="2" customWidth="1"/>
    <col min="2260" max="2260" width="11.42578125" style="2" customWidth="1"/>
    <col min="2261" max="2297" width="9.140625" style="2"/>
    <col min="2298" max="2298" width="10.140625" style="2" bestFit="1" customWidth="1"/>
    <col min="2299" max="2511" width="9.140625" style="2"/>
    <col min="2512" max="2512" width="13.42578125" style="2" customWidth="1"/>
    <col min="2513" max="2513" width="14" style="2" customWidth="1"/>
    <col min="2514" max="2514" width="18.140625" style="2" customWidth="1"/>
    <col min="2515" max="2515" width="52.42578125" style="2" customWidth="1"/>
    <col min="2516" max="2516" width="11.42578125" style="2" customWidth="1"/>
    <col min="2517" max="2553" width="9.140625" style="2"/>
    <col min="2554" max="2554" width="10.140625" style="2" bestFit="1" customWidth="1"/>
    <col min="2555" max="2767" width="9.140625" style="2"/>
    <col min="2768" max="2768" width="13.42578125" style="2" customWidth="1"/>
    <col min="2769" max="2769" width="14" style="2" customWidth="1"/>
    <col min="2770" max="2770" width="18.140625" style="2" customWidth="1"/>
    <col min="2771" max="2771" width="52.42578125" style="2" customWidth="1"/>
    <col min="2772" max="2772" width="11.42578125" style="2" customWidth="1"/>
    <col min="2773" max="2809" width="9.140625" style="2"/>
    <col min="2810" max="2810" width="10.140625" style="2" bestFit="1" customWidth="1"/>
    <col min="2811" max="3023" width="9.140625" style="2"/>
    <col min="3024" max="3024" width="13.42578125" style="2" customWidth="1"/>
    <col min="3025" max="3025" width="14" style="2" customWidth="1"/>
    <col min="3026" max="3026" width="18.140625" style="2" customWidth="1"/>
    <col min="3027" max="3027" width="52.42578125" style="2" customWidth="1"/>
    <col min="3028" max="3028" width="11.42578125" style="2" customWidth="1"/>
    <col min="3029" max="3065" width="9.140625" style="2"/>
    <col min="3066" max="3066" width="10.140625" style="2" bestFit="1" customWidth="1"/>
    <col min="3067" max="3279" width="9.140625" style="2"/>
    <col min="3280" max="3280" width="13.42578125" style="2" customWidth="1"/>
    <col min="3281" max="3281" width="14" style="2" customWidth="1"/>
    <col min="3282" max="3282" width="18.140625" style="2" customWidth="1"/>
    <col min="3283" max="3283" width="52.42578125" style="2" customWidth="1"/>
    <col min="3284" max="3284" width="11.42578125" style="2" customWidth="1"/>
    <col min="3285" max="3321" width="9.140625" style="2"/>
    <col min="3322" max="3322" width="10.140625" style="2" bestFit="1" customWidth="1"/>
    <col min="3323" max="3535" width="9.140625" style="2"/>
    <col min="3536" max="3536" width="13.42578125" style="2" customWidth="1"/>
    <col min="3537" max="3537" width="14" style="2" customWidth="1"/>
    <col min="3538" max="3538" width="18.140625" style="2" customWidth="1"/>
    <col min="3539" max="3539" width="52.42578125" style="2" customWidth="1"/>
    <col min="3540" max="3540" width="11.42578125" style="2" customWidth="1"/>
    <col min="3541" max="3577" width="9.140625" style="2"/>
    <col min="3578" max="3578" width="10.140625" style="2" bestFit="1" customWidth="1"/>
    <col min="3579" max="3791" width="9.140625" style="2"/>
    <col min="3792" max="3792" width="13.42578125" style="2" customWidth="1"/>
    <col min="3793" max="3793" width="14" style="2" customWidth="1"/>
    <col min="3794" max="3794" width="18.140625" style="2" customWidth="1"/>
    <col min="3795" max="3795" width="52.42578125" style="2" customWidth="1"/>
    <col min="3796" max="3796" width="11.42578125" style="2" customWidth="1"/>
    <col min="3797" max="3833" width="9.140625" style="2"/>
    <col min="3834" max="3834" width="10.140625" style="2" bestFit="1" customWidth="1"/>
    <col min="3835" max="4047" width="9.140625" style="2"/>
    <col min="4048" max="4048" width="13.42578125" style="2" customWidth="1"/>
    <col min="4049" max="4049" width="14" style="2" customWidth="1"/>
    <col min="4050" max="4050" width="18.140625" style="2" customWidth="1"/>
    <col min="4051" max="4051" width="52.42578125" style="2" customWidth="1"/>
    <col min="4052" max="4052" width="11.42578125" style="2" customWidth="1"/>
    <col min="4053" max="4089" width="9.140625" style="2"/>
    <col min="4090" max="4090" width="10.140625" style="2" bestFit="1" customWidth="1"/>
    <col min="4091" max="4303" width="9.140625" style="2"/>
    <col min="4304" max="4304" width="13.42578125" style="2" customWidth="1"/>
    <col min="4305" max="4305" width="14" style="2" customWidth="1"/>
    <col min="4306" max="4306" width="18.140625" style="2" customWidth="1"/>
    <col min="4307" max="4307" width="52.42578125" style="2" customWidth="1"/>
    <col min="4308" max="4308" width="11.42578125" style="2" customWidth="1"/>
    <col min="4309" max="4345" width="9.140625" style="2"/>
    <col min="4346" max="4346" width="10.140625" style="2" bestFit="1" customWidth="1"/>
    <col min="4347" max="4559" width="9.140625" style="2"/>
    <col min="4560" max="4560" width="13.42578125" style="2" customWidth="1"/>
    <col min="4561" max="4561" width="14" style="2" customWidth="1"/>
    <col min="4562" max="4562" width="18.140625" style="2" customWidth="1"/>
    <col min="4563" max="4563" width="52.42578125" style="2" customWidth="1"/>
    <col min="4564" max="4564" width="11.42578125" style="2" customWidth="1"/>
    <col min="4565" max="4601" width="9.140625" style="2"/>
    <col min="4602" max="4602" width="10.140625" style="2" bestFit="1" customWidth="1"/>
    <col min="4603" max="4815" width="9.140625" style="2"/>
    <col min="4816" max="4816" width="13.42578125" style="2" customWidth="1"/>
    <col min="4817" max="4817" width="14" style="2" customWidth="1"/>
    <col min="4818" max="4818" width="18.140625" style="2" customWidth="1"/>
    <col min="4819" max="4819" width="52.42578125" style="2" customWidth="1"/>
    <col min="4820" max="4820" width="11.42578125" style="2" customWidth="1"/>
    <col min="4821" max="4857" width="9.140625" style="2"/>
    <col min="4858" max="4858" width="10.140625" style="2" bestFit="1" customWidth="1"/>
    <col min="4859" max="5071" width="9.140625" style="2"/>
    <col min="5072" max="5072" width="13.42578125" style="2" customWidth="1"/>
    <col min="5073" max="5073" width="14" style="2" customWidth="1"/>
    <col min="5074" max="5074" width="18.140625" style="2" customWidth="1"/>
    <col min="5075" max="5075" width="52.42578125" style="2" customWidth="1"/>
    <col min="5076" max="5076" width="11.42578125" style="2" customWidth="1"/>
    <col min="5077" max="5113" width="9.140625" style="2"/>
    <col min="5114" max="5114" width="10.140625" style="2" bestFit="1" customWidth="1"/>
    <col min="5115" max="5327" width="9.140625" style="2"/>
    <col min="5328" max="5328" width="13.42578125" style="2" customWidth="1"/>
    <col min="5329" max="5329" width="14" style="2" customWidth="1"/>
    <col min="5330" max="5330" width="18.140625" style="2" customWidth="1"/>
    <col min="5331" max="5331" width="52.42578125" style="2" customWidth="1"/>
    <col min="5332" max="5332" width="11.42578125" style="2" customWidth="1"/>
    <col min="5333" max="5369" width="9.140625" style="2"/>
    <col min="5370" max="5370" width="10.140625" style="2" bestFit="1" customWidth="1"/>
    <col min="5371" max="5583" width="9.140625" style="2"/>
    <col min="5584" max="5584" width="13.42578125" style="2" customWidth="1"/>
    <col min="5585" max="5585" width="14" style="2" customWidth="1"/>
    <col min="5586" max="5586" width="18.140625" style="2" customWidth="1"/>
    <col min="5587" max="5587" width="52.42578125" style="2" customWidth="1"/>
    <col min="5588" max="5588" width="11.42578125" style="2" customWidth="1"/>
    <col min="5589" max="5625" width="9.140625" style="2"/>
    <col min="5626" max="5626" width="10.140625" style="2" bestFit="1" customWidth="1"/>
    <col min="5627" max="5839" width="9.140625" style="2"/>
    <col min="5840" max="5840" width="13.42578125" style="2" customWidth="1"/>
    <col min="5841" max="5841" width="14" style="2" customWidth="1"/>
    <col min="5842" max="5842" width="18.140625" style="2" customWidth="1"/>
    <col min="5843" max="5843" width="52.42578125" style="2" customWidth="1"/>
    <col min="5844" max="5844" width="11.42578125" style="2" customWidth="1"/>
    <col min="5845" max="5881" width="9.140625" style="2"/>
    <col min="5882" max="5882" width="10.140625" style="2" bestFit="1" customWidth="1"/>
    <col min="5883" max="6095" width="9.140625" style="2"/>
    <col min="6096" max="6096" width="13.42578125" style="2" customWidth="1"/>
    <col min="6097" max="6097" width="14" style="2" customWidth="1"/>
    <col min="6098" max="6098" width="18.140625" style="2" customWidth="1"/>
    <col min="6099" max="6099" width="52.42578125" style="2" customWidth="1"/>
    <col min="6100" max="6100" width="11.42578125" style="2" customWidth="1"/>
    <col min="6101" max="6137" width="9.140625" style="2"/>
    <col min="6138" max="6138" width="10.140625" style="2" bestFit="1" customWidth="1"/>
    <col min="6139" max="6351" width="9.140625" style="2"/>
    <col min="6352" max="6352" width="13.42578125" style="2" customWidth="1"/>
    <col min="6353" max="6353" width="14" style="2" customWidth="1"/>
    <col min="6354" max="6354" width="18.140625" style="2" customWidth="1"/>
    <col min="6355" max="6355" width="52.42578125" style="2" customWidth="1"/>
    <col min="6356" max="6356" width="11.42578125" style="2" customWidth="1"/>
    <col min="6357" max="6393" width="9.140625" style="2"/>
    <col min="6394" max="6394" width="10.140625" style="2" bestFit="1" customWidth="1"/>
    <col min="6395" max="6607" width="9.140625" style="2"/>
    <col min="6608" max="6608" width="13.42578125" style="2" customWidth="1"/>
    <col min="6609" max="6609" width="14" style="2" customWidth="1"/>
    <col min="6610" max="6610" width="18.140625" style="2" customWidth="1"/>
    <col min="6611" max="6611" width="52.42578125" style="2" customWidth="1"/>
    <col min="6612" max="6612" width="11.42578125" style="2" customWidth="1"/>
    <col min="6613" max="6649" width="9.140625" style="2"/>
    <col min="6650" max="6650" width="10.140625" style="2" bestFit="1" customWidth="1"/>
    <col min="6651" max="6863" width="9.140625" style="2"/>
    <col min="6864" max="6864" width="13.42578125" style="2" customWidth="1"/>
    <col min="6865" max="6865" width="14" style="2" customWidth="1"/>
    <col min="6866" max="6866" width="18.140625" style="2" customWidth="1"/>
    <col min="6867" max="6867" width="52.42578125" style="2" customWidth="1"/>
    <col min="6868" max="6868" width="11.42578125" style="2" customWidth="1"/>
    <col min="6869" max="6905" width="9.140625" style="2"/>
    <col min="6906" max="6906" width="10.140625" style="2" bestFit="1" customWidth="1"/>
    <col min="6907" max="7119" width="9.140625" style="2"/>
    <col min="7120" max="7120" width="13.42578125" style="2" customWidth="1"/>
    <col min="7121" max="7121" width="14" style="2" customWidth="1"/>
    <col min="7122" max="7122" width="18.140625" style="2" customWidth="1"/>
    <col min="7123" max="7123" width="52.42578125" style="2" customWidth="1"/>
    <col min="7124" max="7124" width="11.42578125" style="2" customWidth="1"/>
    <col min="7125" max="7161" width="9.140625" style="2"/>
    <col min="7162" max="7162" width="10.140625" style="2" bestFit="1" customWidth="1"/>
    <col min="7163" max="7375" width="9.140625" style="2"/>
    <col min="7376" max="7376" width="13.42578125" style="2" customWidth="1"/>
    <col min="7377" max="7377" width="14" style="2" customWidth="1"/>
    <col min="7378" max="7378" width="18.140625" style="2" customWidth="1"/>
    <col min="7379" max="7379" width="52.42578125" style="2" customWidth="1"/>
    <col min="7380" max="7380" width="11.42578125" style="2" customWidth="1"/>
    <col min="7381" max="7417" width="9.140625" style="2"/>
    <col min="7418" max="7418" width="10.140625" style="2" bestFit="1" customWidth="1"/>
    <col min="7419" max="7631" width="9.140625" style="2"/>
    <col min="7632" max="7632" width="13.42578125" style="2" customWidth="1"/>
    <col min="7633" max="7633" width="14" style="2" customWidth="1"/>
    <col min="7634" max="7634" width="18.140625" style="2" customWidth="1"/>
    <col min="7635" max="7635" width="52.42578125" style="2" customWidth="1"/>
    <col min="7636" max="7636" width="11.42578125" style="2" customWidth="1"/>
    <col min="7637" max="7673" width="9.140625" style="2"/>
    <col min="7674" max="7674" width="10.140625" style="2" bestFit="1" customWidth="1"/>
    <col min="7675" max="7887" width="9.140625" style="2"/>
    <col min="7888" max="7888" width="13.42578125" style="2" customWidth="1"/>
    <col min="7889" max="7889" width="14" style="2" customWidth="1"/>
    <col min="7890" max="7890" width="18.140625" style="2" customWidth="1"/>
    <col min="7891" max="7891" width="52.42578125" style="2" customWidth="1"/>
    <col min="7892" max="7892" width="11.42578125" style="2" customWidth="1"/>
    <col min="7893" max="7929" width="9.140625" style="2"/>
    <col min="7930" max="7930" width="10.140625" style="2" bestFit="1" customWidth="1"/>
    <col min="7931" max="8143" width="9.140625" style="2"/>
    <col min="8144" max="8144" width="13.42578125" style="2" customWidth="1"/>
    <col min="8145" max="8145" width="14" style="2" customWidth="1"/>
    <col min="8146" max="8146" width="18.140625" style="2" customWidth="1"/>
    <col min="8147" max="8147" width="52.42578125" style="2" customWidth="1"/>
    <col min="8148" max="8148" width="11.42578125" style="2" customWidth="1"/>
    <col min="8149" max="8185" width="9.140625" style="2"/>
    <col min="8186" max="8186" width="10.140625" style="2" bestFit="1" customWidth="1"/>
    <col min="8187" max="8399" width="9.140625" style="2"/>
    <col min="8400" max="8400" width="13.42578125" style="2" customWidth="1"/>
    <col min="8401" max="8401" width="14" style="2" customWidth="1"/>
    <col min="8402" max="8402" width="18.140625" style="2" customWidth="1"/>
    <col min="8403" max="8403" width="52.42578125" style="2" customWidth="1"/>
    <col min="8404" max="8404" width="11.42578125" style="2" customWidth="1"/>
    <col min="8405" max="8441" width="9.140625" style="2"/>
    <col min="8442" max="8442" width="10.140625" style="2" bestFit="1" customWidth="1"/>
    <col min="8443" max="8655" width="9.140625" style="2"/>
    <col min="8656" max="8656" width="13.42578125" style="2" customWidth="1"/>
    <col min="8657" max="8657" width="14" style="2" customWidth="1"/>
    <col min="8658" max="8658" width="18.140625" style="2" customWidth="1"/>
    <col min="8659" max="8659" width="52.42578125" style="2" customWidth="1"/>
    <col min="8660" max="8660" width="11.42578125" style="2" customWidth="1"/>
    <col min="8661" max="8697" width="9.140625" style="2"/>
    <col min="8698" max="8698" width="10.140625" style="2" bestFit="1" customWidth="1"/>
    <col min="8699" max="8911" width="9.140625" style="2"/>
    <col min="8912" max="8912" width="13.42578125" style="2" customWidth="1"/>
    <col min="8913" max="8913" width="14" style="2" customWidth="1"/>
    <col min="8914" max="8914" width="18.140625" style="2" customWidth="1"/>
    <col min="8915" max="8915" width="52.42578125" style="2" customWidth="1"/>
    <col min="8916" max="8916" width="11.42578125" style="2" customWidth="1"/>
    <col min="8917" max="8953" width="9.140625" style="2"/>
    <col min="8954" max="8954" width="10.140625" style="2" bestFit="1" customWidth="1"/>
    <col min="8955" max="9167" width="9.140625" style="2"/>
    <col min="9168" max="9168" width="13.42578125" style="2" customWidth="1"/>
    <col min="9169" max="9169" width="14" style="2" customWidth="1"/>
    <col min="9170" max="9170" width="18.140625" style="2" customWidth="1"/>
    <col min="9171" max="9171" width="52.42578125" style="2" customWidth="1"/>
    <col min="9172" max="9172" width="11.42578125" style="2" customWidth="1"/>
    <col min="9173" max="9209" width="9.140625" style="2"/>
    <col min="9210" max="9210" width="10.140625" style="2" bestFit="1" customWidth="1"/>
    <col min="9211" max="9423" width="9.140625" style="2"/>
    <col min="9424" max="9424" width="13.42578125" style="2" customWidth="1"/>
    <col min="9425" max="9425" width="14" style="2" customWidth="1"/>
    <col min="9426" max="9426" width="18.140625" style="2" customWidth="1"/>
    <col min="9427" max="9427" width="52.42578125" style="2" customWidth="1"/>
    <col min="9428" max="9428" width="11.42578125" style="2" customWidth="1"/>
    <col min="9429" max="9465" width="9.140625" style="2"/>
    <col min="9466" max="9466" width="10.140625" style="2" bestFit="1" customWidth="1"/>
    <col min="9467" max="9679" width="9.140625" style="2"/>
    <col min="9680" max="9680" width="13.42578125" style="2" customWidth="1"/>
    <col min="9681" max="9681" width="14" style="2" customWidth="1"/>
    <col min="9682" max="9682" width="18.140625" style="2" customWidth="1"/>
    <col min="9683" max="9683" width="52.42578125" style="2" customWidth="1"/>
    <col min="9684" max="9684" width="11.42578125" style="2" customWidth="1"/>
    <col min="9685" max="9721" width="9.140625" style="2"/>
    <col min="9722" max="9722" width="10.140625" style="2" bestFit="1" customWidth="1"/>
    <col min="9723" max="9935" width="9.140625" style="2"/>
    <col min="9936" max="9936" width="13.42578125" style="2" customWidth="1"/>
    <col min="9937" max="9937" width="14" style="2" customWidth="1"/>
    <col min="9938" max="9938" width="18.140625" style="2" customWidth="1"/>
    <col min="9939" max="9939" width="52.42578125" style="2" customWidth="1"/>
    <col min="9940" max="9940" width="11.42578125" style="2" customWidth="1"/>
    <col min="9941" max="9977" width="9.140625" style="2"/>
    <col min="9978" max="9978" width="10.140625" style="2" bestFit="1" customWidth="1"/>
    <col min="9979" max="10191" width="9.140625" style="2"/>
    <col min="10192" max="10192" width="13.42578125" style="2" customWidth="1"/>
    <col min="10193" max="10193" width="14" style="2" customWidth="1"/>
    <col min="10194" max="10194" width="18.140625" style="2" customWidth="1"/>
    <col min="10195" max="10195" width="52.42578125" style="2" customWidth="1"/>
    <col min="10196" max="10196" width="11.42578125" style="2" customWidth="1"/>
    <col min="10197" max="10233" width="9.140625" style="2"/>
    <col min="10234" max="10234" width="10.140625" style="2" bestFit="1" customWidth="1"/>
    <col min="10235" max="10447" width="9.140625" style="2"/>
    <col min="10448" max="10448" width="13.42578125" style="2" customWidth="1"/>
    <col min="10449" max="10449" width="14" style="2" customWidth="1"/>
    <col min="10450" max="10450" width="18.140625" style="2" customWidth="1"/>
    <col min="10451" max="10451" width="52.42578125" style="2" customWidth="1"/>
    <col min="10452" max="10452" width="11.42578125" style="2" customWidth="1"/>
    <col min="10453" max="10489" width="9.140625" style="2"/>
    <col min="10490" max="10490" width="10.140625" style="2" bestFit="1" customWidth="1"/>
    <col min="10491" max="10703" width="9.140625" style="2"/>
    <col min="10704" max="10704" width="13.42578125" style="2" customWidth="1"/>
    <col min="10705" max="10705" width="14" style="2" customWidth="1"/>
    <col min="10706" max="10706" width="18.140625" style="2" customWidth="1"/>
    <col min="10707" max="10707" width="52.42578125" style="2" customWidth="1"/>
    <col min="10708" max="10708" width="11.42578125" style="2" customWidth="1"/>
    <col min="10709" max="10745" width="9.140625" style="2"/>
    <col min="10746" max="10746" width="10.140625" style="2" bestFit="1" customWidth="1"/>
    <col min="10747" max="10959" width="9.140625" style="2"/>
    <col min="10960" max="10960" width="13.42578125" style="2" customWidth="1"/>
    <col min="10961" max="10961" width="14" style="2" customWidth="1"/>
    <col min="10962" max="10962" width="18.140625" style="2" customWidth="1"/>
    <col min="10963" max="10963" width="52.42578125" style="2" customWidth="1"/>
    <col min="10964" max="10964" width="11.42578125" style="2" customWidth="1"/>
    <col min="10965" max="11001" width="9.140625" style="2"/>
    <col min="11002" max="11002" width="10.140625" style="2" bestFit="1" customWidth="1"/>
    <col min="11003" max="11215" width="9.140625" style="2"/>
    <col min="11216" max="11216" width="13.42578125" style="2" customWidth="1"/>
    <col min="11217" max="11217" width="14" style="2" customWidth="1"/>
    <col min="11218" max="11218" width="18.140625" style="2" customWidth="1"/>
    <col min="11219" max="11219" width="52.42578125" style="2" customWidth="1"/>
    <col min="11220" max="11220" width="11.42578125" style="2" customWidth="1"/>
    <col min="11221" max="11257" width="9.140625" style="2"/>
    <col min="11258" max="11258" width="10.140625" style="2" bestFit="1" customWidth="1"/>
    <col min="11259" max="11471" width="9.140625" style="2"/>
    <col min="11472" max="11472" width="13.42578125" style="2" customWidth="1"/>
    <col min="11473" max="11473" width="14" style="2" customWidth="1"/>
    <col min="11474" max="11474" width="18.140625" style="2" customWidth="1"/>
    <col min="11475" max="11475" width="52.42578125" style="2" customWidth="1"/>
    <col min="11476" max="11476" width="11.42578125" style="2" customWidth="1"/>
    <col min="11477" max="11513" width="9.140625" style="2"/>
    <col min="11514" max="11514" width="10.140625" style="2" bestFit="1" customWidth="1"/>
    <col min="11515" max="11727" width="9.140625" style="2"/>
    <col min="11728" max="11728" width="13.42578125" style="2" customWidth="1"/>
    <col min="11729" max="11729" width="14" style="2" customWidth="1"/>
    <col min="11730" max="11730" width="18.140625" style="2" customWidth="1"/>
    <col min="11731" max="11731" width="52.42578125" style="2" customWidth="1"/>
    <col min="11732" max="11732" width="11.42578125" style="2" customWidth="1"/>
    <col min="11733" max="11769" width="9.140625" style="2"/>
    <col min="11770" max="11770" width="10.140625" style="2" bestFit="1" customWidth="1"/>
    <col min="11771" max="11983" width="9.140625" style="2"/>
    <col min="11984" max="11984" width="13.42578125" style="2" customWidth="1"/>
    <col min="11985" max="11985" width="14" style="2" customWidth="1"/>
    <col min="11986" max="11986" width="18.140625" style="2" customWidth="1"/>
    <col min="11987" max="11987" width="52.42578125" style="2" customWidth="1"/>
    <col min="11988" max="11988" width="11.42578125" style="2" customWidth="1"/>
    <col min="11989" max="12025" width="9.140625" style="2"/>
    <col min="12026" max="12026" width="10.140625" style="2" bestFit="1" customWidth="1"/>
    <col min="12027" max="12239" width="9.140625" style="2"/>
    <col min="12240" max="12240" width="13.42578125" style="2" customWidth="1"/>
    <col min="12241" max="12241" width="14" style="2" customWidth="1"/>
    <col min="12242" max="12242" width="18.140625" style="2" customWidth="1"/>
    <col min="12243" max="12243" width="52.42578125" style="2" customWidth="1"/>
    <col min="12244" max="12244" width="11.42578125" style="2" customWidth="1"/>
    <col min="12245" max="12281" width="9.140625" style="2"/>
    <col min="12282" max="12282" width="10.140625" style="2" bestFit="1" customWidth="1"/>
    <col min="12283" max="12495" width="9.140625" style="2"/>
    <col min="12496" max="12496" width="13.42578125" style="2" customWidth="1"/>
    <col min="12497" max="12497" width="14" style="2" customWidth="1"/>
    <col min="12498" max="12498" width="18.140625" style="2" customWidth="1"/>
    <col min="12499" max="12499" width="52.42578125" style="2" customWidth="1"/>
    <col min="12500" max="12500" width="11.42578125" style="2" customWidth="1"/>
    <col min="12501" max="12537" width="9.140625" style="2"/>
    <col min="12538" max="12538" width="10.140625" style="2" bestFit="1" customWidth="1"/>
    <col min="12539" max="12751" width="9.140625" style="2"/>
    <col min="12752" max="12752" width="13.42578125" style="2" customWidth="1"/>
    <col min="12753" max="12753" width="14" style="2" customWidth="1"/>
    <col min="12754" max="12754" width="18.140625" style="2" customWidth="1"/>
    <col min="12755" max="12755" width="52.42578125" style="2" customWidth="1"/>
    <col min="12756" max="12756" width="11.42578125" style="2" customWidth="1"/>
    <col min="12757" max="12793" width="9.140625" style="2"/>
    <col min="12794" max="12794" width="10.140625" style="2" bestFit="1" customWidth="1"/>
    <col min="12795" max="13007" width="9.140625" style="2"/>
    <col min="13008" max="13008" width="13.42578125" style="2" customWidth="1"/>
    <col min="13009" max="13009" width="14" style="2" customWidth="1"/>
    <col min="13010" max="13010" width="18.140625" style="2" customWidth="1"/>
    <col min="13011" max="13011" width="52.42578125" style="2" customWidth="1"/>
    <col min="13012" max="13012" width="11.42578125" style="2" customWidth="1"/>
    <col min="13013" max="13049" width="9.140625" style="2"/>
    <col min="13050" max="13050" width="10.140625" style="2" bestFit="1" customWidth="1"/>
    <col min="13051" max="13263" width="9.140625" style="2"/>
    <col min="13264" max="13264" width="13.42578125" style="2" customWidth="1"/>
    <col min="13265" max="13265" width="14" style="2" customWidth="1"/>
    <col min="13266" max="13266" width="18.140625" style="2" customWidth="1"/>
    <col min="13267" max="13267" width="52.42578125" style="2" customWidth="1"/>
    <col min="13268" max="13268" width="11.42578125" style="2" customWidth="1"/>
    <col min="13269" max="13305" width="9.140625" style="2"/>
    <col min="13306" max="13306" width="10.140625" style="2" bestFit="1" customWidth="1"/>
    <col min="13307" max="13519" width="9.140625" style="2"/>
    <col min="13520" max="13520" width="13.42578125" style="2" customWidth="1"/>
    <col min="13521" max="13521" width="14" style="2" customWidth="1"/>
    <col min="13522" max="13522" width="18.140625" style="2" customWidth="1"/>
    <col min="13523" max="13523" width="52.42578125" style="2" customWidth="1"/>
    <col min="13524" max="13524" width="11.42578125" style="2" customWidth="1"/>
    <col min="13525" max="13561" width="9.140625" style="2"/>
    <col min="13562" max="13562" width="10.140625" style="2" bestFit="1" customWidth="1"/>
    <col min="13563" max="13775" width="9.140625" style="2"/>
    <col min="13776" max="13776" width="13.42578125" style="2" customWidth="1"/>
    <col min="13777" max="13777" width="14" style="2" customWidth="1"/>
    <col min="13778" max="13778" width="18.140625" style="2" customWidth="1"/>
    <col min="13779" max="13779" width="52.42578125" style="2" customWidth="1"/>
    <col min="13780" max="13780" width="11.42578125" style="2" customWidth="1"/>
    <col min="13781" max="13817" width="9.140625" style="2"/>
    <col min="13818" max="13818" width="10.140625" style="2" bestFit="1" customWidth="1"/>
    <col min="13819" max="14031" width="9.140625" style="2"/>
    <col min="14032" max="14032" width="13.42578125" style="2" customWidth="1"/>
    <col min="14033" max="14033" width="14" style="2" customWidth="1"/>
    <col min="14034" max="14034" width="18.140625" style="2" customWidth="1"/>
    <col min="14035" max="14035" width="52.42578125" style="2" customWidth="1"/>
    <col min="14036" max="14036" width="11.42578125" style="2" customWidth="1"/>
    <col min="14037" max="14073" width="9.140625" style="2"/>
    <col min="14074" max="14074" width="10.140625" style="2" bestFit="1" customWidth="1"/>
    <col min="14075" max="14287" width="9.140625" style="2"/>
    <col min="14288" max="14288" width="13.42578125" style="2" customWidth="1"/>
    <col min="14289" max="14289" width="14" style="2" customWidth="1"/>
    <col min="14290" max="14290" width="18.140625" style="2" customWidth="1"/>
    <col min="14291" max="14291" width="52.42578125" style="2" customWidth="1"/>
    <col min="14292" max="14292" width="11.42578125" style="2" customWidth="1"/>
    <col min="14293" max="14329" width="9.140625" style="2"/>
    <col min="14330" max="14330" width="10.140625" style="2" bestFit="1" customWidth="1"/>
    <col min="14331" max="14543" width="9.140625" style="2"/>
    <col min="14544" max="14544" width="13.42578125" style="2" customWidth="1"/>
    <col min="14545" max="14545" width="14" style="2" customWidth="1"/>
    <col min="14546" max="14546" width="18.140625" style="2" customWidth="1"/>
    <col min="14547" max="14547" width="52.42578125" style="2" customWidth="1"/>
    <col min="14548" max="14548" width="11.42578125" style="2" customWidth="1"/>
    <col min="14549" max="14585" width="9.140625" style="2"/>
    <col min="14586" max="14586" width="10.140625" style="2" bestFit="1" customWidth="1"/>
    <col min="14587" max="14799" width="9.140625" style="2"/>
    <col min="14800" max="14800" width="13.42578125" style="2" customWidth="1"/>
    <col min="14801" max="14801" width="14" style="2" customWidth="1"/>
    <col min="14802" max="14802" width="18.140625" style="2" customWidth="1"/>
    <col min="14803" max="14803" width="52.42578125" style="2" customWidth="1"/>
    <col min="14804" max="14804" width="11.42578125" style="2" customWidth="1"/>
    <col min="14805" max="14841" width="9.140625" style="2"/>
    <col min="14842" max="14842" width="10.140625" style="2" bestFit="1" customWidth="1"/>
    <col min="14843" max="15055" width="9.140625" style="2"/>
    <col min="15056" max="15056" width="13.42578125" style="2" customWidth="1"/>
    <col min="15057" max="15057" width="14" style="2" customWidth="1"/>
    <col min="15058" max="15058" width="18.140625" style="2" customWidth="1"/>
    <col min="15059" max="15059" width="52.42578125" style="2" customWidth="1"/>
    <col min="15060" max="15060" width="11.42578125" style="2" customWidth="1"/>
    <col min="15061" max="15097" width="9.140625" style="2"/>
    <col min="15098" max="15098" width="10.140625" style="2" bestFit="1" customWidth="1"/>
    <col min="15099" max="15311" width="9.140625" style="2"/>
    <col min="15312" max="15312" width="13.42578125" style="2" customWidth="1"/>
    <col min="15313" max="15313" width="14" style="2" customWidth="1"/>
    <col min="15314" max="15314" width="18.140625" style="2" customWidth="1"/>
    <col min="15315" max="15315" width="52.42578125" style="2" customWidth="1"/>
    <col min="15316" max="15316" width="11.42578125" style="2" customWidth="1"/>
    <col min="15317" max="15353" width="9.140625" style="2"/>
    <col min="15354" max="15354" width="10.140625" style="2" bestFit="1" customWidth="1"/>
    <col min="15355" max="15567" width="9.140625" style="2"/>
    <col min="15568" max="15568" width="13.42578125" style="2" customWidth="1"/>
    <col min="15569" max="15569" width="14" style="2" customWidth="1"/>
    <col min="15570" max="15570" width="18.140625" style="2" customWidth="1"/>
    <col min="15571" max="15571" width="52.42578125" style="2" customWidth="1"/>
    <col min="15572" max="15572" width="11.42578125" style="2" customWidth="1"/>
    <col min="15573" max="15609" width="9.140625" style="2"/>
    <col min="15610" max="15610" width="10.140625" style="2" bestFit="1" customWidth="1"/>
    <col min="15611" max="15823" width="9.140625" style="2"/>
    <col min="15824" max="15824" width="13.42578125" style="2" customWidth="1"/>
    <col min="15825" max="15825" width="14" style="2" customWidth="1"/>
    <col min="15826" max="15826" width="18.140625" style="2" customWidth="1"/>
    <col min="15827" max="15827" width="52.42578125" style="2" customWidth="1"/>
    <col min="15828" max="15828" width="11.42578125" style="2" customWidth="1"/>
    <col min="15829" max="15865" width="9.140625" style="2"/>
    <col min="15866" max="15866" width="10.140625" style="2" bestFit="1" customWidth="1"/>
    <col min="15867" max="16079" width="9.140625" style="2"/>
    <col min="16080" max="16080" width="13.42578125" style="2" customWidth="1"/>
    <col min="16081" max="16081" width="14" style="2" customWidth="1"/>
    <col min="16082" max="16082" width="18.140625" style="2" customWidth="1"/>
    <col min="16083" max="16083" width="52.42578125" style="2" customWidth="1"/>
    <col min="16084" max="16084" width="11.42578125" style="2" customWidth="1"/>
    <col min="16085" max="16121" width="9.140625" style="2"/>
    <col min="16122" max="16122" width="10.140625" style="2" bestFit="1" customWidth="1"/>
    <col min="16123" max="16384" width="9.140625" style="2"/>
  </cols>
  <sheetData>
    <row r="4" spans="3:25" x14ac:dyDescent="0.25">
      <c r="C4" s="131" t="s">
        <v>161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3"/>
    </row>
    <row r="5" spans="3:25" x14ac:dyDescent="0.25">
      <c r="C5" s="3" t="s">
        <v>162</v>
      </c>
      <c r="D5" s="3" t="s">
        <v>163</v>
      </c>
      <c r="E5" s="3" t="s">
        <v>90</v>
      </c>
      <c r="F5" s="3" t="s">
        <v>91</v>
      </c>
      <c r="G5" s="3" t="s">
        <v>92</v>
      </c>
      <c r="H5" s="3" t="s">
        <v>93</v>
      </c>
      <c r="I5" s="3" t="s">
        <v>94</v>
      </c>
      <c r="J5" s="3" t="s">
        <v>125</v>
      </c>
      <c r="K5" s="3" t="s">
        <v>95</v>
      </c>
      <c r="L5" s="3" t="s">
        <v>96</v>
      </c>
      <c r="M5" s="3" t="s">
        <v>97</v>
      </c>
      <c r="N5" s="3" t="s">
        <v>98</v>
      </c>
      <c r="O5" s="3" t="s">
        <v>99</v>
      </c>
      <c r="P5" s="3" t="s">
        <v>101</v>
      </c>
      <c r="Q5" s="3" t="s">
        <v>103</v>
      </c>
      <c r="R5" s="3" t="s">
        <v>104</v>
      </c>
      <c r="S5" s="3" t="s">
        <v>126</v>
      </c>
      <c r="T5" s="3" t="s">
        <v>127</v>
      </c>
      <c r="U5" s="3" t="s">
        <v>106</v>
      </c>
      <c r="V5" s="3" t="s">
        <v>128</v>
      </c>
      <c r="W5" s="3" t="s">
        <v>129</v>
      </c>
      <c r="X5" s="3" t="s">
        <v>158</v>
      </c>
      <c r="Y5" s="4" t="s">
        <v>164</v>
      </c>
    </row>
    <row r="6" spans="3:25" x14ac:dyDescent="0.25">
      <c r="C6" s="3" t="s">
        <v>165</v>
      </c>
      <c r="D6" s="5"/>
      <c r="E6" s="5" t="s">
        <v>166</v>
      </c>
      <c r="F6" s="5" t="s">
        <v>167</v>
      </c>
      <c r="G6" s="5" t="s">
        <v>168</v>
      </c>
      <c r="H6" s="5" t="s">
        <v>5</v>
      </c>
      <c r="I6" s="5" t="s">
        <v>169</v>
      </c>
      <c r="J6" s="5" t="s">
        <v>170</v>
      </c>
      <c r="K6" s="5" t="s">
        <v>171</v>
      </c>
      <c r="L6" s="5" t="s">
        <v>172</v>
      </c>
      <c r="M6" s="5" t="s">
        <v>173</v>
      </c>
      <c r="N6" s="5" t="s">
        <v>174</v>
      </c>
      <c r="O6" s="5" t="s">
        <v>175</v>
      </c>
      <c r="P6" s="5" t="s">
        <v>176</v>
      </c>
      <c r="Q6" s="5" t="s">
        <v>177</v>
      </c>
      <c r="R6" s="5" t="s">
        <v>178</v>
      </c>
      <c r="S6" s="5" t="s">
        <v>179</v>
      </c>
      <c r="T6" s="5" t="s">
        <v>180</v>
      </c>
      <c r="U6" s="5" t="s">
        <v>181</v>
      </c>
      <c r="V6" s="5" t="s">
        <v>182</v>
      </c>
      <c r="W6" s="5" t="s">
        <v>183</v>
      </c>
      <c r="X6" s="5" t="s">
        <v>241</v>
      </c>
      <c r="Y6" s="7" t="s">
        <v>184</v>
      </c>
    </row>
    <row r="7" spans="3:25" x14ac:dyDescent="0.25">
      <c r="C7" s="4" t="s">
        <v>107</v>
      </c>
      <c r="D7" s="5">
        <v>0</v>
      </c>
      <c r="E7" s="6" t="s">
        <v>185</v>
      </c>
      <c r="F7" s="6" t="s">
        <v>185</v>
      </c>
      <c r="G7" s="6" t="s">
        <v>185</v>
      </c>
      <c r="H7" s="6" t="s">
        <v>185</v>
      </c>
      <c r="I7" s="6" t="s">
        <v>185</v>
      </c>
      <c r="J7" s="6" t="s">
        <v>185</v>
      </c>
      <c r="K7" s="6" t="s">
        <v>185</v>
      </c>
      <c r="L7" s="6" t="s">
        <v>185</v>
      </c>
      <c r="M7" s="6" t="s">
        <v>185</v>
      </c>
      <c r="N7" s="6" t="s">
        <v>185</v>
      </c>
      <c r="O7" s="6" t="s">
        <v>185</v>
      </c>
      <c r="P7" s="6" t="s">
        <v>185</v>
      </c>
      <c r="Q7" s="6"/>
      <c r="R7" s="6"/>
      <c r="S7" s="6" t="s">
        <v>185</v>
      </c>
      <c r="T7" s="6" t="s">
        <v>185</v>
      </c>
      <c r="U7" s="6" t="s">
        <v>185</v>
      </c>
      <c r="V7" s="6" t="s">
        <v>185</v>
      </c>
      <c r="W7" s="6" t="s">
        <v>185</v>
      </c>
      <c r="X7" s="6" t="s">
        <v>185</v>
      </c>
      <c r="Y7" s="7"/>
    </row>
    <row r="8" spans="3:25" x14ac:dyDescent="0.25">
      <c r="C8" s="4" t="s">
        <v>108</v>
      </c>
      <c r="D8" s="5">
        <v>1</v>
      </c>
      <c r="E8" s="6" t="s">
        <v>185</v>
      </c>
      <c r="F8" s="6" t="s">
        <v>185</v>
      </c>
      <c r="G8" s="6" t="s">
        <v>185</v>
      </c>
      <c r="H8" s="6" t="s">
        <v>185</v>
      </c>
      <c r="I8" s="6" t="s">
        <v>185</v>
      </c>
      <c r="J8" s="6" t="s">
        <v>185</v>
      </c>
      <c r="K8" s="6" t="s">
        <v>185</v>
      </c>
      <c r="L8" s="6" t="s">
        <v>185</v>
      </c>
      <c r="M8" s="6" t="s">
        <v>185</v>
      </c>
      <c r="N8" s="6" t="s">
        <v>185</v>
      </c>
      <c r="O8" s="6"/>
      <c r="P8" s="6"/>
      <c r="Q8" s="6"/>
      <c r="R8" s="6"/>
      <c r="S8" s="6" t="s">
        <v>185</v>
      </c>
      <c r="T8" s="6" t="s">
        <v>185</v>
      </c>
      <c r="U8" s="6" t="s">
        <v>185</v>
      </c>
      <c r="V8" s="6" t="s">
        <v>185</v>
      </c>
      <c r="W8" s="6" t="s">
        <v>185</v>
      </c>
      <c r="X8" s="6" t="s">
        <v>185</v>
      </c>
      <c r="Y8" s="7"/>
    </row>
    <row r="9" spans="3:25" x14ac:dyDescent="0.25">
      <c r="C9" s="4" t="s">
        <v>109</v>
      </c>
      <c r="D9" s="5">
        <v>2</v>
      </c>
      <c r="E9" s="6" t="s">
        <v>185</v>
      </c>
      <c r="F9" s="6" t="s">
        <v>185</v>
      </c>
      <c r="G9" s="6" t="s">
        <v>185</v>
      </c>
      <c r="H9" s="6" t="s">
        <v>185</v>
      </c>
      <c r="I9" s="6" t="s">
        <v>185</v>
      </c>
      <c r="J9" s="6" t="s">
        <v>185</v>
      </c>
      <c r="K9" s="6" t="s">
        <v>185</v>
      </c>
      <c r="L9" s="6" t="s">
        <v>185</v>
      </c>
      <c r="M9" s="6" t="s">
        <v>185</v>
      </c>
      <c r="N9" s="6" t="s">
        <v>185</v>
      </c>
      <c r="O9" s="6"/>
      <c r="P9" s="6"/>
      <c r="Q9" s="6" t="s">
        <v>185</v>
      </c>
      <c r="R9" s="6" t="s">
        <v>185</v>
      </c>
      <c r="S9" s="6" t="s">
        <v>185</v>
      </c>
      <c r="T9" s="6" t="s">
        <v>185</v>
      </c>
      <c r="U9" s="6" t="s">
        <v>185</v>
      </c>
      <c r="V9" s="6" t="s">
        <v>185</v>
      </c>
      <c r="W9" s="6" t="s">
        <v>185</v>
      </c>
      <c r="X9" s="6" t="s">
        <v>185</v>
      </c>
      <c r="Y9" s="7"/>
    </row>
    <row r="10" spans="3:25" x14ac:dyDescent="0.25">
      <c r="C10" s="4" t="s">
        <v>110</v>
      </c>
      <c r="D10" s="5">
        <v>3</v>
      </c>
      <c r="E10" s="6" t="s">
        <v>185</v>
      </c>
      <c r="F10" s="6" t="s">
        <v>185</v>
      </c>
      <c r="G10" s="6"/>
      <c r="H10" s="6" t="s">
        <v>185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 t="s">
        <v>185</v>
      </c>
      <c r="T10" s="6" t="s">
        <v>185</v>
      </c>
      <c r="U10" s="6" t="s">
        <v>185</v>
      </c>
      <c r="V10" s="6" t="s">
        <v>185</v>
      </c>
      <c r="W10" s="6" t="s">
        <v>185</v>
      </c>
      <c r="X10" s="6" t="s">
        <v>185</v>
      </c>
      <c r="Y10" s="7"/>
    </row>
    <row r="11" spans="3:25" x14ac:dyDescent="0.25">
      <c r="C11" s="4" t="s">
        <v>112</v>
      </c>
      <c r="D11" s="5">
        <v>4</v>
      </c>
      <c r="E11" s="6" t="s">
        <v>185</v>
      </c>
      <c r="F11" s="6" t="s">
        <v>185</v>
      </c>
      <c r="G11" s="6"/>
      <c r="H11" s="6" t="s">
        <v>185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 t="s">
        <v>185</v>
      </c>
      <c r="T11" s="6" t="s">
        <v>185</v>
      </c>
      <c r="U11" s="6" t="s">
        <v>185</v>
      </c>
      <c r="V11" s="6" t="s">
        <v>185</v>
      </c>
      <c r="W11" s="6" t="s">
        <v>185</v>
      </c>
      <c r="X11" s="6" t="s">
        <v>185</v>
      </c>
      <c r="Y11" s="7"/>
    </row>
    <row r="12" spans="3:25" x14ac:dyDescent="0.25">
      <c r="C12" s="4" t="s">
        <v>113</v>
      </c>
      <c r="D12" s="5">
        <v>5</v>
      </c>
      <c r="E12" s="6" t="s">
        <v>185</v>
      </c>
      <c r="F12" s="6" t="s">
        <v>185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 t="s">
        <v>185</v>
      </c>
      <c r="T12" s="6" t="s">
        <v>185</v>
      </c>
      <c r="U12" s="6" t="s">
        <v>185</v>
      </c>
      <c r="V12" s="6" t="s">
        <v>185</v>
      </c>
      <c r="W12" s="6" t="s">
        <v>185</v>
      </c>
      <c r="X12" s="6" t="s">
        <v>185</v>
      </c>
      <c r="Y12" s="7"/>
    </row>
    <row r="13" spans="3:25" x14ac:dyDescent="0.25">
      <c r="C13" s="4" t="s">
        <v>114</v>
      </c>
      <c r="D13" s="5">
        <v>6</v>
      </c>
      <c r="E13" s="6" t="s">
        <v>185</v>
      </c>
      <c r="F13" s="6" t="s">
        <v>185</v>
      </c>
      <c r="G13" s="6"/>
      <c r="H13" s="6" t="s">
        <v>185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 t="s">
        <v>185</v>
      </c>
      <c r="T13" s="6" t="s">
        <v>185</v>
      </c>
      <c r="U13" s="6" t="s">
        <v>185</v>
      </c>
      <c r="V13" s="6" t="s">
        <v>185</v>
      </c>
      <c r="W13" s="6" t="s">
        <v>185</v>
      </c>
      <c r="X13" s="6" t="s">
        <v>185</v>
      </c>
      <c r="Y13" s="7"/>
    </row>
    <row r="14" spans="3:25" x14ac:dyDescent="0.25">
      <c r="C14" s="4" t="s">
        <v>115</v>
      </c>
      <c r="D14" s="5">
        <v>7</v>
      </c>
      <c r="E14" s="6" t="s">
        <v>185</v>
      </c>
      <c r="F14" s="6" t="s">
        <v>185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 t="s">
        <v>185</v>
      </c>
      <c r="T14" s="6" t="s">
        <v>185</v>
      </c>
      <c r="U14" s="6" t="s">
        <v>185</v>
      </c>
      <c r="V14" s="6" t="s">
        <v>185</v>
      </c>
      <c r="W14" s="6" t="s">
        <v>185</v>
      </c>
      <c r="X14" s="6" t="s">
        <v>185</v>
      </c>
      <c r="Y14" s="7"/>
    </row>
    <row r="15" spans="3:25" x14ac:dyDescent="0.25">
      <c r="C15" s="4" t="s">
        <v>116</v>
      </c>
      <c r="D15" s="5">
        <v>8</v>
      </c>
      <c r="E15" s="6" t="s">
        <v>185</v>
      </c>
      <c r="F15" s="6" t="s">
        <v>185</v>
      </c>
      <c r="G15" s="6" t="s">
        <v>185</v>
      </c>
      <c r="H15" s="6" t="s">
        <v>185</v>
      </c>
      <c r="I15" s="6" t="s">
        <v>185</v>
      </c>
      <c r="J15" s="6" t="s">
        <v>185</v>
      </c>
      <c r="K15" s="6" t="s">
        <v>185</v>
      </c>
      <c r="L15" s="6" t="s">
        <v>185</v>
      </c>
      <c r="M15" s="6" t="s">
        <v>185</v>
      </c>
      <c r="N15" s="6" t="s">
        <v>185</v>
      </c>
      <c r="O15" s="6"/>
      <c r="P15" s="6"/>
      <c r="Q15" s="6"/>
      <c r="R15" s="6"/>
      <c r="S15" s="6" t="s">
        <v>185</v>
      </c>
      <c r="T15" s="6" t="s">
        <v>185</v>
      </c>
      <c r="U15" s="6" t="s">
        <v>185</v>
      </c>
      <c r="V15" s="6" t="s">
        <v>185</v>
      </c>
      <c r="W15" s="6" t="s">
        <v>185</v>
      </c>
      <c r="X15" s="6" t="s">
        <v>185</v>
      </c>
      <c r="Y15" s="7"/>
    </row>
    <row r="16" spans="3:25" x14ac:dyDescent="0.25">
      <c r="C16" s="4" t="s">
        <v>119</v>
      </c>
      <c r="D16" s="5">
        <v>9</v>
      </c>
      <c r="E16" s="6" t="s">
        <v>185</v>
      </c>
      <c r="F16" s="6" t="s">
        <v>185</v>
      </c>
      <c r="G16" s="6" t="s">
        <v>185</v>
      </c>
      <c r="H16" s="6" t="s">
        <v>185</v>
      </c>
      <c r="I16" s="6" t="s">
        <v>185</v>
      </c>
      <c r="J16" s="6" t="s">
        <v>185</v>
      </c>
      <c r="K16" s="6" t="s">
        <v>185</v>
      </c>
      <c r="L16" s="6" t="s">
        <v>185</v>
      </c>
      <c r="M16" s="6" t="s">
        <v>185</v>
      </c>
      <c r="N16" s="6" t="s">
        <v>185</v>
      </c>
      <c r="O16" s="6"/>
      <c r="P16" s="6"/>
      <c r="Q16" s="6"/>
      <c r="R16" s="6"/>
      <c r="S16" s="6" t="s">
        <v>185</v>
      </c>
      <c r="T16" s="6" t="s">
        <v>185</v>
      </c>
      <c r="U16" s="6" t="s">
        <v>185</v>
      </c>
      <c r="V16" s="6" t="s">
        <v>185</v>
      </c>
      <c r="W16" s="6" t="s">
        <v>185</v>
      </c>
      <c r="X16" s="6" t="s">
        <v>185</v>
      </c>
      <c r="Y16" s="7"/>
    </row>
    <row r="17" spans="3:25" x14ac:dyDescent="0.25">
      <c r="C17" s="4" t="s">
        <v>123</v>
      </c>
      <c r="D17" s="5">
        <v>10</v>
      </c>
      <c r="E17" s="6" t="s">
        <v>185</v>
      </c>
      <c r="F17" s="6" t="s">
        <v>185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 t="s">
        <v>185</v>
      </c>
      <c r="U17" s="6" t="s">
        <v>185</v>
      </c>
      <c r="V17" s="6" t="s">
        <v>185</v>
      </c>
      <c r="W17" s="6" t="s">
        <v>185</v>
      </c>
      <c r="X17" s="6" t="s">
        <v>185</v>
      </c>
      <c r="Y17" s="7"/>
    </row>
    <row r="18" spans="3:25" x14ac:dyDescent="0.25">
      <c r="C18" s="4" t="s">
        <v>124</v>
      </c>
      <c r="D18" s="5">
        <v>11</v>
      </c>
      <c r="E18" s="6" t="s">
        <v>185</v>
      </c>
      <c r="F18" s="6" t="s">
        <v>185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 t="s">
        <v>185</v>
      </c>
      <c r="U18" s="6" t="s">
        <v>185</v>
      </c>
      <c r="V18" s="6" t="s">
        <v>185</v>
      </c>
      <c r="W18" s="6" t="s">
        <v>185</v>
      </c>
      <c r="X18" s="6" t="s">
        <v>185</v>
      </c>
      <c r="Y18" s="7"/>
    </row>
    <row r="19" spans="3:25" x14ac:dyDescent="0.25">
      <c r="C19" s="3" t="s">
        <v>186</v>
      </c>
      <c r="D19" s="117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6" t="s">
        <v>187</v>
      </c>
    </row>
    <row r="23" spans="3:25" x14ac:dyDescent="0.25">
      <c r="C23" s="134" t="s">
        <v>188</v>
      </c>
      <c r="D23" s="135"/>
    </row>
    <row r="24" spans="3:25" x14ac:dyDescent="0.25">
      <c r="C24" s="3" t="s">
        <v>162</v>
      </c>
      <c r="D24" s="3" t="s">
        <v>189</v>
      </c>
    </row>
    <row r="25" spans="3:25" x14ac:dyDescent="0.25">
      <c r="C25" s="3" t="s">
        <v>190</v>
      </c>
      <c r="D25" s="3"/>
    </row>
    <row r="26" spans="3:25" x14ac:dyDescent="0.25">
      <c r="C26" s="9" t="s">
        <v>191</v>
      </c>
      <c r="D26" s="10" t="s">
        <v>192</v>
      </c>
    </row>
    <row r="27" spans="3:25" x14ac:dyDescent="0.25">
      <c r="C27" s="9" t="s">
        <v>193</v>
      </c>
      <c r="D27" s="10" t="s">
        <v>194</v>
      </c>
    </row>
    <row r="28" spans="3:25" x14ac:dyDescent="0.25">
      <c r="C28" s="3" t="s">
        <v>195</v>
      </c>
      <c r="D28" s="10"/>
    </row>
    <row r="29" spans="3:25" x14ac:dyDescent="0.25">
      <c r="C29" s="9" t="s">
        <v>196</v>
      </c>
      <c r="D29" s="10" t="s">
        <v>197</v>
      </c>
    </row>
    <row r="30" spans="3:25" x14ac:dyDescent="0.25">
      <c r="C30" s="3" t="s">
        <v>198</v>
      </c>
      <c r="D30" s="10"/>
    </row>
    <row r="31" spans="3:25" x14ac:dyDescent="0.25">
      <c r="C31" s="9" t="s">
        <v>199</v>
      </c>
      <c r="D31" s="10" t="s">
        <v>200</v>
      </c>
    </row>
    <row r="35" spans="3:5" x14ac:dyDescent="0.25">
      <c r="C35" s="136" t="s">
        <v>201</v>
      </c>
      <c r="D35" s="137"/>
      <c r="E35" s="137"/>
    </row>
    <row r="36" spans="3:5" x14ac:dyDescent="0.25">
      <c r="C36" s="1" t="s">
        <v>202</v>
      </c>
      <c r="D36" s="1" t="s">
        <v>203</v>
      </c>
      <c r="E36" s="1" t="s">
        <v>204</v>
      </c>
    </row>
    <row r="37" spans="3:5" x14ac:dyDescent="0.25">
      <c r="C37" s="3" t="s">
        <v>202</v>
      </c>
      <c r="D37" s="3" t="s">
        <v>203</v>
      </c>
      <c r="E37" s="3" t="s">
        <v>204</v>
      </c>
    </row>
    <row r="38" spans="3:5" x14ac:dyDescent="0.25">
      <c r="C38" s="9" t="s">
        <v>205</v>
      </c>
      <c r="D38" s="9" t="s">
        <v>186</v>
      </c>
      <c r="E38" s="10" t="s">
        <v>206</v>
      </c>
    </row>
    <row r="39" spans="3:5" x14ac:dyDescent="0.25">
      <c r="C39" s="9" t="s">
        <v>207</v>
      </c>
      <c r="D39" s="9"/>
      <c r="E39" s="6" t="s">
        <v>243</v>
      </c>
    </row>
    <row r="40" spans="3:5" x14ac:dyDescent="0.25">
      <c r="C40" s="9" t="s">
        <v>207</v>
      </c>
      <c r="D40" s="9"/>
      <c r="E40" s="6" t="s">
        <v>208</v>
      </c>
    </row>
    <row r="41" spans="3:5" x14ac:dyDescent="0.25">
      <c r="C41" s="9" t="s">
        <v>199</v>
      </c>
      <c r="D41" s="9" t="s">
        <v>186</v>
      </c>
      <c r="E41" s="1"/>
    </row>
    <row r="45" spans="3:5" x14ac:dyDescent="0.25">
      <c r="C45" s="138" t="s">
        <v>209</v>
      </c>
      <c r="D45" s="138"/>
      <c r="E45" s="138"/>
    </row>
    <row r="46" spans="3:5" x14ac:dyDescent="0.25">
      <c r="C46" s="129" t="s">
        <v>210</v>
      </c>
      <c r="D46" s="129"/>
      <c r="E46" s="129"/>
    </row>
    <row r="50" spans="3:10" x14ac:dyDescent="0.25">
      <c r="C50" s="130" t="s">
        <v>211</v>
      </c>
      <c r="D50" s="130"/>
      <c r="E50" s="130"/>
      <c r="F50" s="130"/>
      <c r="G50" s="130"/>
      <c r="H50" s="130"/>
      <c r="I50" s="130"/>
      <c r="J50" s="130"/>
    </row>
    <row r="51" spans="3:10" ht="45" customHeight="1" x14ac:dyDescent="0.25">
      <c r="C51" s="129" t="s">
        <v>212</v>
      </c>
      <c r="D51" s="129"/>
      <c r="E51" s="129"/>
      <c r="F51" s="129"/>
      <c r="G51" s="129"/>
      <c r="H51" s="129"/>
      <c r="I51" s="129"/>
      <c r="J51" s="129"/>
    </row>
    <row r="55" spans="3:10" x14ac:dyDescent="0.25">
      <c r="C55" s="130" t="s">
        <v>213</v>
      </c>
      <c r="D55" s="130"/>
      <c r="E55" s="130"/>
      <c r="F55" s="130"/>
      <c r="G55" s="130"/>
      <c r="H55" s="130"/>
      <c r="I55" s="130"/>
      <c r="J55" s="130"/>
    </row>
    <row r="56" spans="3:10" ht="13.5" customHeight="1" x14ac:dyDescent="0.25">
      <c r="C56" s="129" t="s">
        <v>214</v>
      </c>
      <c r="D56" s="129"/>
      <c r="E56" s="129"/>
      <c r="F56" s="129"/>
      <c r="G56" s="129"/>
      <c r="H56" s="129"/>
      <c r="I56" s="129"/>
      <c r="J56" s="129"/>
    </row>
  </sheetData>
  <mergeCells count="9">
    <mergeCell ref="C51:J51"/>
    <mergeCell ref="C55:J55"/>
    <mergeCell ref="C56:J56"/>
    <mergeCell ref="C4:Y4"/>
    <mergeCell ref="C23:D23"/>
    <mergeCell ref="C35:E35"/>
    <mergeCell ref="C45:E45"/>
    <mergeCell ref="C46:E46"/>
    <mergeCell ref="C50:J50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C10"/>
  <sheetViews>
    <sheetView workbookViewId="0"/>
  </sheetViews>
  <sheetFormatPr defaultRowHeight="15" x14ac:dyDescent="0.25"/>
  <cols>
    <col min="2" max="2" width="12.42578125" customWidth="1"/>
    <col min="3" max="3" width="32.85546875" customWidth="1"/>
  </cols>
  <sheetData>
    <row r="7" spans="2:3" x14ac:dyDescent="0.25">
      <c r="B7" s="139" t="s">
        <v>84</v>
      </c>
      <c r="C7" s="140"/>
    </row>
    <row r="8" spans="2:3" x14ac:dyDescent="0.25">
      <c r="B8" s="1" t="s">
        <v>159</v>
      </c>
      <c r="C8" s="1" t="s">
        <v>160</v>
      </c>
    </row>
    <row r="9" spans="2:3" x14ac:dyDescent="0.25">
      <c r="B9" s="1" t="s">
        <v>159</v>
      </c>
      <c r="C9" s="1" t="s">
        <v>246</v>
      </c>
    </row>
    <row r="10" spans="2:3" x14ac:dyDescent="0.25">
      <c r="B10" s="1" t="s">
        <v>244</v>
      </c>
      <c r="C10" s="1" t="s">
        <v>245</v>
      </c>
    </row>
  </sheetData>
  <mergeCells count="1"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Tests</vt:lpstr>
      <vt:lpstr>Utils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stanislav.shor</dc:creator>
  <cp:lastModifiedBy>Alena Kuptsevich</cp:lastModifiedBy>
  <dcterms:created xsi:type="dcterms:W3CDTF">2011-11-03T14:41:15Z</dcterms:created>
  <dcterms:modified xsi:type="dcterms:W3CDTF">2017-03-28T11:37:58Z</dcterms:modified>
</cp:coreProperties>
</file>